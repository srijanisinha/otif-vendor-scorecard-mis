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RIJANI\Downloads\"/>
    </mc:Choice>
  </mc:AlternateContent>
  <xr:revisionPtr revIDLastSave="0" documentId="8_{7D96AB6B-F4EB-41DE-AE23-221231365C9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" sheetId="12" r:id="rId1"/>
    <sheet name="Dashboard" sheetId="10" r:id="rId2"/>
    <sheet name="PO_master" sheetId="2" r:id="rId3"/>
    <sheet name="OTIF__calc" sheetId="3" r:id="rId4"/>
    <sheet name="Trend_data" sheetId="11" r:id="rId5"/>
    <sheet name="Category_View." sheetId="7" r:id="rId6"/>
    <sheet name="Penalty_Summary" sheetId="9" r:id="rId7"/>
    <sheet name="Penalty_Tracker" sheetId="8" r:id="rId8"/>
    <sheet name="Vendor_Scorecard." sheetId="4" r:id="rId9"/>
    <sheet name="Raw_PO_GRN" sheetId="1" r:id="rId10"/>
  </sheets>
  <definedNames>
    <definedName name="ExternalData_1" localSheetId="3" hidden="1">OTIF__calc!$A$1:$K$1001</definedName>
    <definedName name="ExternalData_1" localSheetId="7" hidden="1">Penalty_Tracker!$A$1:$K$1001</definedName>
    <definedName name="ExternalData_1" localSheetId="2" hidden="1">PO_master!$A$1:$K$1001</definedName>
  </definedNames>
  <calcPr calcId="191029"/>
  <pivotCaches>
    <pivotCache cacheId="0" r:id="rId11"/>
    <pivotCache cacheId="3" r:id="rId12"/>
  </pivotCaches>
</workbook>
</file>

<file path=xl/calcChain.xml><?xml version="1.0" encoding="utf-8"?>
<calcChain xmlns="http://schemas.openxmlformats.org/spreadsheetml/2006/main">
  <c r="T2" i="3" l="1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H7" i="10"/>
  <c r="D7" i="10"/>
  <c r="F7" i="10"/>
  <c r="B7" i="10"/>
  <c r="T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2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T516" i="8"/>
  <c r="T517" i="8"/>
  <c r="T518" i="8"/>
  <c r="T519" i="8"/>
  <c r="T520" i="8"/>
  <c r="T521" i="8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541" i="8"/>
  <c r="T542" i="8"/>
  <c r="T543" i="8"/>
  <c r="T544" i="8"/>
  <c r="T545" i="8"/>
  <c r="T546" i="8"/>
  <c r="T547" i="8"/>
  <c r="T548" i="8"/>
  <c r="T549" i="8"/>
  <c r="T550" i="8"/>
  <c r="T551" i="8"/>
  <c r="T552" i="8"/>
  <c r="T553" i="8"/>
  <c r="T554" i="8"/>
  <c r="T555" i="8"/>
  <c r="T556" i="8"/>
  <c r="T557" i="8"/>
  <c r="T558" i="8"/>
  <c r="T559" i="8"/>
  <c r="T560" i="8"/>
  <c r="T561" i="8"/>
  <c r="T562" i="8"/>
  <c r="T563" i="8"/>
  <c r="T564" i="8"/>
  <c r="T565" i="8"/>
  <c r="T566" i="8"/>
  <c r="T567" i="8"/>
  <c r="T568" i="8"/>
  <c r="T569" i="8"/>
  <c r="T570" i="8"/>
  <c r="T571" i="8"/>
  <c r="T572" i="8"/>
  <c r="T573" i="8"/>
  <c r="T574" i="8"/>
  <c r="T575" i="8"/>
  <c r="T576" i="8"/>
  <c r="T577" i="8"/>
  <c r="T578" i="8"/>
  <c r="T579" i="8"/>
  <c r="T580" i="8"/>
  <c r="T581" i="8"/>
  <c r="T582" i="8"/>
  <c r="T583" i="8"/>
  <c r="T584" i="8"/>
  <c r="T585" i="8"/>
  <c r="T586" i="8"/>
  <c r="T587" i="8"/>
  <c r="T588" i="8"/>
  <c r="T589" i="8"/>
  <c r="T590" i="8"/>
  <c r="T591" i="8"/>
  <c r="T592" i="8"/>
  <c r="T593" i="8"/>
  <c r="T594" i="8"/>
  <c r="T595" i="8"/>
  <c r="T596" i="8"/>
  <c r="T597" i="8"/>
  <c r="T598" i="8"/>
  <c r="T599" i="8"/>
  <c r="T600" i="8"/>
  <c r="T601" i="8"/>
  <c r="T602" i="8"/>
  <c r="T603" i="8"/>
  <c r="T604" i="8"/>
  <c r="T605" i="8"/>
  <c r="T606" i="8"/>
  <c r="T607" i="8"/>
  <c r="T608" i="8"/>
  <c r="T609" i="8"/>
  <c r="T610" i="8"/>
  <c r="T611" i="8"/>
  <c r="T612" i="8"/>
  <c r="T613" i="8"/>
  <c r="T614" i="8"/>
  <c r="T615" i="8"/>
  <c r="T616" i="8"/>
  <c r="T617" i="8"/>
  <c r="T618" i="8"/>
  <c r="T619" i="8"/>
  <c r="T620" i="8"/>
  <c r="T621" i="8"/>
  <c r="T622" i="8"/>
  <c r="T623" i="8"/>
  <c r="T624" i="8"/>
  <c r="T625" i="8"/>
  <c r="T626" i="8"/>
  <c r="T627" i="8"/>
  <c r="T628" i="8"/>
  <c r="T629" i="8"/>
  <c r="T630" i="8"/>
  <c r="T631" i="8"/>
  <c r="T632" i="8"/>
  <c r="T633" i="8"/>
  <c r="T634" i="8"/>
  <c r="T635" i="8"/>
  <c r="T636" i="8"/>
  <c r="T637" i="8"/>
  <c r="T638" i="8"/>
  <c r="T639" i="8"/>
  <c r="T640" i="8"/>
  <c r="T641" i="8"/>
  <c r="T642" i="8"/>
  <c r="T643" i="8"/>
  <c r="T644" i="8"/>
  <c r="T645" i="8"/>
  <c r="T646" i="8"/>
  <c r="T647" i="8"/>
  <c r="T648" i="8"/>
  <c r="T649" i="8"/>
  <c r="T650" i="8"/>
  <c r="T651" i="8"/>
  <c r="T652" i="8"/>
  <c r="T653" i="8"/>
  <c r="T654" i="8"/>
  <c r="T655" i="8"/>
  <c r="T656" i="8"/>
  <c r="T657" i="8"/>
  <c r="T658" i="8"/>
  <c r="T659" i="8"/>
  <c r="T660" i="8"/>
  <c r="T661" i="8"/>
  <c r="T662" i="8"/>
  <c r="T663" i="8"/>
  <c r="T664" i="8"/>
  <c r="T665" i="8"/>
  <c r="T666" i="8"/>
  <c r="T667" i="8"/>
  <c r="T668" i="8"/>
  <c r="T669" i="8"/>
  <c r="T670" i="8"/>
  <c r="T671" i="8"/>
  <c r="T672" i="8"/>
  <c r="T673" i="8"/>
  <c r="T674" i="8"/>
  <c r="T675" i="8"/>
  <c r="T676" i="8"/>
  <c r="T677" i="8"/>
  <c r="T678" i="8"/>
  <c r="T679" i="8"/>
  <c r="T680" i="8"/>
  <c r="T681" i="8"/>
  <c r="T682" i="8"/>
  <c r="T683" i="8"/>
  <c r="T684" i="8"/>
  <c r="T685" i="8"/>
  <c r="T686" i="8"/>
  <c r="T687" i="8"/>
  <c r="T688" i="8"/>
  <c r="T689" i="8"/>
  <c r="T690" i="8"/>
  <c r="T691" i="8"/>
  <c r="T692" i="8"/>
  <c r="T693" i="8"/>
  <c r="T694" i="8"/>
  <c r="T695" i="8"/>
  <c r="T696" i="8"/>
  <c r="T697" i="8"/>
  <c r="T698" i="8"/>
  <c r="T699" i="8"/>
  <c r="T700" i="8"/>
  <c r="T701" i="8"/>
  <c r="T702" i="8"/>
  <c r="T703" i="8"/>
  <c r="T704" i="8"/>
  <c r="T705" i="8"/>
  <c r="T706" i="8"/>
  <c r="T707" i="8"/>
  <c r="T708" i="8"/>
  <c r="T709" i="8"/>
  <c r="T710" i="8"/>
  <c r="T711" i="8"/>
  <c r="T712" i="8"/>
  <c r="T713" i="8"/>
  <c r="T714" i="8"/>
  <c r="T715" i="8"/>
  <c r="T716" i="8"/>
  <c r="T717" i="8"/>
  <c r="T718" i="8"/>
  <c r="T719" i="8"/>
  <c r="T720" i="8"/>
  <c r="T721" i="8"/>
  <c r="T722" i="8"/>
  <c r="T723" i="8"/>
  <c r="T724" i="8"/>
  <c r="T725" i="8"/>
  <c r="T726" i="8"/>
  <c r="T727" i="8"/>
  <c r="T728" i="8"/>
  <c r="T729" i="8"/>
  <c r="T730" i="8"/>
  <c r="T731" i="8"/>
  <c r="T732" i="8"/>
  <c r="T733" i="8"/>
  <c r="T734" i="8"/>
  <c r="T735" i="8"/>
  <c r="T736" i="8"/>
  <c r="T737" i="8"/>
  <c r="T738" i="8"/>
  <c r="T739" i="8"/>
  <c r="T740" i="8"/>
  <c r="T741" i="8"/>
  <c r="T742" i="8"/>
  <c r="T743" i="8"/>
  <c r="T744" i="8"/>
  <c r="T745" i="8"/>
  <c r="T746" i="8"/>
  <c r="T747" i="8"/>
  <c r="T748" i="8"/>
  <c r="T749" i="8"/>
  <c r="T750" i="8"/>
  <c r="T751" i="8"/>
  <c r="T752" i="8"/>
  <c r="T753" i="8"/>
  <c r="T754" i="8"/>
  <c r="T755" i="8"/>
  <c r="T756" i="8"/>
  <c r="T757" i="8"/>
  <c r="T758" i="8"/>
  <c r="T759" i="8"/>
  <c r="T760" i="8"/>
  <c r="T761" i="8"/>
  <c r="T762" i="8"/>
  <c r="T763" i="8"/>
  <c r="T764" i="8"/>
  <c r="T765" i="8"/>
  <c r="T766" i="8"/>
  <c r="T767" i="8"/>
  <c r="T768" i="8"/>
  <c r="T769" i="8"/>
  <c r="T770" i="8"/>
  <c r="T771" i="8"/>
  <c r="T772" i="8"/>
  <c r="T773" i="8"/>
  <c r="T774" i="8"/>
  <c r="T775" i="8"/>
  <c r="T776" i="8"/>
  <c r="T777" i="8"/>
  <c r="T778" i="8"/>
  <c r="T779" i="8"/>
  <c r="T780" i="8"/>
  <c r="T781" i="8"/>
  <c r="T782" i="8"/>
  <c r="T783" i="8"/>
  <c r="T784" i="8"/>
  <c r="T785" i="8"/>
  <c r="T786" i="8"/>
  <c r="T787" i="8"/>
  <c r="T788" i="8"/>
  <c r="T789" i="8"/>
  <c r="T790" i="8"/>
  <c r="T791" i="8"/>
  <c r="T792" i="8"/>
  <c r="T793" i="8"/>
  <c r="T794" i="8"/>
  <c r="T795" i="8"/>
  <c r="T796" i="8"/>
  <c r="T797" i="8"/>
  <c r="T798" i="8"/>
  <c r="T799" i="8"/>
  <c r="T800" i="8"/>
  <c r="T801" i="8"/>
  <c r="T802" i="8"/>
  <c r="T803" i="8"/>
  <c r="T804" i="8"/>
  <c r="T805" i="8"/>
  <c r="T806" i="8"/>
  <c r="T807" i="8"/>
  <c r="T808" i="8"/>
  <c r="T809" i="8"/>
  <c r="T810" i="8"/>
  <c r="T811" i="8"/>
  <c r="T812" i="8"/>
  <c r="T813" i="8"/>
  <c r="T814" i="8"/>
  <c r="T815" i="8"/>
  <c r="T816" i="8"/>
  <c r="T817" i="8"/>
  <c r="T818" i="8"/>
  <c r="T819" i="8"/>
  <c r="T820" i="8"/>
  <c r="T821" i="8"/>
  <c r="T822" i="8"/>
  <c r="T823" i="8"/>
  <c r="T824" i="8"/>
  <c r="T825" i="8"/>
  <c r="T826" i="8"/>
  <c r="T827" i="8"/>
  <c r="T828" i="8"/>
  <c r="T829" i="8"/>
  <c r="T830" i="8"/>
  <c r="T831" i="8"/>
  <c r="T832" i="8"/>
  <c r="T833" i="8"/>
  <c r="T834" i="8"/>
  <c r="T835" i="8"/>
  <c r="T836" i="8"/>
  <c r="T837" i="8"/>
  <c r="T838" i="8"/>
  <c r="T839" i="8"/>
  <c r="T840" i="8"/>
  <c r="T841" i="8"/>
  <c r="T842" i="8"/>
  <c r="T843" i="8"/>
  <c r="T844" i="8"/>
  <c r="T845" i="8"/>
  <c r="T846" i="8"/>
  <c r="T847" i="8"/>
  <c r="T848" i="8"/>
  <c r="T849" i="8"/>
  <c r="T850" i="8"/>
  <c r="T851" i="8"/>
  <c r="T852" i="8"/>
  <c r="T853" i="8"/>
  <c r="T854" i="8"/>
  <c r="T855" i="8"/>
  <c r="T856" i="8"/>
  <c r="T857" i="8"/>
  <c r="T858" i="8"/>
  <c r="T859" i="8"/>
  <c r="T860" i="8"/>
  <c r="T861" i="8"/>
  <c r="T862" i="8"/>
  <c r="T863" i="8"/>
  <c r="T864" i="8"/>
  <c r="T865" i="8"/>
  <c r="T866" i="8"/>
  <c r="T867" i="8"/>
  <c r="T868" i="8"/>
  <c r="T869" i="8"/>
  <c r="T870" i="8"/>
  <c r="T871" i="8"/>
  <c r="T872" i="8"/>
  <c r="T873" i="8"/>
  <c r="T874" i="8"/>
  <c r="T875" i="8"/>
  <c r="T876" i="8"/>
  <c r="T877" i="8"/>
  <c r="T878" i="8"/>
  <c r="T879" i="8"/>
  <c r="T880" i="8"/>
  <c r="T881" i="8"/>
  <c r="T882" i="8"/>
  <c r="T883" i="8"/>
  <c r="T884" i="8"/>
  <c r="T885" i="8"/>
  <c r="T886" i="8"/>
  <c r="T887" i="8"/>
  <c r="T888" i="8"/>
  <c r="T889" i="8"/>
  <c r="T890" i="8"/>
  <c r="T891" i="8"/>
  <c r="T892" i="8"/>
  <c r="T893" i="8"/>
  <c r="T894" i="8"/>
  <c r="T895" i="8"/>
  <c r="T896" i="8"/>
  <c r="T897" i="8"/>
  <c r="T898" i="8"/>
  <c r="T899" i="8"/>
  <c r="T900" i="8"/>
  <c r="T901" i="8"/>
  <c r="T902" i="8"/>
  <c r="T903" i="8"/>
  <c r="T904" i="8"/>
  <c r="T905" i="8"/>
  <c r="T906" i="8"/>
  <c r="T907" i="8"/>
  <c r="T908" i="8"/>
  <c r="T909" i="8"/>
  <c r="T910" i="8"/>
  <c r="T911" i="8"/>
  <c r="T912" i="8"/>
  <c r="T913" i="8"/>
  <c r="T914" i="8"/>
  <c r="T915" i="8"/>
  <c r="T916" i="8"/>
  <c r="T917" i="8"/>
  <c r="T918" i="8"/>
  <c r="T919" i="8"/>
  <c r="T920" i="8"/>
  <c r="T921" i="8"/>
  <c r="T922" i="8"/>
  <c r="T923" i="8"/>
  <c r="T924" i="8"/>
  <c r="T925" i="8"/>
  <c r="T926" i="8"/>
  <c r="T927" i="8"/>
  <c r="T928" i="8"/>
  <c r="T929" i="8"/>
  <c r="T930" i="8"/>
  <c r="T931" i="8"/>
  <c r="T932" i="8"/>
  <c r="T933" i="8"/>
  <c r="T934" i="8"/>
  <c r="T935" i="8"/>
  <c r="T936" i="8"/>
  <c r="T937" i="8"/>
  <c r="T938" i="8"/>
  <c r="T939" i="8"/>
  <c r="T940" i="8"/>
  <c r="T941" i="8"/>
  <c r="T942" i="8"/>
  <c r="T943" i="8"/>
  <c r="T944" i="8"/>
  <c r="T945" i="8"/>
  <c r="T946" i="8"/>
  <c r="T947" i="8"/>
  <c r="T948" i="8"/>
  <c r="T949" i="8"/>
  <c r="T950" i="8"/>
  <c r="T951" i="8"/>
  <c r="T952" i="8"/>
  <c r="T953" i="8"/>
  <c r="T954" i="8"/>
  <c r="T955" i="8"/>
  <c r="T956" i="8"/>
  <c r="T957" i="8"/>
  <c r="T958" i="8"/>
  <c r="T959" i="8"/>
  <c r="T960" i="8"/>
  <c r="T961" i="8"/>
  <c r="T962" i="8"/>
  <c r="T963" i="8"/>
  <c r="T964" i="8"/>
  <c r="T965" i="8"/>
  <c r="T966" i="8"/>
  <c r="T967" i="8"/>
  <c r="T968" i="8"/>
  <c r="T969" i="8"/>
  <c r="T970" i="8"/>
  <c r="T971" i="8"/>
  <c r="T972" i="8"/>
  <c r="T973" i="8"/>
  <c r="T974" i="8"/>
  <c r="T975" i="8"/>
  <c r="T976" i="8"/>
  <c r="T977" i="8"/>
  <c r="T978" i="8"/>
  <c r="T979" i="8"/>
  <c r="T980" i="8"/>
  <c r="T981" i="8"/>
  <c r="T982" i="8"/>
  <c r="T983" i="8"/>
  <c r="T984" i="8"/>
  <c r="T985" i="8"/>
  <c r="T986" i="8"/>
  <c r="T987" i="8"/>
  <c r="T988" i="8"/>
  <c r="T989" i="8"/>
  <c r="T990" i="8"/>
  <c r="T991" i="8"/>
  <c r="T992" i="8"/>
  <c r="T993" i="8"/>
  <c r="T994" i="8"/>
  <c r="T995" i="8"/>
  <c r="T996" i="8"/>
  <c r="T997" i="8"/>
  <c r="T998" i="8"/>
  <c r="T999" i="8"/>
  <c r="T1000" i="8"/>
  <c r="T1001" i="8"/>
  <c r="S1001" i="8"/>
  <c r="Q1001" i="8"/>
  <c r="P1001" i="8"/>
  <c r="O1001" i="8"/>
  <c r="M1001" i="8"/>
  <c r="L1001" i="8"/>
  <c r="S1000" i="8"/>
  <c r="Q1000" i="8"/>
  <c r="P1000" i="8"/>
  <c r="O1000" i="8"/>
  <c r="M1000" i="8"/>
  <c r="L1000" i="8"/>
  <c r="S999" i="8"/>
  <c r="Q999" i="8"/>
  <c r="P999" i="8"/>
  <c r="O999" i="8"/>
  <c r="M999" i="8"/>
  <c r="L999" i="8"/>
  <c r="S998" i="8"/>
  <c r="Q998" i="8"/>
  <c r="P998" i="8"/>
  <c r="O998" i="8"/>
  <c r="M998" i="8"/>
  <c r="L998" i="8"/>
  <c r="N998" i="8" s="1"/>
  <c r="R998" i="8" s="1"/>
  <c r="S997" i="8"/>
  <c r="Q997" i="8"/>
  <c r="P997" i="8"/>
  <c r="O997" i="8"/>
  <c r="M997" i="8"/>
  <c r="L997" i="8"/>
  <c r="S996" i="8"/>
  <c r="Q996" i="8"/>
  <c r="P996" i="8"/>
  <c r="O996" i="8"/>
  <c r="M996" i="8"/>
  <c r="L996" i="8"/>
  <c r="S995" i="8"/>
  <c r="Q995" i="8"/>
  <c r="P995" i="8"/>
  <c r="O995" i="8"/>
  <c r="M995" i="8"/>
  <c r="L995" i="8"/>
  <c r="S994" i="8"/>
  <c r="Q994" i="8"/>
  <c r="P994" i="8"/>
  <c r="O994" i="8"/>
  <c r="M994" i="8"/>
  <c r="L994" i="8"/>
  <c r="S993" i="8"/>
  <c r="Q993" i="8"/>
  <c r="P993" i="8"/>
  <c r="O993" i="8"/>
  <c r="M993" i="8"/>
  <c r="L993" i="8"/>
  <c r="S992" i="8"/>
  <c r="Q992" i="8"/>
  <c r="P992" i="8"/>
  <c r="O992" i="8"/>
  <c r="M992" i="8"/>
  <c r="L992" i="8"/>
  <c r="S991" i="8"/>
  <c r="Q991" i="8"/>
  <c r="P991" i="8"/>
  <c r="O991" i="8"/>
  <c r="M991" i="8"/>
  <c r="L991" i="8"/>
  <c r="S990" i="8"/>
  <c r="Q990" i="8"/>
  <c r="P990" i="8"/>
  <c r="O990" i="8"/>
  <c r="M990" i="8"/>
  <c r="L990" i="8"/>
  <c r="S989" i="8"/>
  <c r="Q989" i="8"/>
  <c r="P989" i="8"/>
  <c r="O989" i="8"/>
  <c r="M989" i="8"/>
  <c r="N989" i="8" s="1"/>
  <c r="R989" i="8" s="1"/>
  <c r="L989" i="8"/>
  <c r="S988" i="8"/>
  <c r="Q988" i="8"/>
  <c r="P988" i="8"/>
  <c r="O988" i="8"/>
  <c r="M988" i="8"/>
  <c r="L988" i="8"/>
  <c r="S987" i="8"/>
  <c r="Q987" i="8"/>
  <c r="P987" i="8"/>
  <c r="O987" i="8"/>
  <c r="M987" i="8"/>
  <c r="L987" i="8"/>
  <c r="S986" i="8"/>
  <c r="Q986" i="8"/>
  <c r="P986" i="8"/>
  <c r="O986" i="8"/>
  <c r="M986" i="8"/>
  <c r="L986" i="8"/>
  <c r="S985" i="8"/>
  <c r="Q985" i="8"/>
  <c r="P985" i="8"/>
  <c r="O985" i="8"/>
  <c r="M985" i="8"/>
  <c r="L985" i="8"/>
  <c r="S984" i="8"/>
  <c r="Q984" i="8"/>
  <c r="P984" i="8"/>
  <c r="O984" i="8"/>
  <c r="M984" i="8"/>
  <c r="L984" i="8"/>
  <c r="S983" i="8"/>
  <c r="Q983" i="8"/>
  <c r="P983" i="8"/>
  <c r="O983" i="8"/>
  <c r="M983" i="8"/>
  <c r="L983" i="8"/>
  <c r="S982" i="8"/>
  <c r="Q982" i="8"/>
  <c r="P982" i="8"/>
  <c r="O982" i="8"/>
  <c r="M982" i="8"/>
  <c r="L982" i="8"/>
  <c r="S981" i="8"/>
  <c r="Q981" i="8"/>
  <c r="P981" i="8"/>
  <c r="O981" i="8"/>
  <c r="M981" i="8"/>
  <c r="L981" i="8"/>
  <c r="S980" i="8"/>
  <c r="Q980" i="8"/>
  <c r="P980" i="8"/>
  <c r="O980" i="8"/>
  <c r="M980" i="8"/>
  <c r="L980" i="8"/>
  <c r="S979" i="8"/>
  <c r="Q979" i="8"/>
  <c r="P979" i="8"/>
  <c r="O979" i="8"/>
  <c r="M979" i="8"/>
  <c r="L979" i="8"/>
  <c r="S978" i="8"/>
  <c r="Q978" i="8"/>
  <c r="P978" i="8"/>
  <c r="O978" i="8"/>
  <c r="M978" i="8"/>
  <c r="L978" i="8"/>
  <c r="S977" i="8"/>
  <c r="Q977" i="8"/>
  <c r="P977" i="8"/>
  <c r="O977" i="8"/>
  <c r="M977" i="8"/>
  <c r="L977" i="8"/>
  <c r="S976" i="8"/>
  <c r="Q976" i="8"/>
  <c r="P976" i="8"/>
  <c r="O976" i="8"/>
  <c r="M976" i="8"/>
  <c r="L976" i="8"/>
  <c r="N976" i="8" s="1"/>
  <c r="R976" i="8" s="1"/>
  <c r="S975" i="8"/>
  <c r="Q975" i="8"/>
  <c r="P975" i="8"/>
  <c r="O975" i="8"/>
  <c r="M975" i="8"/>
  <c r="L975" i="8"/>
  <c r="S974" i="8"/>
  <c r="Q974" i="8"/>
  <c r="P974" i="8"/>
  <c r="O974" i="8"/>
  <c r="M974" i="8"/>
  <c r="L974" i="8"/>
  <c r="N974" i="8" s="1"/>
  <c r="R974" i="8" s="1"/>
  <c r="S973" i="8"/>
  <c r="Q973" i="8"/>
  <c r="P973" i="8"/>
  <c r="O973" i="8"/>
  <c r="M973" i="8"/>
  <c r="L973" i="8"/>
  <c r="S972" i="8"/>
  <c r="Q972" i="8"/>
  <c r="P972" i="8"/>
  <c r="O972" i="8"/>
  <c r="M972" i="8"/>
  <c r="L972" i="8"/>
  <c r="S971" i="8"/>
  <c r="Q971" i="8"/>
  <c r="P971" i="8"/>
  <c r="O971" i="8"/>
  <c r="M971" i="8"/>
  <c r="L971" i="8"/>
  <c r="S970" i="8"/>
  <c r="Q970" i="8"/>
  <c r="P970" i="8"/>
  <c r="O970" i="8"/>
  <c r="M970" i="8"/>
  <c r="L970" i="8"/>
  <c r="S969" i="8"/>
  <c r="Q969" i="8"/>
  <c r="P969" i="8"/>
  <c r="O969" i="8"/>
  <c r="M969" i="8"/>
  <c r="L969" i="8"/>
  <c r="S968" i="8"/>
  <c r="Q968" i="8"/>
  <c r="P968" i="8"/>
  <c r="O968" i="8"/>
  <c r="M968" i="8"/>
  <c r="L968" i="8"/>
  <c r="N968" i="8" s="1"/>
  <c r="R968" i="8" s="1"/>
  <c r="S967" i="8"/>
  <c r="Q967" i="8"/>
  <c r="P967" i="8"/>
  <c r="O967" i="8"/>
  <c r="M967" i="8"/>
  <c r="L967" i="8"/>
  <c r="S966" i="8"/>
  <c r="Q966" i="8"/>
  <c r="P966" i="8"/>
  <c r="O966" i="8"/>
  <c r="M966" i="8"/>
  <c r="L966" i="8"/>
  <c r="S965" i="8"/>
  <c r="Q965" i="8"/>
  <c r="P965" i="8"/>
  <c r="O965" i="8"/>
  <c r="M965" i="8"/>
  <c r="L965" i="8"/>
  <c r="S964" i="8"/>
  <c r="Q964" i="8"/>
  <c r="P964" i="8"/>
  <c r="O964" i="8"/>
  <c r="M964" i="8"/>
  <c r="L964" i="8"/>
  <c r="S963" i="8"/>
  <c r="Q963" i="8"/>
  <c r="P963" i="8"/>
  <c r="O963" i="8"/>
  <c r="M963" i="8"/>
  <c r="L963" i="8"/>
  <c r="S962" i="8"/>
  <c r="Q962" i="8"/>
  <c r="P962" i="8"/>
  <c r="O962" i="8"/>
  <c r="M962" i="8"/>
  <c r="L962" i="8"/>
  <c r="S961" i="8"/>
  <c r="Q961" i="8"/>
  <c r="P961" i="8"/>
  <c r="O961" i="8"/>
  <c r="M961" i="8"/>
  <c r="N961" i="8" s="1"/>
  <c r="R961" i="8" s="1"/>
  <c r="L961" i="8"/>
  <c r="S960" i="8"/>
  <c r="Q960" i="8"/>
  <c r="P960" i="8"/>
  <c r="O960" i="8"/>
  <c r="M960" i="8"/>
  <c r="L960" i="8"/>
  <c r="S959" i="8"/>
  <c r="Q959" i="8"/>
  <c r="P959" i="8"/>
  <c r="O959" i="8"/>
  <c r="M959" i="8"/>
  <c r="L959" i="8"/>
  <c r="S958" i="8"/>
  <c r="Q958" i="8"/>
  <c r="P958" i="8"/>
  <c r="O958" i="8"/>
  <c r="M958" i="8"/>
  <c r="L958" i="8"/>
  <c r="S957" i="8"/>
  <c r="Q957" i="8"/>
  <c r="P957" i="8"/>
  <c r="O957" i="8"/>
  <c r="M957" i="8"/>
  <c r="N957" i="8" s="1"/>
  <c r="R957" i="8" s="1"/>
  <c r="L957" i="8"/>
  <c r="S956" i="8"/>
  <c r="Q956" i="8"/>
  <c r="P956" i="8"/>
  <c r="O956" i="8"/>
  <c r="M956" i="8"/>
  <c r="L956" i="8"/>
  <c r="S955" i="8"/>
  <c r="Q955" i="8"/>
  <c r="P955" i="8"/>
  <c r="O955" i="8"/>
  <c r="M955" i="8"/>
  <c r="L955" i="8"/>
  <c r="S954" i="8"/>
  <c r="Q954" i="8"/>
  <c r="P954" i="8"/>
  <c r="O954" i="8"/>
  <c r="M954" i="8"/>
  <c r="L954" i="8"/>
  <c r="S953" i="8"/>
  <c r="Q953" i="8"/>
  <c r="P953" i="8"/>
  <c r="O953" i="8"/>
  <c r="M953" i="8"/>
  <c r="L953" i="8"/>
  <c r="S952" i="8"/>
  <c r="Q952" i="8"/>
  <c r="P952" i="8"/>
  <c r="O952" i="8"/>
  <c r="M952" i="8"/>
  <c r="L952" i="8"/>
  <c r="S951" i="8"/>
  <c r="Q951" i="8"/>
  <c r="P951" i="8"/>
  <c r="O951" i="8"/>
  <c r="M951" i="8"/>
  <c r="L951" i="8"/>
  <c r="S950" i="8"/>
  <c r="Q950" i="8"/>
  <c r="P950" i="8"/>
  <c r="O950" i="8"/>
  <c r="M950" i="8"/>
  <c r="L950" i="8"/>
  <c r="S949" i="8"/>
  <c r="Q949" i="8"/>
  <c r="P949" i="8"/>
  <c r="O949" i="8"/>
  <c r="M949" i="8"/>
  <c r="L949" i="8"/>
  <c r="S948" i="8"/>
  <c r="Q948" i="8"/>
  <c r="P948" i="8"/>
  <c r="O948" i="8"/>
  <c r="M948" i="8"/>
  <c r="L948" i="8"/>
  <c r="S947" i="8"/>
  <c r="Q947" i="8"/>
  <c r="P947" i="8"/>
  <c r="O947" i="8"/>
  <c r="M947" i="8"/>
  <c r="L947" i="8"/>
  <c r="S946" i="8"/>
  <c r="Q946" i="8"/>
  <c r="P946" i="8"/>
  <c r="O946" i="8"/>
  <c r="M946" i="8"/>
  <c r="L946" i="8"/>
  <c r="S945" i="8"/>
  <c r="Q945" i="8"/>
  <c r="P945" i="8"/>
  <c r="O945" i="8"/>
  <c r="M945" i="8"/>
  <c r="L945" i="8"/>
  <c r="S944" i="8"/>
  <c r="Q944" i="8"/>
  <c r="P944" i="8"/>
  <c r="O944" i="8"/>
  <c r="M944" i="8"/>
  <c r="L944" i="8"/>
  <c r="S943" i="8"/>
  <c r="Q943" i="8"/>
  <c r="P943" i="8"/>
  <c r="O943" i="8"/>
  <c r="M943" i="8"/>
  <c r="L943" i="8"/>
  <c r="S942" i="8"/>
  <c r="Q942" i="8"/>
  <c r="P942" i="8"/>
  <c r="O942" i="8"/>
  <c r="M942" i="8"/>
  <c r="L942" i="8"/>
  <c r="S941" i="8"/>
  <c r="Q941" i="8"/>
  <c r="P941" i="8"/>
  <c r="O941" i="8"/>
  <c r="M941" i="8"/>
  <c r="L941" i="8"/>
  <c r="S940" i="8"/>
  <c r="Q940" i="8"/>
  <c r="P940" i="8"/>
  <c r="O940" i="8"/>
  <c r="M940" i="8"/>
  <c r="L940" i="8"/>
  <c r="S939" i="8"/>
  <c r="Q939" i="8"/>
  <c r="P939" i="8"/>
  <c r="O939" i="8"/>
  <c r="M939" i="8"/>
  <c r="L939" i="8"/>
  <c r="S938" i="8"/>
  <c r="Q938" i="8"/>
  <c r="P938" i="8"/>
  <c r="O938" i="8"/>
  <c r="M938" i="8"/>
  <c r="L938" i="8"/>
  <c r="S937" i="8"/>
  <c r="Q937" i="8"/>
  <c r="P937" i="8"/>
  <c r="O937" i="8"/>
  <c r="M937" i="8"/>
  <c r="L937" i="8"/>
  <c r="S936" i="8"/>
  <c r="Q936" i="8"/>
  <c r="P936" i="8"/>
  <c r="O936" i="8"/>
  <c r="M936" i="8"/>
  <c r="L936" i="8"/>
  <c r="S935" i="8"/>
  <c r="Q935" i="8"/>
  <c r="P935" i="8"/>
  <c r="O935" i="8"/>
  <c r="M935" i="8"/>
  <c r="L935" i="8"/>
  <c r="S934" i="8"/>
  <c r="Q934" i="8"/>
  <c r="P934" i="8"/>
  <c r="O934" i="8"/>
  <c r="M934" i="8"/>
  <c r="L934" i="8"/>
  <c r="S933" i="8"/>
  <c r="Q933" i="8"/>
  <c r="P933" i="8"/>
  <c r="O933" i="8"/>
  <c r="M933" i="8"/>
  <c r="L933" i="8"/>
  <c r="S932" i="8"/>
  <c r="Q932" i="8"/>
  <c r="P932" i="8"/>
  <c r="O932" i="8"/>
  <c r="M932" i="8"/>
  <c r="L932" i="8"/>
  <c r="S931" i="8"/>
  <c r="Q931" i="8"/>
  <c r="P931" i="8"/>
  <c r="O931" i="8"/>
  <c r="M931" i="8"/>
  <c r="L931" i="8"/>
  <c r="S930" i="8"/>
  <c r="Q930" i="8"/>
  <c r="P930" i="8"/>
  <c r="O930" i="8"/>
  <c r="M930" i="8"/>
  <c r="L930" i="8"/>
  <c r="S929" i="8"/>
  <c r="Q929" i="8"/>
  <c r="P929" i="8"/>
  <c r="O929" i="8"/>
  <c r="M929" i="8"/>
  <c r="L929" i="8"/>
  <c r="S928" i="8"/>
  <c r="Q928" i="8"/>
  <c r="P928" i="8"/>
  <c r="O928" i="8"/>
  <c r="M928" i="8"/>
  <c r="L928" i="8"/>
  <c r="S927" i="8"/>
  <c r="Q927" i="8"/>
  <c r="P927" i="8"/>
  <c r="O927" i="8"/>
  <c r="M927" i="8"/>
  <c r="L927" i="8"/>
  <c r="S926" i="8"/>
  <c r="Q926" i="8"/>
  <c r="P926" i="8"/>
  <c r="O926" i="8"/>
  <c r="M926" i="8"/>
  <c r="L926" i="8"/>
  <c r="S925" i="8"/>
  <c r="Q925" i="8"/>
  <c r="P925" i="8"/>
  <c r="O925" i="8"/>
  <c r="M925" i="8"/>
  <c r="N925" i="8" s="1"/>
  <c r="R925" i="8" s="1"/>
  <c r="L925" i="8"/>
  <c r="S924" i="8"/>
  <c r="Q924" i="8"/>
  <c r="P924" i="8"/>
  <c r="O924" i="8"/>
  <c r="M924" i="8"/>
  <c r="L924" i="8"/>
  <c r="S923" i="8"/>
  <c r="Q923" i="8"/>
  <c r="P923" i="8"/>
  <c r="O923" i="8"/>
  <c r="M923" i="8"/>
  <c r="L923" i="8"/>
  <c r="S922" i="8"/>
  <c r="Q922" i="8"/>
  <c r="P922" i="8"/>
  <c r="O922" i="8"/>
  <c r="M922" i="8"/>
  <c r="L922" i="8"/>
  <c r="S921" i="8"/>
  <c r="Q921" i="8"/>
  <c r="P921" i="8"/>
  <c r="O921" i="8"/>
  <c r="M921" i="8"/>
  <c r="L921" i="8"/>
  <c r="S920" i="8"/>
  <c r="Q920" i="8"/>
  <c r="P920" i="8"/>
  <c r="O920" i="8"/>
  <c r="M920" i="8"/>
  <c r="L920" i="8"/>
  <c r="S919" i="8"/>
  <c r="Q919" i="8"/>
  <c r="P919" i="8"/>
  <c r="O919" i="8"/>
  <c r="M919" i="8"/>
  <c r="L919" i="8"/>
  <c r="S918" i="8"/>
  <c r="Q918" i="8"/>
  <c r="P918" i="8"/>
  <c r="O918" i="8"/>
  <c r="M918" i="8"/>
  <c r="L918" i="8"/>
  <c r="S917" i="8"/>
  <c r="Q917" i="8"/>
  <c r="P917" i="8"/>
  <c r="O917" i="8"/>
  <c r="M917" i="8"/>
  <c r="L917" i="8"/>
  <c r="S916" i="8"/>
  <c r="Q916" i="8"/>
  <c r="P916" i="8"/>
  <c r="O916" i="8"/>
  <c r="M916" i="8"/>
  <c r="L916" i="8"/>
  <c r="S915" i="8"/>
  <c r="Q915" i="8"/>
  <c r="P915" i="8"/>
  <c r="O915" i="8"/>
  <c r="M915" i="8"/>
  <c r="L915" i="8"/>
  <c r="S914" i="8"/>
  <c r="Q914" i="8"/>
  <c r="P914" i="8"/>
  <c r="O914" i="8"/>
  <c r="M914" i="8"/>
  <c r="L914" i="8"/>
  <c r="S913" i="8"/>
  <c r="Q913" i="8"/>
  <c r="P913" i="8"/>
  <c r="O913" i="8"/>
  <c r="M913" i="8"/>
  <c r="L913" i="8"/>
  <c r="N913" i="8" s="1"/>
  <c r="R913" i="8" s="1"/>
  <c r="S912" i="8"/>
  <c r="Q912" i="8"/>
  <c r="P912" i="8"/>
  <c r="O912" i="8"/>
  <c r="M912" i="8"/>
  <c r="L912" i="8"/>
  <c r="S911" i="8"/>
  <c r="Q911" i="8"/>
  <c r="P911" i="8"/>
  <c r="O911" i="8"/>
  <c r="M911" i="8"/>
  <c r="L911" i="8"/>
  <c r="S910" i="8"/>
  <c r="Q910" i="8"/>
  <c r="P910" i="8"/>
  <c r="O910" i="8"/>
  <c r="M910" i="8"/>
  <c r="L910" i="8"/>
  <c r="S909" i="8"/>
  <c r="Q909" i="8"/>
  <c r="P909" i="8"/>
  <c r="O909" i="8"/>
  <c r="M909" i="8"/>
  <c r="L909" i="8"/>
  <c r="S908" i="8"/>
  <c r="Q908" i="8"/>
  <c r="P908" i="8"/>
  <c r="O908" i="8"/>
  <c r="M908" i="8"/>
  <c r="L908" i="8"/>
  <c r="S907" i="8"/>
  <c r="Q907" i="8"/>
  <c r="P907" i="8"/>
  <c r="O907" i="8"/>
  <c r="M907" i="8"/>
  <c r="L907" i="8"/>
  <c r="S906" i="8"/>
  <c r="Q906" i="8"/>
  <c r="P906" i="8"/>
  <c r="O906" i="8"/>
  <c r="M906" i="8"/>
  <c r="L906" i="8"/>
  <c r="S905" i="8"/>
  <c r="Q905" i="8"/>
  <c r="P905" i="8"/>
  <c r="O905" i="8"/>
  <c r="M905" i="8"/>
  <c r="L905" i="8"/>
  <c r="S904" i="8"/>
  <c r="Q904" i="8"/>
  <c r="P904" i="8"/>
  <c r="O904" i="8"/>
  <c r="M904" i="8"/>
  <c r="L904" i="8"/>
  <c r="S903" i="8"/>
  <c r="Q903" i="8"/>
  <c r="P903" i="8"/>
  <c r="O903" i="8"/>
  <c r="M903" i="8"/>
  <c r="L903" i="8"/>
  <c r="S902" i="8"/>
  <c r="Q902" i="8"/>
  <c r="P902" i="8"/>
  <c r="O902" i="8"/>
  <c r="M902" i="8"/>
  <c r="L902" i="8"/>
  <c r="S901" i="8"/>
  <c r="Q901" i="8"/>
  <c r="P901" i="8"/>
  <c r="O901" i="8"/>
  <c r="M901" i="8"/>
  <c r="L901" i="8"/>
  <c r="S900" i="8"/>
  <c r="Q900" i="8"/>
  <c r="P900" i="8"/>
  <c r="O900" i="8"/>
  <c r="M900" i="8"/>
  <c r="L900" i="8"/>
  <c r="S899" i="8"/>
  <c r="Q899" i="8"/>
  <c r="P899" i="8"/>
  <c r="O899" i="8"/>
  <c r="M899" i="8"/>
  <c r="L899" i="8"/>
  <c r="S898" i="8"/>
  <c r="Q898" i="8"/>
  <c r="P898" i="8"/>
  <c r="O898" i="8"/>
  <c r="M898" i="8"/>
  <c r="L898" i="8"/>
  <c r="S897" i="8"/>
  <c r="Q897" i="8"/>
  <c r="P897" i="8"/>
  <c r="O897" i="8"/>
  <c r="M897" i="8"/>
  <c r="L897" i="8"/>
  <c r="N897" i="8" s="1"/>
  <c r="R897" i="8" s="1"/>
  <c r="S896" i="8"/>
  <c r="Q896" i="8"/>
  <c r="P896" i="8"/>
  <c r="O896" i="8"/>
  <c r="M896" i="8"/>
  <c r="L896" i="8"/>
  <c r="S895" i="8"/>
  <c r="Q895" i="8"/>
  <c r="P895" i="8"/>
  <c r="O895" i="8"/>
  <c r="M895" i="8"/>
  <c r="L895" i="8"/>
  <c r="S894" i="8"/>
  <c r="Q894" i="8"/>
  <c r="P894" i="8"/>
  <c r="O894" i="8"/>
  <c r="M894" i="8"/>
  <c r="L894" i="8"/>
  <c r="S893" i="8"/>
  <c r="Q893" i="8"/>
  <c r="P893" i="8"/>
  <c r="O893" i="8"/>
  <c r="M893" i="8"/>
  <c r="L893" i="8"/>
  <c r="S892" i="8"/>
  <c r="Q892" i="8"/>
  <c r="P892" i="8"/>
  <c r="O892" i="8"/>
  <c r="M892" i="8"/>
  <c r="L892" i="8"/>
  <c r="S891" i="8"/>
  <c r="Q891" i="8"/>
  <c r="P891" i="8"/>
  <c r="O891" i="8"/>
  <c r="M891" i="8"/>
  <c r="L891" i="8"/>
  <c r="S890" i="8"/>
  <c r="Q890" i="8"/>
  <c r="P890" i="8"/>
  <c r="O890" i="8"/>
  <c r="M890" i="8"/>
  <c r="L890" i="8"/>
  <c r="S889" i="8"/>
  <c r="Q889" i="8"/>
  <c r="P889" i="8"/>
  <c r="O889" i="8"/>
  <c r="M889" i="8"/>
  <c r="L889" i="8"/>
  <c r="S888" i="8"/>
  <c r="Q888" i="8"/>
  <c r="P888" i="8"/>
  <c r="O888" i="8"/>
  <c r="M888" i="8"/>
  <c r="L888" i="8"/>
  <c r="S887" i="8"/>
  <c r="Q887" i="8"/>
  <c r="P887" i="8"/>
  <c r="O887" i="8"/>
  <c r="M887" i="8"/>
  <c r="L887" i="8"/>
  <c r="S886" i="8"/>
  <c r="Q886" i="8"/>
  <c r="P886" i="8"/>
  <c r="O886" i="8"/>
  <c r="M886" i="8"/>
  <c r="N886" i="8" s="1"/>
  <c r="R886" i="8" s="1"/>
  <c r="L886" i="8"/>
  <c r="S885" i="8"/>
  <c r="Q885" i="8"/>
  <c r="P885" i="8"/>
  <c r="O885" i="8"/>
  <c r="M885" i="8"/>
  <c r="L885" i="8"/>
  <c r="S884" i="8"/>
  <c r="Q884" i="8"/>
  <c r="P884" i="8"/>
  <c r="O884" i="8"/>
  <c r="M884" i="8"/>
  <c r="L884" i="8"/>
  <c r="S883" i="8"/>
  <c r="Q883" i="8"/>
  <c r="P883" i="8"/>
  <c r="O883" i="8"/>
  <c r="M883" i="8"/>
  <c r="L883" i="8"/>
  <c r="S882" i="8"/>
  <c r="Q882" i="8"/>
  <c r="P882" i="8"/>
  <c r="O882" i="8"/>
  <c r="M882" i="8"/>
  <c r="N882" i="8" s="1"/>
  <c r="R882" i="8" s="1"/>
  <c r="L882" i="8"/>
  <c r="S881" i="8"/>
  <c r="Q881" i="8"/>
  <c r="P881" i="8"/>
  <c r="O881" i="8"/>
  <c r="M881" i="8"/>
  <c r="L881" i="8"/>
  <c r="S880" i="8"/>
  <c r="Q880" i="8"/>
  <c r="P880" i="8"/>
  <c r="O880" i="8"/>
  <c r="M880" i="8"/>
  <c r="L880" i="8"/>
  <c r="S879" i="8"/>
  <c r="Q879" i="8"/>
  <c r="P879" i="8"/>
  <c r="O879" i="8"/>
  <c r="M879" i="8"/>
  <c r="L879" i="8"/>
  <c r="S878" i="8"/>
  <c r="Q878" i="8"/>
  <c r="P878" i="8"/>
  <c r="O878" i="8"/>
  <c r="M878" i="8"/>
  <c r="L878" i="8"/>
  <c r="S877" i="8"/>
  <c r="Q877" i="8"/>
  <c r="P877" i="8"/>
  <c r="O877" i="8"/>
  <c r="M877" i="8"/>
  <c r="L877" i="8"/>
  <c r="S876" i="8"/>
  <c r="Q876" i="8"/>
  <c r="P876" i="8"/>
  <c r="O876" i="8"/>
  <c r="M876" i="8"/>
  <c r="L876" i="8"/>
  <c r="S875" i="8"/>
  <c r="Q875" i="8"/>
  <c r="P875" i="8"/>
  <c r="O875" i="8"/>
  <c r="M875" i="8"/>
  <c r="L875" i="8"/>
  <c r="S874" i="8"/>
  <c r="Q874" i="8"/>
  <c r="P874" i="8"/>
  <c r="O874" i="8"/>
  <c r="M874" i="8"/>
  <c r="L874" i="8"/>
  <c r="S873" i="8"/>
  <c r="Q873" i="8"/>
  <c r="P873" i="8"/>
  <c r="O873" i="8"/>
  <c r="M873" i="8"/>
  <c r="L873" i="8"/>
  <c r="S872" i="8"/>
  <c r="Q872" i="8"/>
  <c r="P872" i="8"/>
  <c r="O872" i="8"/>
  <c r="M872" i="8"/>
  <c r="L872" i="8"/>
  <c r="S871" i="8"/>
  <c r="Q871" i="8"/>
  <c r="P871" i="8"/>
  <c r="O871" i="8"/>
  <c r="M871" i="8"/>
  <c r="L871" i="8"/>
  <c r="S870" i="8"/>
  <c r="Q870" i="8"/>
  <c r="P870" i="8"/>
  <c r="O870" i="8"/>
  <c r="M870" i="8"/>
  <c r="N870" i="8" s="1"/>
  <c r="R870" i="8" s="1"/>
  <c r="L870" i="8"/>
  <c r="S869" i="8"/>
  <c r="Q869" i="8"/>
  <c r="P869" i="8"/>
  <c r="O869" i="8"/>
  <c r="M869" i="8"/>
  <c r="L869" i="8"/>
  <c r="S868" i="8"/>
  <c r="Q868" i="8"/>
  <c r="P868" i="8"/>
  <c r="O868" i="8"/>
  <c r="M868" i="8"/>
  <c r="L868" i="8"/>
  <c r="S867" i="8"/>
  <c r="Q867" i="8"/>
  <c r="P867" i="8"/>
  <c r="O867" i="8"/>
  <c r="M867" i="8"/>
  <c r="L867" i="8"/>
  <c r="S866" i="8"/>
  <c r="Q866" i="8"/>
  <c r="P866" i="8"/>
  <c r="O866" i="8"/>
  <c r="M866" i="8"/>
  <c r="N866" i="8" s="1"/>
  <c r="R866" i="8" s="1"/>
  <c r="L866" i="8"/>
  <c r="S865" i="8"/>
  <c r="Q865" i="8"/>
  <c r="P865" i="8"/>
  <c r="O865" i="8"/>
  <c r="M865" i="8"/>
  <c r="L865" i="8"/>
  <c r="S864" i="8"/>
  <c r="Q864" i="8"/>
  <c r="P864" i="8"/>
  <c r="O864" i="8"/>
  <c r="M864" i="8"/>
  <c r="L864" i="8"/>
  <c r="S863" i="8"/>
  <c r="Q863" i="8"/>
  <c r="P863" i="8"/>
  <c r="O863" i="8"/>
  <c r="M863" i="8"/>
  <c r="L863" i="8"/>
  <c r="S862" i="8"/>
  <c r="Q862" i="8"/>
  <c r="P862" i="8"/>
  <c r="O862" i="8"/>
  <c r="M862" i="8"/>
  <c r="L862" i="8"/>
  <c r="S861" i="8"/>
  <c r="Q861" i="8"/>
  <c r="P861" i="8"/>
  <c r="O861" i="8"/>
  <c r="M861" i="8"/>
  <c r="L861" i="8"/>
  <c r="S860" i="8"/>
  <c r="Q860" i="8"/>
  <c r="P860" i="8"/>
  <c r="O860" i="8"/>
  <c r="M860" i="8"/>
  <c r="L860" i="8"/>
  <c r="S859" i="8"/>
  <c r="Q859" i="8"/>
  <c r="P859" i="8"/>
  <c r="O859" i="8"/>
  <c r="M859" i="8"/>
  <c r="L859" i="8"/>
  <c r="S858" i="8"/>
  <c r="Q858" i="8"/>
  <c r="P858" i="8"/>
  <c r="O858" i="8"/>
  <c r="M858" i="8"/>
  <c r="L858" i="8"/>
  <c r="S857" i="8"/>
  <c r="Q857" i="8"/>
  <c r="P857" i="8"/>
  <c r="O857" i="8"/>
  <c r="M857" i="8"/>
  <c r="L857" i="8"/>
  <c r="S856" i="8"/>
  <c r="Q856" i="8"/>
  <c r="P856" i="8"/>
  <c r="O856" i="8"/>
  <c r="M856" i="8"/>
  <c r="L856" i="8"/>
  <c r="S855" i="8"/>
  <c r="Q855" i="8"/>
  <c r="P855" i="8"/>
  <c r="O855" i="8"/>
  <c r="M855" i="8"/>
  <c r="L855" i="8"/>
  <c r="S854" i="8"/>
  <c r="Q854" i="8"/>
  <c r="P854" i="8"/>
  <c r="O854" i="8"/>
  <c r="M854" i="8"/>
  <c r="L854" i="8"/>
  <c r="S853" i="8"/>
  <c r="Q853" i="8"/>
  <c r="P853" i="8"/>
  <c r="O853" i="8"/>
  <c r="M853" i="8"/>
  <c r="L853" i="8"/>
  <c r="S852" i="8"/>
  <c r="Q852" i="8"/>
  <c r="P852" i="8"/>
  <c r="O852" i="8"/>
  <c r="M852" i="8"/>
  <c r="L852" i="8"/>
  <c r="S851" i="8"/>
  <c r="Q851" i="8"/>
  <c r="P851" i="8"/>
  <c r="O851" i="8"/>
  <c r="M851" i="8"/>
  <c r="L851" i="8"/>
  <c r="S850" i="8"/>
  <c r="Q850" i="8"/>
  <c r="P850" i="8"/>
  <c r="O850" i="8"/>
  <c r="M850" i="8"/>
  <c r="L850" i="8"/>
  <c r="S849" i="8"/>
  <c r="Q849" i="8"/>
  <c r="P849" i="8"/>
  <c r="O849" i="8"/>
  <c r="M849" i="8"/>
  <c r="L849" i="8"/>
  <c r="N849" i="8" s="1"/>
  <c r="R849" i="8" s="1"/>
  <c r="S848" i="8"/>
  <c r="Q848" i="8"/>
  <c r="P848" i="8"/>
  <c r="O848" i="8"/>
  <c r="M848" i="8"/>
  <c r="L848" i="8"/>
  <c r="S847" i="8"/>
  <c r="Q847" i="8"/>
  <c r="P847" i="8"/>
  <c r="O847" i="8"/>
  <c r="M847" i="8"/>
  <c r="L847" i="8"/>
  <c r="S846" i="8"/>
  <c r="Q846" i="8"/>
  <c r="P846" i="8"/>
  <c r="O846" i="8"/>
  <c r="M846" i="8"/>
  <c r="L846" i="8"/>
  <c r="S845" i="8"/>
  <c r="Q845" i="8"/>
  <c r="P845" i="8"/>
  <c r="O845" i="8"/>
  <c r="M845" i="8"/>
  <c r="L845" i="8"/>
  <c r="S844" i="8"/>
  <c r="Q844" i="8"/>
  <c r="P844" i="8"/>
  <c r="O844" i="8"/>
  <c r="M844" i="8"/>
  <c r="L844" i="8"/>
  <c r="S843" i="8"/>
  <c r="Q843" i="8"/>
  <c r="P843" i="8"/>
  <c r="O843" i="8"/>
  <c r="M843" i="8"/>
  <c r="L843" i="8"/>
  <c r="S842" i="8"/>
  <c r="Q842" i="8"/>
  <c r="P842" i="8"/>
  <c r="O842" i="8"/>
  <c r="M842" i="8"/>
  <c r="L842" i="8"/>
  <c r="S841" i="8"/>
  <c r="Q841" i="8"/>
  <c r="P841" i="8"/>
  <c r="O841" i="8"/>
  <c r="M841" i="8"/>
  <c r="L841" i="8"/>
  <c r="S840" i="8"/>
  <c r="Q840" i="8"/>
  <c r="P840" i="8"/>
  <c r="O840" i="8"/>
  <c r="M840" i="8"/>
  <c r="L840" i="8"/>
  <c r="S839" i="8"/>
  <c r="Q839" i="8"/>
  <c r="P839" i="8"/>
  <c r="O839" i="8"/>
  <c r="M839" i="8"/>
  <c r="L839" i="8"/>
  <c r="S838" i="8"/>
  <c r="Q838" i="8"/>
  <c r="P838" i="8"/>
  <c r="O838" i="8"/>
  <c r="M838" i="8"/>
  <c r="L838" i="8"/>
  <c r="S837" i="8"/>
  <c r="Q837" i="8"/>
  <c r="P837" i="8"/>
  <c r="O837" i="8"/>
  <c r="M837" i="8"/>
  <c r="L837" i="8"/>
  <c r="S836" i="8"/>
  <c r="Q836" i="8"/>
  <c r="P836" i="8"/>
  <c r="O836" i="8"/>
  <c r="M836" i="8"/>
  <c r="L836" i="8"/>
  <c r="S835" i="8"/>
  <c r="Q835" i="8"/>
  <c r="P835" i="8"/>
  <c r="O835" i="8"/>
  <c r="M835" i="8"/>
  <c r="L835" i="8"/>
  <c r="S834" i="8"/>
  <c r="Q834" i="8"/>
  <c r="P834" i="8"/>
  <c r="O834" i="8"/>
  <c r="M834" i="8"/>
  <c r="L834" i="8"/>
  <c r="S833" i="8"/>
  <c r="Q833" i="8"/>
  <c r="P833" i="8"/>
  <c r="O833" i="8"/>
  <c r="M833" i="8"/>
  <c r="L833" i="8"/>
  <c r="S832" i="8"/>
  <c r="Q832" i="8"/>
  <c r="P832" i="8"/>
  <c r="O832" i="8"/>
  <c r="M832" i="8"/>
  <c r="L832" i="8"/>
  <c r="S831" i="8"/>
  <c r="Q831" i="8"/>
  <c r="P831" i="8"/>
  <c r="O831" i="8"/>
  <c r="M831" i="8"/>
  <c r="L831" i="8"/>
  <c r="S830" i="8"/>
  <c r="Q830" i="8"/>
  <c r="P830" i="8"/>
  <c r="O830" i="8"/>
  <c r="M830" i="8"/>
  <c r="L830" i="8"/>
  <c r="S829" i="8"/>
  <c r="Q829" i="8"/>
  <c r="P829" i="8"/>
  <c r="O829" i="8"/>
  <c r="M829" i="8"/>
  <c r="L829" i="8"/>
  <c r="S828" i="8"/>
  <c r="Q828" i="8"/>
  <c r="P828" i="8"/>
  <c r="O828" i="8"/>
  <c r="M828" i="8"/>
  <c r="L828" i="8"/>
  <c r="S827" i="8"/>
  <c r="Q827" i="8"/>
  <c r="P827" i="8"/>
  <c r="O827" i="8"/>
  <c r="M827" i="8"/>
  <c r="L827" i="8"/>
  <c r="S826" i="8"/>
  <c r="Q826" i="8"/>
  <c r="P826" i="8"/>
  <c r="O826" i="8"/>
  <c r="M826" i="8"/>
  <c r="L826" i="8"/>
  <c r="S825" i="8"/>
  <c r="Q825" i="8"/>
  <c r="P825" i="8"/>
  <c r="O825" i="8"/>
  <c r="M825" i="8"/>
  <c r="L825" i="8"/>
  <c r="S824" i="8"/>
  <c r="Q824" i="8"/>
  <c r="P824" i="8"/>
  <c r="O824" i="8"/>
  <c r="M824" i="8"/>
  <c r="L824" i="8"/>
  <c r="S823" i="8"/>
  <c r="Q823" i="8"/>
  <c r="P823" i="8"/>
  <c r="O823" i="8"/>
  <c r="M823" i="8"/>
  <c r="L823" i="8"/>
  <c r="S822" i="8"/>
  <c r="Q822" i="8"/>
  <c r="P822" i="8"/>
  <c r="O822" i="8"/>
  <c r="M822" i="8"/>
  <c r="N822" i="8" s="1"/>
  <c r="R822" i="8" s="1"/>
  <c r="L822" i="8"/>
  <c r="S821" i="8"/>
  <c r="Q821" i="8"/>
  <c r="P821" i="8"/>
  <c r="O821" i="8"/>
  <c r="M821" i="8"/>
  <c r="L821" i="8"/>
  <c r="S820" i="8"/>
  <c r="Q820" i="8"/>
  <c r="P820" i="8"/>
  <c r="O820" i="8"/>
  <c r="M820" i="8"/>
  <c r="L820" i="8"/>
  <c r="S819" i="8"/>
  <c r="Q819" i="8"/>
  <c r="P819" i="8"/>
  <c r="O819" i="8"/>
  <c r="M819" i="8"/>
  <c r="L819" i="8"/>
  <c r="S818" i="8"/>
  <c r="Q818" i="8"/>
  <c r="P818" i="8"/>
  <c r="O818" i="8"/>
  <c r="M818" i="8"/>
  <c r="N818" i="8" s="1"/>
  <c r="R818" i="8" s="1"/>
  <c r="L818" i="8"/>
  <c r="S817" i="8"/>
  <c r="Q817" i="8"/>
  <c r="P817" i="8"/>
  <c r="O817" i="8"/>
  <c r="M817" i="8"/>
  <c r="L817" i="8"/>
  <c r="S816" i="8"/>
  <c r="Q816" i="8"/>
  <c r="P816" i="8"/>
  <c r="O816" i="8"/>
  <c r="M816" i="8"/>
  <c r="L816" i="8"/>
  <c r="S815" i="8"/>
  <c r="Q815" i="8"/>
  <c r="P815" i="8"/>
  <c r="O815" i="8"/>
  <c r="M815" i="8"/>
  <c r="L815" i="8"/>
  <c r="S814" i="8"/>
  <c r="Q814" i="8"/>
  <c r="P814" i="8"/>
  <c r="O814" i="8"/>
  <c r="M814" i="8"/>
  <c r="L814" i="8"/>
  <c r="S813" i="8"/>
  <c r="Q813" i="8"/>
  <c r="P813" i="8"/>
  <c r="O813" i="8"/>
  <c r="M813" i="8"/>
  <c r="L813" i="8"/>
  <c r="S812" i="8"/>
  <c r="Q812" i="8"/>
  <c r="P812" i="8"/>
  <c r="O812" i="8"/>
  <c r="M812" i="8"/>
  <c r="L812" i="8"/>
  <c r="S811" i="8"/>
  <c r="Q811" i="8"/>
  <c r="P811" i="8"/>
  <c r="O811" i="8"/>
  <c r="M811" i="8"/>
  <c r="L811" i="8"/>
  <c r="S810" i="8"/>
  <c r="Q810" i="8"/>
  <c r="P810" i="8"/>
  <c r="O810" i="8"/>
  <c r="M810" i="8"/>
  <c r="L810" i="8"/>
  <c r="S809" i="8"/>
  <c r="Q809" i="8"/>
  <c r="P809" i="8"/>
  <c r="O809" i="8"/>
  <c r="M809" i="8"/>
  <c r="L809" i="8"/>
  <c r="S808" i="8"/>
  <c r="Q808" i="8"/>
  <c r="P808" i="8"/>
  <c r="O808" i="8"/>
  <c r="M808" i="8"/>
  <c r="L808" i="8"/>
  <c r="S807" i="8"/>
  <c r="Q807" i="8"/>
  <c r="P807" i="8"/>
  <c r="O807" i="8"/>
  <c r="M807" i="8"/>
  <c r="L807" i="8"/>
  <c r="S806" i="8"/>
  <c r="Q806" i="8"/>
  <c r="P806" i="8"/>
  <c r="O806" i="8"/>
  <c r="M806" i="8"/>
  <c r="N806" i="8" s="1"/>
  <c r="R806" i="8" s="1"/>
  <c r="L806" i="8"/>
  <c r="S805" i="8"/>
  <c r="Q805" i="8"/>
  <c r="P805" i="8"/>
  <c r="O805" i="8"/>
  <c r="M805" i="8"/>
  <c r="L805" i="8"/>
  <c r="S804" i="8"/>
  <c r="Q804" i="8"/>
  <c r="P804" i="8"/>
  <c r="O804" i="8"/>
  <c r="M804" i="8"/>
  <c r="L804" i="8"/>
  <c r="S803" i="8"/>
  <c r="Q803" i="8"/>
  <c r="P803" i="8"/>
  <c r="O803" i="8"/>
  <c r="M803" i="8"/>
  <c r="L803" i="8"/>
  <c r="S802" i="8"/>
  <c r="Q802" i="8"/>
  <c r="P802" i="8"/>
  <c r="O802" i="8"/>
  <c r="M802" i="8"/>
  <c r="N802" i="8" s="1"/>
  <c r="R802" i="8" s="1"/>
  <c r="L802" i="8"/>
  <c r="S801" i="8"/>
  <c r="Q801" i="8"/>
  <c r="P801" i="8"/>
  <c r="O801" i="8"/>
  <c r="M801" i="8"/>
  <c r="L801" i="8"/>
  <c r="S800" i="8"/>
  <c r="Q800" i="8"/>
  <c r="P800" i="8"/>
  <c r="O800" i="8"/>
  <c r="M800" i="8"/>
  <c r="L800" i="8"/>
  <c r="S799" i="8"/>
  <c r="Q799" i="8"/>
  <c r="P799" i="8"/>
  <c r="O799" i="8"/>
  <c r="M799" i="8"/>
  <c r="L799" i="8"/>
  <c r="S798" i="8"/>
  <c r="Q798" i="8"/>
  <c r="P798" i="8"/>
  <c r="O798" i="8"/>
  <c r="M798" i="8"/>
  <c r="L798" i="8"/>
  <c r="S797" i="8"/>
  <c r="Q797" i="8"/>
  <c r="P797" i="8"/>
  <c r="O797" i="8"/>
  <c r="M797" i="8"/>
  <c r="L797" i="8"/>
  <c r="S796" i="8"/>
  <c r="Q796" i="8"/>
  <c r="P796" i="8"/>
  <c r="O796" i="8"/>
  <c r="M796" i="8"/>
  <c r="L796" i="8"/>
  <c r="S795" i="8"/>
  <c r="Q795" i="8"/>
  <c r="P795" i="8"/>
  <c r="O795" i="8"/>
  <c r="M795" i="8"/>
  <c r="L795" i="8"/>
  <c r="S794" i="8"/>
  <c r="Q794" i="8"/>
  <c r="P794" i="8"/>
  <c r="O794" i="8"/>
  <c r="M794" i="8"/>
  <c r="L794" i="8"/>
  <c r="S793" i="8"/>
  <c r="Q793" i="8"/>
  <c r="P793" i="8"/>
  <c r="O793" i="8"/>
  <c r="M793" i="8"/>
  <c r="L793" i="8"/>
  <c r="S792" i="8"/>
  <c r="Q792" i="8"/>
  <c r="P792" i="8"/>
  <c r="O792" i="8"/>
  <c r="M792" i="8"/>
  <c r="L792" i="8"/>
  <c r="S791" i="8"/>
  <c r="Q791" i="8"/>
  <c r="P791" i="8"/>
  <c r="O791" i="8"/>
  <c r="M791" i="8"/>
  <c r="L791" i="8"/>
  <c r="S790" i="8"/>
  <c r="Q790" i="8"/>
  <c r="P790" i="8"/>
  <c r="O790" i="8"/>
  <c r="M790" i="8"/>
  <c r="L790" i="8"/>
  <c r="S789" i="8"/>
  <c r="Q789" i="8"/>
  <c r="P789" i="8"/>
  <c r="O789" i="8"/>
  <c r="M789" i="8"/>
  <c r="L789" i="8"/>
  <c r="S788" i="8"/>
  <c r="Q788" i="8"/>
  <c r="P788" i="8"/>
  <c r="O788" i="8"/>
  <c r="M788" i="8"/>
  <c r="L788" i="8"/>
  <c r="S787" i="8"/>
  <c r="Q787" i="8"/>
  <c r="P787" i="8"/>
  <c r="O787" i="8"/>
  <c r="M787" i="8"/>
  <c r="L787" i="8"/>
  <c r="S786" i="8"/>
  <c r="Q786" i="8"/>
  <c r="P786" i="8"/>
  <c r="O786" i="8"/>
  <c r="M786" i="8"/>
  <c r="L786" i="8"/>
  <c r="S785" i="8"/>
  <c r="Q785" i="8"/>
  <c r="P785" i="8"/>
  <c r="O785" i="8"/>
  <c r="M785" i="8"/>
  <c r="L785" i="8"/>
  <c r="N785" i="8" s="1"/>
  <c r="R785" i="8" s="1"/>
  <c r="S784" i="8"/>
  <c r="Q784" i="8"/>
  <c r="P784" i="8"/>
  <c r="O784" i="8"/>
  <c r="M784" i="8"/>
  <c r="L784" i="8"/>
  <c r="S783" i="8"/>
  <c r="Q783" i="8"/>
  <c r="P783" i="8"/>
  <c r="O783" i="8"/>
  <c r="M783" i="8"/>
  <c r="L783" i="8"/>
  <c r="S782" i="8"/>
  <c r="Q782" i="8"/>
  <c r="P782" i="8"/>
  <c r="O782" i="8"/>
  <c r="M782" i="8"/>
  <c r="L782" i="8"/>
  <c r="S781" i="8"/>
  <c r="Q781" i="8"/>
  <c r="P781" i="8"/>
  <c r="O781" i="8"/>
  <c r="M781" i="8"/>
  <c r="L781" i="8"/>
  <c r="S780" i="8"/>
  <c r="Q780" i="8"/>
  <c r="P780" i="8"/>
  <c r="O780" i="8"/>
  <c r="M780" i="8"/>
  <c r="L780" i="8"/>
  <c r="S779" i="8"/>
  <c r="Q779" i="8"/>
  <c r="P779" i="8"/>
  <c r="O779" i="8"/>
  <c r="M779" i="8"/>
  <c r="L779" i="8"/>
  <c r="S778" i="8"/>
  <c r="Q778" i="8"/>
  <c r="P778" i="8"/>
  <c r="O778" i="8"/>
  <c r="M778" i="8"/>
  <c r="L778" i="8"/>
  <c r="S777" i="8"/>
  <c r="Q777" i="8"/>
  <c r="P777" i="8"/>
  <c r="O777" i="8"/>
  <c r="M777" i="8"/>
  <c r="L777" i="8"/>
  <c r="S776" i="8"/>
  <c r="Q776" i="8"/>
  <c r="P776" i="8"/>
  <c r="O776" i="8"/>
  <c r="M776" i="8"/>
  <c r="L776" i="8"/>
  <c r="S775" i="8"/>
  <c r="Q775" i="8"/>
  <c r="P775" i="8"/>
  <c r="O775" i="8"/>
  <c r="M775" i="8"/>
  <c r="L775" i="8"/>
  <c r="S774" i="8"/>
  <c r="Q774" i="8"/>
  <c r="P774" i="8"/>
  <c r="O774" i="8"/>
  <c r="M774" i="8"/>
  <c r="N774" i="8" s="1"/>
  <c r="R774" i="8" s="1"/>
  <c r="L774" i="8"/>
  <c r="S773" i="8"/>
  <c r="Q773" i="8"/>
  <c r="P773" i="8"/>
  <c r="O773" i="8"/>
  <c r="M773" i="8"/>
  <c r="L773" i="8"/>
  <c r="S772" i="8"/>
  <c r="Q772" i="8"/>
  <c r="P772" i="8"/>
  <c r="O772" i="8"/>
  <c r="M772" i="8"/>
  <c r="L772" i="8"/>
  <c r="S771" i="8"/>
  <c r="Q771" i="8"/>
  <c r="P771" i="8"/>
  <c r="O771" i="8"/>
  <c r="M771" i="8"/>
  <c r="L771" i="8"/>
  <c r="S770" i="8"/>
  <c r="Q770" i="8"/>
  <c r="P770" i="8"/>
  <c r="O770" i="8"/>
  <c r="M770" i="8"/>
  <c r="N770" i="8" s="1"/>
  <c r="R770" i="8" s="1"/>
  <c r="L770" i="8"/>
  <c r="S769" i="8"/>
  <c r="Q769" i="8"/>
  <c r="P769" i="8"/>
  <c r="O769" i="8"/>
  <c r="M769" i="8"/>
  <c r="L769" i="8"/>
  <c r="S768" i="8"/>
  <c r="Q768" i="8"/>
  <c r="P768" i="8"/>
  <c r="O768" i="8"/>
  <c r="M768" i="8"/>
  <c r="L768" i="8"/>
  <c r="S767" i="8"/>
  <c r="Q767" i="8"/>
  <c r="P767" i="8"/>
  <c r="O767" i="8"/>
  <c r="M767" i="8"/>
  <c r="L767" i="8"/>
  <c r="S766" i="8"/>
  <c r="Q766" i="8"/>
  <c r="P766" i="8"/>
  <c r="O766" i="8"/>
  <c r="M766" i="8"/>
  <c r="L766" i="8"/>
  <c r="S765" i="8"/>
  <c r="Q765" i="8"/>
  <c r="P765" i="8"/>
  <c r="O765" i="8"/>
  <c r="M765" i="8"/>
  <c r="L765" i="8"/>
  <c r="S764" i="8"/>
  <c r="Q764" i="8"/>
  <c r="P764" i="8"/>
  <c r="O764" i="8"/>
  <c r="M764" i="8"/>
  <c r="L764" i="8"/>
  <c r="S763" i="8"/>
  <c r="Q763" i="8"/>
  <c r="P763" i="8"/>
  <c r="O763" i="8"/>
  <c r="M763" i="8"/>
  <c r="L763" i="8"/>
  <c r="S762" i="8"/>
  <c r="Q762" i="8"/>
  <c r="P762" i="8"/>
  <c r="O762" i="8"/>
  <c r="M762" i="8"/>
  <c r="L762" i="8"/>
  <c r="S761" i="8"/>
  <c r="Q761" i="8"/>
  <c r="P761" i="8"/>
  <c r="O761" i="8"/>
  <c r="M761" i="8"/>
  <c r="L761" i="8"/>
  <c r="S760" i="8"/>
  <c r="Q760" i="8"/>
  <c r="P760" i="8"/>
  <c r="O760" i="8"/>
  <c r="M760" i="8"/>
  <c r="L760" i="8"/>
  <c r="S759" i="8"/>
  <c r="Q759" i="8"/>
  <c r="P759" i="8"/>
  <c r="O759" i="8"/>
  <c r="M759" i="8"/>
  <c r="L759" i="8"/>
  <c r="S758" i="8"/>
  <c r="Q758" i="8"/>
  <c r="P758" i="8"/>
  <c r="O758" i="8"/>
  <c r="M758" i="8"/>
  <c r="N758" i="8" s="1"/>
  <c r="R758" i="8" s="1"/>
  <c r="L758" i="8"/>
  <c r="S757" i="8"/>
  <c r="Q757" i="8"/>
  <c r="P757" i="8"/>
  <c r="O757" i="8"/>
  <c r="M757" i="8"/>
  <c r="L757" i="8"/>
  <c r="S756" i="8"/>
  <c r="Q756" i="8"/>
  <c r="P756" i="8"/>
  <c r="O756" i="8"/>
  <c r="M756" i="8"/>
  <c r="L756" i="8"/>
  <c r="S755" i="8"/>
  <c r="Q755" i="8"/>
  <c r="P755" i="8"/>
  <c r="O755" i="8"/>
  <c r="M755" i="8"/>
  <c r="L755" i="8"/>
  <c r="S754" i="8"/>
  <c r="Q754" i="8"/>
  <c r="P754" i="8"/>
  <c r="O754" i="8"/>
  <c r="M754" i="8"/>
  <c r="N754" i="8" s="1"/>
  <c r="R754" i="8" s="1"/>
  <c r="L754" i="8"/>
  <c r="S753" i="8"/>
  <c r="Q753" i="8"/>
  <c r="P753" i="8"/>
  <c r="O753" i="8"/>
  <c r="M753" i="8"/>
  <c r="L753" i="8"/>
  <c r="S752" i="8"/>
  <c r="Q752" i="8"/>
  <c r="P752" i="8"/>
  <c r="O752" i="8"/>
  <c r="M752" i="8"/>
  <c r="L752" i="8"/>
  <c r="S751" i="8"/>
  <c r="Q751" i="8"/>
  <c r="P751" i="8"/>
  <c r="O751" i="8"/>
  <c r="M751" i="8"/>
  <c r="L751" i="8"/>
  <c r="S750" i="8"/>
  <c r="Q750" i="8"/>
  <c r="P750" i="8"/>
  <c r="O750" i="8"/>
  <c r="M750" i="8"/>
  <c r="L750" i="8"/>
  <c r="S749" i="8"/>
  <c r="Q749" i="8"/>
  <c r="P749" i="8"/>
  <c r="O749" i="8"/>
  <c r="M749" i="8"/>
  <c r="L749" i="8"/>
  <c r="S748" i="8"/>
  <c r="Q748" i="8"/>
  <c r="P748" i="8"/>
  <c r="O748" i="8"/>
  <c r="M748" i="8"/>
  <c r="L748" i="8"/>
  <c r="S747" i="8"/>
  <c r="Q747" i="8"/>
  <c r="P747" i="8"/>
  <c r="O747" i="8"/>
  <c r="M747" i="8"/>
  <c r="L747" i="8"/>
  <c r="S746" i="8"/>
  <c r="Q746" i="8"/>
  <c r="P746" i="8"/>
  <c r="O746" i="8"/>
  <c r="M746" i="8"/>
  <c r="L746" i="8"/>
  <c r="S745" i="8"/>
  <c r="Q745" i="8"/>
  <c r="P745" i="8"/>
  <c r="O745" i="8"/>
  <c r="M745" i="8"/>
  <c r="L745" i="8"/>
  <c r="S744" i="8"/>
  <c r="Q744" i="8"/>
  <c r="P744" i="8"/>
  <c r="O744" i="8"/>
  <c r="M744" i="8"/>
  <c r="L744" i="8"/>
  <c r="S743" i="8"/>
  <c r="Q743" i="8"/>
  <c r="P743" i="8"/>
  <c r="O743" i="8"/>
  <c r="M743" i="8"/>
  <c r="L743" i="8"/>
  <c r="S742" i="8"/>
  <c r="Q742" i="8"/>
  <c r="P742" i="8"/>
  <c r="O742" i="8"/>
  <c r="M742" i="8"/>
  <c r="L742" i="8"/>
  <c r="S741" i="8"/>
  <c r="Q741" i="8"/>
  <c r="P741" i="8"/>
  <c r="O741" i="8"/>
  <c r="M741" i="8"/>
  <c r="L741" i="8"/>
  <c r="S740" i="8"/>
  <c r="Q740" i="8"/>
  <c r="P740" i="8"/>
  <c r="O740" i="8"/>
  <c r="M740" i="8"/>
  <c r="L740" i="8"/>
  <c r="S739" i="8"/>
  <c r="Q739" i="8"/>
  <c r="P739" i="8"/>
  <c r="O739" i="8"/>
  <c r="M739" i="8"/>
  <c r="L739" i="8"/>
  <c r="S738" i="8"/>
  <c r="Q738" i="8"/>
  <c r="P738" i="8"/>
  <c r="O738" i="8"/>
  <c r="M738" i="8"/>
  <c r="L738" i="8"/>
  <c r="S737" i="8"/>
  <c r="Q737" i="8"/>
  <c r="P737" i="8"/>
  <c r="O737" i="8"/>
  <c r="M737" i="8"/>
  <c r="L737" i="8"/>
  <c r="S736" i="8"/>
  <c r="Q736" i="8"/>
  <c r="P736" i="8"/>
  <c r="O736" i="8"/>
  <c r="M736" i="8"/>
  <c r="L736" i="8"/>
  <c r="S735" i="8"/>
  <c r="Q735" i="8"/>
  <c r="P735" i="8"/>
  <c r="O735" i="8"/>
  <c r="M735" i="8"/>
  <c r="L735" i="8"/>
  <c r="S734" i="8"/>
  <c r="Q734" i="8"/>
  <c r="P734" i="8"/>
  <c r="O734" i="8"/>
  <c r="M734" i="8"/>
  <c r="L734" i="8"/>
  <c r="S733" i="8"/>
  <c r="Q733" i="8"/>
  <c r="P733" i="8"/>
  <c r="O733" i="8"/>
  <c r="M733" i="8"/>
  <c r="L733" i="8"/>
  <c r="S732" i="8"/>
  <c r="Q732" i="8"/>
  <c r="P732" i="8"/>
  <c r="O732" i="8"/>
  <c r="M732" i="8"/>
  <c r="L732" i="8"/>
  <c r="S731" i="8"/>
  <c r="Q731" i="8"/>
  <c r="P731" i="8"/>
  <c r="O731" i="8"/>
  <c r="M731" i="8"/>
  <c r="L731" i="8"/>
  <c r="S730" i="8"/>
  <c r="Q730" i="8"/>
  <c r="P730" i="8"/>
  <c r="O730" i="8"/>
  <c r="M730" i="8"/>
  <c r="L730" i="8"/>
  <c r="S729" i="8"/>
  <c r="Q729" i="8"/>
  <c r="P729" i="8"/>
  <c r="O729" i="8"/>
  <c r="M729" i="8"/>
  <c r="L729" i="8"/>
  <c r="S728" i="8"/>
  <c r="Q728" i="8"/>
  <c r="P728" i="8"/>
  <c r="O728" i="8"/>
  <c r="M728" i="8"/>
  <c r="L728" i="8"/>
  <c r="S727" i="8"/>
  <c r="Q727" i="8"/>
  <c r="P727" i="8"/>
  <c r="O727" i="8"/>
  <c r="M727" i="8"/>
  <c r="L727" i="8"/>
  <c r="S726" i="8"/>
  <c r="Q726" i="8"/>
  <c r="P726" i="8"/>
  <c r="O726" i="8"/>
  <c r="M726" i="8"/>
  <c r="L726" i="8"/>
  <c r="S725" i="8"/>
  <c r="Q725" i="8"/>
  <c r="P725" i="8"/>
  <c r="O725" i="8"/>
  <c r="M725" i="8"/>
  <c r="L725" i="8"/>
  <c r="S724" i="8"/>
  <c r="Q724" i="8"/>
  <c r="P724" i="8"/>
  <c r="O724" i="8"/>
  <c r="M724" i="8"/>
  <c r="L724" i="8"/>
  <c r="S723" i="8"/>
  <c r="Q723" i="8"/>
  <c r="P723" i="8"/>
  <c r="O723" i="8"/>
  <c r="M723" i="8"/>
  <c r="L723" i="8"/>
  <c r="S722" i="8"/>
  <c r="Q722" i="8"/>
  <c r="P722" i="8"/>
  <c r="O722" i="8"/>
  <c r="M722" i="8"/>
  <c r="L722" i="8"/>
  <c r="S721" i="8"/>
  <c r="Q721" i="8"/>
  <c r="P721" i="8"/>
  <c r="O721" i="8"/>
  <c r="M721" i="8"/>
  <c r="L721" i="8"/>
  <c r="N721" i="8" s="1"/>
  <c r="R721" i="8" s="1"/>
  <c r="S720" i="8"/>
  <c r="Q720" i="8"/>
  <c r="P720" i="8"/>
  <c r="O720" i="8"/>
  <c r="M720" i="8"/>
  <c r="L720" i="8"/>
  <c r="S719" i="8"/>
  <c r="Q719" i="8"/>
  <c r="P719" i="8"/>
  <c r="O719" i="8"/>
  <c r="M719" i="8"/>
  <c r="L719" i="8"/>
  <c r="S718" i="8"/>
  <c r="Q718" i="8"/>
  <c r="P718" i="8"/>
  <c r="O718" i="8"/>
  <c r="M718" i="8"/>
  <c r="L718" i="8"/>
  <c r="S717" i="8"/>
  <c r="Q717" i="8"/>
  <c r="P717" i="8"/>
  <c r="O717" i="8"/>
  <c r="M717" i="8"/>
  <c r="L717" i="8"/>
  <c r="S716" i="8"/>
  <c r="Q716" i="8"/>
  <c r="P716" i="8"/>
  <c r="O716" i="8"/>
  <c r="M716" i="8"/>
  <c r="L716" i="8"/>
  <c r="S715" i="8"/>
  <c r="Q715" i="8"/>
  <c r="P715" i="8"/>
  <c r="O715" i="8"/>
  <c r="M715" i="8"/>
  <c r="L715" i="8"/>
  <c r="N715" i="8" s="1"/>
  <c r="R715" i="8" s="1"/>
  <c r="S714" i="8"/>
  <c r="Q714" i="8"/>
  <c r="P714" i="8"/>
  <c r="O714" i="8"/>
  <c r="M714" i="8"/>
  <c r="L714" i="8"/>
  <c r="S713" i="8"/>
  <c r="Q713" i="8"/>
  <c r="P713" i="8"/>
  <c r="O713" i="8"/>
  <c r="M713" i="8"/>
  <c r="L713" i="8"/>
  <c r="S712" i="8"/>
  <c r="Q712" i="8"/>
  <c r="P712" i="8"/>
  <c r="O712" i="8"/>
  <c r="M712" i="8"/>
  <c r="L712" i="8"/>
  <c r="S711" i="8"/>
  <c r="Q711" i="8"/>
  <c r="P711" i="8"/>
  <c r="O711" i="8"/>
  <c r="M711" i="8"/>
  <c r="L711" i="8"/>
  <c r="S710" i="8"/>
  <c r="Q710" i="8"/>
  <c r="P710" i="8"/>
  <c r="O710" i="8"/>
  <c r="M710" i="8"/>
  <c r="N710" i="8" s="1"/>
  <c r="R710" i="8" s="1"/>
  <c r="L710" i="8"/>
  <c r="S709" i="8"/>
  <c r="Q709" i="8"/>
  <c r="P709" i="8"/>
  <c r="O709" i="8"/>
  <c r="M709" i="8"/>
  <c r="L709" i="8"/>
  <c r="S708" i="8"/>
  <c r="Q708" i="8"/>
  <c r="P708" i="8"/>
  <c r="O708" i="8"/>
  <c r="M708" i="8"/>
  <c r="L708" i="8"/>
  <c r="S707" i="8"/>
  <c r="Q707" i="8"/>
  <c r="P707" i="8"/>
  <c r="O707" i="8"/>
  <c r="M707" i="8"/>
  <c r="L707" i="8"/>
  <c r="S706" i="8"/>
  <c r="Q706" i="8"/>
  <c r="P706" i="8"/>
  <c r="O706" i="8"/>
  <c r="M706" i="8"/>
  <c r="N706" i="8" s="1"/>
  <c r="R706" i="8" s="1"/>
  <c r="L706" i="8"/>
  <c r="S705" i="8"/>
  <c r="Q705" i="8"/>
  <c r="P705" i="8"/>
  <c r="O705" i="8"/>
  <c r="M705" i="8"/>
  <c r="L705" i="8"/>
  <c r="S704" i="8"/>
  <c r="Q704" i="8"/>
  <c r="P704" i="8"/>
  <c r="O704" i="8"/>
  <c r="M704" i="8"/>
  <c r="L704" i="8"/>
  <c r="S703" i="8"/>
  <c r="Q703" i="8"/>
  <c r="P703" i="8"/>
  <c r="O703" i="8"/>
  <c r="M703" i="8"/>
  <c r="L703" i="8"/>
  <c r="S702" i="8"/>
  <c r="Q702" i="8"/>
  <c r="P702" i="8"/>
  <c r="O702" i="8"/>
  <c r="M702" i="8"/>
  <c r="L702" i="8"/>
  <c r="S701" i="8"/>
  <c r="Q701" i="8"/>
  <c r="P701" i="8"/>
  <c r="O701" i="8"/>
  <c r="M701" i="8"/>
  <c r="L701" i="8"/>
  <c r="S700" i="8"/>
  <c r="Q700" i="8"/>
  <c r="P700" i="8"/>
  <c r="O700" i="8"/>
  <c r="M700" i="8"/>
  <c r="L700" i="8"/>
  <c r="S699" i="8"/>
  <c r="Q699" i="8"/>
  <c r="P699" i="8"/>
  <c r="O699" i="8"/>
  <c r="M699" i="8"/>
  <c r="L699" i="8"/>
  <c r="S698" i="8"/>
  <c r="Q698" i="8"/>
  <c r="P698" i="8"/>
  <c r="O698" i="8"/>
  <c r="M698" i="8"/>
  <c r="N698" i="8" s="1"/>
  <c r="R698" i="8" s="1"/>
  <c r="L698" i="8"/>
  <c r="S697" i="8"/>
  <c r="Q697" i="8"/>
  <c r="P697" i="8"/>
  <c r="O697" i="8"/>
  <c r="M697" i="8"/>
  <c r="L697" i="8"/>
  <c r="S696" i="8"/>
  <c r="Q696" i="8"/>
  <c r="P696" i="8"/>
  <c r="O696" i="8"/>
  <c r="M696" i="8"/>
  <c r="L696" i="8"/>
  <c r="S695" i="8"/>
  <c r="Q695" i="8"/>
  <c r="P695" i="8"/>
  <c r="O695" i="8"/>
  <c r="M695" i="8"/>
  <c r="L695" i="8"/>
  <c r="S694" i="8"/>
  <c r="Q694" i="8"/>
  <c r="P694" i="8"/>
  <c r="O694" i="8"/>
  <c r="M694" i="8"/>
  <c r="L694" i="8"/>
  <c r="S693" i="8"/>
  <c r="Q693" i="8"/>
  <c r="P693" i="8"/>
  <c r="O693" i="8"/>
  <c r="M693" i="8"/>
  <c r="L693" i="8"/>
  <c r="S692" i="8"/>
  <c r="Q692" i="8"/>
  <c r="P692" i="8"/>
  <c r="O692" i="8"/>
  <c r="M692" i="8"/>
  <c r="L692" i="8"/>
  <c r="S691" i="8"/>
  <c r="Q691" i="8"/>
  <c r="P691" i="8"/>
  <c r="O691" i="8"/>
  <c r="M691" i="8"/>
  <c r="L691" i="8"/>
  <c r="S690" i="8"/>
  <c r="Q690" i="8"/>
  <c r="P690" i="8"/>
  <c r="O690" i="8"/>
  <c r="M690" i="8"/>
  <c r="L690" i="8"/>
  <c r="S689" i="8"/>
  <c r="Q689" i="8"/>
  <c r="P689" i="8"/>
  <c r="O689" i="8"/>
  <c r="M689" i="8"/>
  <c r="L689" i="8"/>
  <c r="S688" i="8"/>
  <c r="Q688" i="8"/>
  <c r="P688" i="8"/>
  <c r="O688" i="8"/>
  <c r="M688" i="8"/>
  <c r="L688" i="8"/>
  <c r="S687" i="8"/>
  <c r="Q687" i="8"/>
  <c r="P687" i="8"/>
  <c r="O687" i="8"/>
  <c r="M687" i="8"/>
  <c r="L687" i="8"/>
  <c r="S686" i="8"/>
  <c r="Q686" i="8"/>
  <c r="P686" i="8"/>
  <c r="O686" i="8"/>
  <c r="M686" i="8"/>
  <c r="L686" i="8"/>
  <c r="S685" i="8"/>
  <c r="Q685" i="8"/>
  <c r="P685" i="8"/>
  <c r="O685" i="8"/>
  <c r="M685" i="8"/>
  <c r="L685" i="8"/>
  <c r="S684" i="8"/>
  <c r="Q684" i="8"/>
  <c r="P684" i="8"/>
  <c r="O684" i="8"/>
  <c r="M684" i="8"/>
  <c r="L684" i="8"/>
  <c r="S683" i="8"/>
  <c r="Q683" i="8"/>
  <c r="P683" i="8"/>
  <c r="O683" i="8"/>
  <c r="M683" i="8"/>
  <c r="L683" i="8"/>
  <c r="S682" i="8"/>
  <c r="Q682" i="8"/>
  <c r="P682" i="8"/>
  <c r="O682" i="8"/>
  <c r="M682" i="8"/>
  <c r="N682" i="8" s="1"/>
  <c r="R682" i="8" s="1"/>
  <c r="L682" i="8"/>
  <c r="S681" i="8"/>
  <c r="Q681" i="8"/>
  <c r="P681" i="8"/>
  <c r="O681" i="8"/>
  <c r="M681" i="8"/>
  <c r="L681" i="8"/>
  <c r="S680" i="8"/>
  <c r="Q680" i="8"/>
  <c r="P680" i="8"/>
  <c r="O680" i="8"/>
  <c r="M680" i="8"/>
  <c r="L680" i="8"/>
  <c r="S679" i="8"/>
  <c r="Q679" i="8"/>
  <c r="P679" i="8"/>
  <c r="O679" i="8"/>
  <c r="M679" i="8"/>
  <c r="L679" i="8"/>
  <c r="S678" i="8"/>
  <c r="Q678" i="8"/>
  <c r="P678" i="8"/>
  <c r="O678" i="8"/>
  <c r="M678" i="8"/>
  <c r="L678" i="8"/>
  <c r="S677" i="8"/>
  <c r="Q677" i="8"/>
  <c r="P677" i="8"/>
  <c r="O677" i="8"/>
  <c r="M677" i="8"/>
  <c r="L677" i="8"/>
  <c r="S676" i="8"/>
  <c r="Q676" i="8"/>
  <c r="P676" i="8"/>
  <c r="O676" i="8"/>
  <c r="M676" i="8"/>
  <c r="L676" i="8"/>
  <c r="S675" i="8"/>
  <c r="Q675" i="8"/>
  <c r="P675" i="8"/>
  <c r="O675" i="8"/>
  <c r="M675" i="8"/>
  <c r="L675" i="8"/>
  <c r="S674" i="8"/>
  <c r="Q674" i="8"/>
  <c r="P674" i="8"/>
  <c r="O674" i="8"/>
  <c r="M674" i="8"/>
  <c r="L674" i="8"/>
  <c r="S673" i="8"/>
  <c r="Q673" i="8"/>
  <c r="P673" i="8"/>
  <c r="O673" i="8"/>
  <c r="M673" i="8"/>
  <c r="L673" i="8"/>
  <c r="S672" i="8"/>
  <c r="Q672" i="8"/>
  <c r="P672" i="8"/>
  <c r="O672" i="8"/>
  <c r="M672" i="8"/>
  <c r="L672" i="8"/>
  <c r="S671" i="8"/>
  <c r="Q671" i="8"/>
  <c r="P671" i="8"/>
  <c r="O671" i="8"/>
  <c r="M671" i="8"/>
  <c r="L671" i="8"/>
  <c r="S670" i="8"/>
  <c r="Q670" i="8"/>
  <c r="P670" i="8"/>
  <c r="O670" i="8"/>
  <c r="M670" i="8"/>
  <c r="L670" i="8"/>
  <c r="S669" i="8"/>
  <c r="Q669" i="8"/>
  <c r="P669" i="8"/>
  <c r="O669" i="8"/>
  <c r="M669" i="8"/>
  <c r="L669" i="8"/>
  <c r="S668" i="8"/>
  <c r="Q668" i="8"/>
  <c r="P668" i="8"/>
  <c r="O668" i="8"/>
  <c r="M668" i="8"/>
  <c r="L668" i="8"/>
  <c r="S667" i="8"/>
  <c r="Q667" i="8"/>
  <c r="P667" i="8"/>
  <c r="O667" i="8"/>
  <c r="M667" i="8"/>
  <c r="L667" i="8"/>
  <c r="S666" i="8"/>
  <c r="Q666" i="8"/>
  <c r="P666" i="8"/>
  <c r="O666" i="8"/>
  <c r="M666" i="8"/>
  <c r="L666" i="8"/>
  <c r="S665" i="8"/>
  <c r="Q665" i="8"/>
  <c r="P665" i="8"/>
  <c r="O665" i="8"/>
  <c r="M665" i="8"/>
  <c r="L665" i="8"/>
  <c r="S664" i="8"/>
  <c r="Q664" i="8"/>
  <c r="P664" i="8"/>
  <c r="O664" i="8"/>
  <c r="M664" i="8"/>
  <c r="L664" i="8"/>
  <c r="S663" i="8"/>
  <c r="Q663" i="8"/>
  <c r="P663" i="8"/>
  <c r="O663" i="8"/>
  <c r="M663" i="8"/>
  <c r="L663" i="8"/>
  <c r="S662" i="8"/>
  <c r="Q662" i="8"/>
  <c r="P662" i="8"/>
  <c r="O662" i="8"/>
  <c r="M662" i="8"/>
  <c r="L662" i="8"/>
  <c r="S661" i="8"/>
  <c r="Q661" i="8"/>
  <c r="P661" i="8"/>
  <c r="O661" i="8"/>
  <c r="M661" i="8"/>
  <c r="L661" i="8"/>
  <c r="S660" i="8"/>
  <c r="Q660" i="8"/>
  <c r="P660" i="8"/>
  <c r="O660" i="8"/>
  <c r="M660" i="8"/>
  <c r="L660" i="8"/>
  <c r="S659" i="8"/>
  <c r="Q659" i="8"/>
  <c r="P659" i="8"/>
  <c r="O659" i="8"/>
  <c r="M659" i="8"/>
  <c r="L659" i="8"/>
  <c r="S658" i="8"/>
  <c r="Q658" i="8"/>
  <c r="P658" i="8"/>
  <c r="O658" i="8"/>
  <c r="M658" i="8"/>
  <c r="L658" i="8"/>
  <c r="S657" i="8"/>
  <c r="Q657" i="8"/>
  <c r="P657" i="8"/>
  <c r="O657" i="8"/>
  <c r="M657" i="8"/>
  <c r="L657" i="8"/>
  <c r="S656" i="8"/>
  <c r="Q656" i="8"/>
  <c r="P656" i="8"/>
  <c r="O656" i="8"/>
  <c r="M656" i="8"/>
  <c r="L656" i="8"/>
  <c r="S655" i="8"/>
  <c r="Q655" i="8"/>
  <c r="P655" i="8"/>
  <c r="O655" i="8"/>
  <c r="M655" i="8"/>
  <c r="L655" i="8"/>
  <c r="S654" i="8"/>
  <c r="Q654" i="8"/>
  <c r="P654" i="8"/>
  <c r="O654" i="8"/>
  <c r="M654" i="8"/>
  <c r="L654" i="8"/>
  <c r="S653" i="8"/>
  <c r="Q653" i="8"/>
  <c r="P653" i="8"/>
  <c r="O653" i="8"/>
  <c r="M653" i="8"/>
  <c r="L653" i="8"/>
  <c r="S652" i="8"/>
  <c r="Q652" i="8"/>
  <c r="P652" i="8"/>
  <c r="O652" i="8"/>
  <c r="M652" i="8"/>
  <c r="L652" i="8"/>
  <c r="S651" i="8"/>
  <c r="Q651" i="8"/>
  <c r="P651" i="8"/>
  <c r="O651" i="8"/>
  <c r="M651" i="8"/>
  <c r="L651" i="8"/>
  <c r="S650" i="8"/>
  <c r="Q650" i="8"/>
  <c r="P650" i="8"/>
  <c r="O650" i="8"/>
  <c r="M650" i="8"/>
  <c r="L650" i="8"/>
  <c r="S649" i="8"/>
  <c r="Q649" i="8"/>
  <c r="P649" i="8"/>
  <c r="O649" i="8"/>
  <c r="M649" i="8"/>
  <c r="L649" i="8"/>
  <c r="S648" i="8"/>
  <c r="Q648" i="8"/>
  <c r="P648" i="8"/>
  <c r="O648" i="8"/>
  <c r="M648" i="8"/>
  <c r="L648" i="8"/>
  <c r="S647" i="8"/>
  <c r="Q647" i="8"/>
  <c r="P647" i="8"/>
  <c r="O647" i="8"/>
  <c r="M647" i="8"/>
  <c r="L647" i="8"/>
  <c r="S646" i="8"/>
  <c r="Q646" i="8"/>
  <c r="P646" i="8"/>
  <c r="O646" i="8"/>
  <c r="M646" i="8"/>
  <c r="L646" i="8"/>
  <c r="S645" i="8"/>
  <c r="Q645" i="8"/>
  <c r="P645" i="8"/>
  <c r="O645" i="8"/>
  <c r="M645" i="8"/>
  <c r="L645" i="8"/>
  <c r="S644" i="8"/>
  <c r="Q644" i="8"/>
  <c r="P644" i="8"/>
  <c r="O644" i="8"/>
  <c r="M644" i="8"/>
  <c r="L644" i="8"/>
  <c r="S643" i="8"/>
  <c r="Q643" i="8"/>
  <c r="P643" i="8"/>
  <c r="O643" i="8"/>
  <c r="M643" i="8"/>
  <c r="L643" i="8"/>
  <c r="S642" i="8"/>
  <c r="Q642" i="8"/>
  <c r="P642" i="8"/>
  <c r="O642" i="8"/>
  <c r="M642" i="8"/>
  <c r="L642" i="8"/>
  <c r="S641" i="8"/>
  <c r="Q641" i="8"/>
  <c r="P641" i="8"/>
  <c r="O641" i="8"/>
  <c r="M641" i="8"/>
  <c r="L641" i="8"/>
  <c r="S640" i="8"/>
  <c r="Q640" i="8"/>
  <c r="P640" i="8"/>
  <c r="O640" i="8"/>
  <c r="M640" i="8"/>
  <c r="L640" i="8"/>
  <c r="S639" i="8"/>
  <c r="Q639" i="8"/>
  <c r="P639" i="8"/>
  <c r="O639" i="8"/>
  <c r="M639" i="8"/>
  <c r="L639" i="8"/>
  <c r="S638" i="8"/>
  <c r="Q638" i="8"/>
  <c r="P638" i="8"/>
  <c r="O638" i="8"/>
  <c r="M638" i="8"/>
  <c r="L638" i="8"/>
  <c r="S637" i="8"/>
  <c r="Q637" i="8"/>
  <c r="P637" i="8"/>
  <c r="O637" i="8"/>
  <c r="M637" i="8"/>
  <c r="L637" i="8"/>
  <c r="N637" i="8" s="1"/>
  <c r="R637" i="8" s="1"/>
  <c r="S636" i="8"/>
  <c r="Q636" i="8"/>
  <c r="P636" i="8"/>
  <c r="O636" i="8"/>
  <c r="M636" i="8"/>
  <c r="L636" i="8"/>
  <c r="S635" i="8"/>
  <c r="Q635" i="8"/>
  <c r="P635" i="8"/>
  <c r="O635" i="8"/>
  <c r="M635" i="8"/>
  <c r="L635" i="8"/>
  <c r="N635" i="8" s="1"/>
  <c r="R635" i="8" s="1"/>
  <c r="S634" i="8"/>
  <c r="Q634" i="8"/>
  <c r="P634" i="8"/>
  <c r="O634" i="8"/>
  <c r="M634" i="8"/>
  <c r="L634" i="8"/>
  <c r="S633" i="8"/>
  <c r="Q633" i="8"/>
  <c r="P633" i="8"/>
  <c r="O633" i="8"/>
  <c r="M633" i="8"/>
  <c r="L633" i="8"/>
  <c r="N633" i="8" s="1"/>
  <c r="R633" i="8" s="1"/>
  <c r="S632" i="8"/>
  <c r="Q632" i="8"/>
  <c r="P632" i="8"/>
  <c r="O632" i="8"/>
  <c r="M632" i="8"/>
  <c r="L632" i="8"/>
  <c r="S631" i="8"/>
  <c r="Q631" i="8"/>
  <c r="P631" i="8"/>
  <c r="O631" i="8"/>
  <c r="M631" i="8"/>
  <c r="L631" i="8"/>
  <c r="S630" i="8"/>
  <c r="Q630" i="8"/>
  <c r="P630" i="8"/>
  <c r="O630" i="8"/>
  <c r="M630" i="8"/>
  <c r="L630" i="8"/>
  <c r="S629" i="8"/>
  <c r="Q629" i="8"/>
  <c r="P629" i="8"/>
  <c r="O629" i="8"/>
  <c r="M629" i="8"/>
  <c r="L629" i="8"/>
  <c r="N629" i="8" s="1"/>
  <c r="R629" i="8" s="1"/>
  <c r="S628" i="8"/>
  <c r="Q628" i="8"/>
  <c r="P628" i="8"/>
  <c r="O628" i="8"/>
  <c r="M628" i="8"/>
  <c r="L628" i="8"/>
  <c r="S627" i="8"/>
  <c r="Q627" i="8"/>
  <c r="P627" i="8"/>
  <c r="O627" i="8"/>
  <c r="M627" i="8"/>
  <c r="L627" i="8"/>
  <c r="N627" i="8" s="1"/>
  <c r="R627" i="8" s="1"/>
  <c r="S626" i="8"/>
  <c r="Q626" i="8"/>
  <c r="P626" i="8"/>
  <c r="O626" i="8"/>
  <c r="M626" i="8"/>
  <c r="L626" i="8"/>
  <c r="S625" i="8"/>
  <c r="Q625" i="8"/>
  <c r="P625" i="8"/>
  <c r="O625" i="8"/>
  <c r="M625" i="8"/>
  <c r="L625" i="8"/>
  <c r="S624" i="8"/>
  <c r="Q624" i="8"/>
  <c r="P624" i="8"/>
  <c r="O624" i="8"/>
  <c r="M624" i="8"/>
  <c r="L624" i="8"/>
  <c r="S623" i="8"/>
  <c r="Q623" i="8"/>
  <c r="P623" i="8"/>
  <c r="O623" i="8"/>
  <c r="M623" i="8"/>
  <c r="L623" i="8"/>
  <c r="S622" i="8"/>
  <c r="Q622" i="8"/>
  <c r="P622" i="8"/>
  <c r="O622" i="8"/>
  <c r="M622" i="8"/>
  <c r="L622" i="8"/>
  <c r="S621" i="8"/>
  <c r="Q621" i="8"/>
  <c r="P621" i="8"/>
  <c r="O621" i="8"/>
  <c r="M621" i="8"/>
  <c r="L621" i="8"/>
  <c r="N621" i="8" s="1"/>
  <c r="R621" i="8" s="1"/>
  <c r="S620" i="8"/>
  <c r="Q620" i="8"/>
  <c r="P620" i="8"/>
  <c r="O620" i="8"/>
  <c r="M620" i="8"/>
  <c r="L620" i="8"/>
  <c r="S619" i="8"/>
  <c r="Q619" i="8"/>
  <c r="P619" i="8"/>
  <c r="O619" i="8"/>
  <c r="M619" i="8"/>
  <c r="L619" i="8"/>
  <c r="N619" i="8" s="1"/>
  <c r="R619" i="8" s="1"/>
  <c r="S618" i="8"/>
  <c r="Q618" i="8"/>
  <c r="P618" i="8"/>
  <c r="O618" i="8"/>
  <c r="M618" i="8"/>
  <c r="L618" i="8"/>
  <c r="S617" i="8"/>
  <c r="Q617" i="8"/>
  <c r="P617" i="8"/>
  <c r="O617" i="8"/>
  <c r="M617" i="8"/>
  <c r="L617" i="8"/>
  <c r="N617" i="8" s="1"/>
  <c r="R617" i="8" s="1"/>
  <c r="S616" i="8"/>
  <c r="Q616" i="8"/>
  <c r="P616" i="8"/>
  <c r="O616" i="8"/>
  <c r="M616" i="8"/>
  <c r="L616" i="8"/>
  <c r="S615" i="8"/>
  <c r="Q615" i="8"/>
  <c r="P615" i="8"/>
  <c r="O615" i="8"/>
  <c r="M615" i="8"/>
  <c r="L615" i="8"/>
  <c r="S614" i="8"/>
  <c r="Q614" i="8"/>
  <c r="P614" i="8"/>
  <c r="O614" i="8"/>
  <c r="M614" i="8"/>
  <c r="L614" i="8"/>
  <c r="S613" i="8"/>
  <c r="Q613" i="8"/>
  <c r="P613" i="8"/>
  <c r="O613" i="8"/>
  <c r="M613" i="8"/>
  <c r="L613" i="8"/>
  <c r="N613" i="8" s="1"/>
  <c r="R613" i="8" s="1"/>
  <c r="S612" i="8"/>
  <c r="Q612" i="8"/>
  <c r="P612" i="8"/>
  <c r="O612" i="8"/>
  <c r="M612" i="8"/>
  <c r="L612" i="8"/>
  <c r="S611" i="8"/>
  <c r="Q611" i="8"/>
  <c r="P611" i="8"/>
  <c r="O611" i="8"/>
  <c r="M611" i="8"/>
  <c r="L611" i="8"/>
  <c r="N611" i="8" s="1"/>
  <c r="R611" i="8" s="1"/>
  <c r="S610" i="8"/>
  <c r="Q610" i="8"/>
  <c r="P610" i="8"/>
  <c r="O610" i="8"/>
  <c r="M610" i="8"/>
  <c r="L610" i="8"/>
  <c r="S609" i="8"/>
  <c r="Q609" i="8"/>
  <c r="P609" i="8"/>
  <c r="O609" i="8"/>
  <c r="M609" i="8"/>
  <c r="L609" i="8"/>
  <c r="S608" i="8"/>
  <c r="Q608" i="8"/>
  <c r="P608" i="8"/>
  <c r="O608" i="8"/>
  <c r="M608" i="8"/>
  <c r="L608" i="8"/>
  <c r="S607" i="8"/>
  <c r="Q607" i="8"/>
  <c r="P607" i="8"/>
  <c r="O607" i="8"/>
  <c r="M607" i="8"/>
  <c r="L607" i="8"/>
  <c r="S606" i="8"/>
  <c r="Q606" i="8"/>
  <c r="P606" i="8"/>
  <c r="O606" i="8"/>
  <c r="M606" i="8"/>
  <c r="L606" i="8"/>
  <c r="S605" i="8"/>
  <c r="Q605" i="8"/>
  <c r="P605" i="8"/>
  <c r="O605" i="8"/>
  <c r="M605" i="8"/>
  <c r="L605" i="8"/>
  <c r="S604" i="8"/>
  <c r="Q604" i="8"/>
  <c r="P604" i="8"/>
  <c r="O604" i="8"/>
  <c r="M604" i="8"/>
  <c r="L604" i="8"/>
  <c r="S603" i="8"/>
  <c r="Q603" i="8"/>
  <c r="P603" i="8"/>
  <c r="O603" i="8"/>
  <c r="M603" i="8"/>
  <c r="L603" i="8"/>
  <c r="S602" i="8"/>
  <c r="Q602" i="8"/>
  <c r="P602" i="8"/>
  <c r="O602" i="8"/>
  <c r="M602" i="8"/>
  <c r="L602" i="8"/>
  <c r="S601" i="8"/>
  <c r="Q601" i="8"/>
  <c r="P601" i="8"/>
  <c r="O601" i="8"/>
  <c r="M601" i="8"/>
  <c r="L601" i="8"/>
  <c r="S600" i="8"/>
  <c r="Q600" i="8"/>
  <c r="P600" i="8"/>
  <c r="O600" i="8"/>
  <c r="M600" i="8"/>
  <c r="L600" i="8"/>
  <c r="S599" i="8"/>
  <c r="Q599" i="8"/>
  <c r="P599" i="8"/>
  <c r="O599" i="8"/>
  <c r="M599" i="8"/>
  <c r="L599" i="8"/>
  <c r="S598" i="8"/>
  <c r="Q598" i="8"/>
  <c r="P598" i="8"/>
  <c r="O598" i="8"/>
  <c r="M598" i="8"/>
  <c r="L598" i="8"/>
  <c r="S597" i="8"/>
  <c r="Q597" i="8"/>
  <c r="P597" i="8"/>
  <c r="O597" i="8"/>
  <c r="M597" i="8"/>
  <c r="L597" i="8"/>
  <c r="S596" i="8"/>
  <c r="Q596" i="8"/>
  <c r="P596" i="8"/>
  <c r="O596" i="8"/>
  <c r="M596" i="8"/>
  <c r="L596" i="8"/>
  <c r="S595" i="8"/>
  <c r="Q595" i="8"/>
  <c r="P595" i="8"/>
  <c r="O595" i="8"/>
  <c r="M595" i="8"/>
  <c r="L595" i="8"/>
  <c r="S594" i="8"/>
  <c r="Q594" i="8"/>
  <c r="P594" i="8"/>
  <c r="O594" i="8"/>
  <c r="M594" i="8"/>
  <c r="L594" i="8"/>
  <c r="S593" i="8"/>
  <c r="Q593" i="8"/>
  <c r="P593" i="8"/>
  <c r="O593" i="8"/>
  <c r="M593" i="8"/>
  <c r="L593" i="8"/>
  <c r="S592" i="8"/>
  <c r="Q592" i="8"/>
  <c r="P592" i="8"/>
  <c r="O592" i="8"/>
  <c r="M592" i="8"/>
  <c r="L592" i="8"/>
  <c r="S591" i="8"/>
  <c r="Q591" i="8"/>
  <c r="P591" i="8"/>
  <c r="O591" i="8"/>
  <c r="M591" i="8"/>
  <c r="L591" i="8"/>
  <c r="S590" i="8"/>
  <c r="Q590" i="8"/>
  <c r="P590" i="8"/>
  <c r="O590" i="8"/>
  <c r="M590" i="8"/>
  <c r="L590" i="8"/>
  <c r="S589" i="8"/>
  <c r="Q589" i="8"/>
  <c r="P589" i="8"/>
  <c r="O589" i="8"/>
  <c r="M589" i="8"/>
  <c r="L589" i="8"/>
  <c r="N589" i="8" s="1"/>
  <c r="R589" i="8" s="1"/>
  <c r="S588" i="8"/>
  <c r="Q588" i="8"/>
  <c r="P588" i="8"/>
  <c r="O588" i="8"/>
  <c r="M588" i="8"/>
  <c r="L588" i="8"/>
  <c r="S587" i="8"/>
  <c r="Q587" i="8"/>
  <c r="P587" i="8"/>
  <c r="O587" i="8"/>
  <c r="M587" i="8"/>
  <c r="L587" i="8"/>
  <c r="S586" i="8"/>
  <c r="Q586" i="8"/>
  <c r="P586" i="8"/>
  <c r="O586" i="8"/>
  <c r="M586" i="8"/>
  <c r="L586" i="8"/>
  <c r="S585" i="8"/>
  <c r="Q585" i="8"/>
  <c r="P585" i="8"/>
  <c r="O585" i="8"/>
  <c r="M585" i="8"/>
  <c r="L585" i="8"/>
  <c r="S584" i="8"/>
  <c r="Q584" i="8"/>
  <c r="P584" i="8"/>
  <c r="O584" i="8"/>
  <c r="M584" i="8"/>
  <c r="L584" i="8"/>
  <c r="S583" i="8"/>
  <c r="Q583" i="8"/>
  <c r="P583" i="8"/>
  <c r="O583" i="8"/>
  <c r="M583" i="8"/>
  <c r="L583" i="8"/>
  <c r="S582" i="8"/>
  <c r="Q582" i="8"/>
  <c r="P582" i="8"/>
  <c r="O582" i="8"/>
  <c r="M582" i="8"/>
  <c r="L582" i="8"/>
  <c r="S581" i="8"/>
  <c r="Q581" i="8"/>
  <c r="P581" i="8"/>
  <c r="O581" i="8"/>
  <c r="M581" i="8"/>
  <c r="L581" i="8"/>
  <c r="S580" i="8"/>
  <c r="Q580" i="8"/>
  <c r="P580" i="8"/>
  <c r="O580" i="8"/>
  <c r="M580" i="8"/>
  <c r="L580" i="8"/>
  <c r="S579" i="8"/>
  <c r="Q579" i="8"/>
  <c r="P579" i="8"/>
  <c r="O579" i="8"/>
  <c r="M579" i="8"/>
  <c r="L579" i="8"/>
  <c r="S578" i="8"/>
  <c r="Q578" i="8"/>
  <c r="P578" i="8"/>
  <c r="O578" i="8"/>
  <c r="M578" i="8"/>
  <c r="L578" i="8"/>
  <c r="S577" i="8"/>
  <c r="Q577" i="8"/>
  <c r="P577" i="8"/>
  <c r="O577" i="8"/>
  <c r="M577" i="8"/>
  <c r="L577" i="8"/>
  <c r="S576" i="8"/>
  <c r="Q576" i="8"/>
  <c r="P576" i="8"/>
  <c r="O576" i="8"/>
  <c r="M576" i="8"/>
  <c r="L576" i="8"/>
  <c r="S575" i="8"/>
  <c r="Q575" i="8"/>
  <c r="P575" i="8"/>
  <c r="O575" i="8"/>
  <c r="M575" i="8"/>
  <c r="L575" i="8"/>
  <c r="S574" i="8"/>
  <c r="Q574" i="8"/>
  <c r="P574" i="8"/>
  <c r="O574" i="8"/>
  <c r="M574" i="8"/>
  <c r="L574" i="8"/>
  <c r="S573" i="8"/>
  <c r="Q573" i="8"/>
  <c r="P573" i="8"/>
  <c r="O573" i="8"/>
  <c r="M573" i="8"/>
  <c r="L573" i="8"/>
  <c r="S572" i="8"/>
  <c r="Q572" i="8"/>
  <c r="P572" i="8"/>
  <c r="O572" i="8"/>
  <c r="M572" i="8"/>
  <c r="L572" i="8"/>
  <c r="S571" i="8"/>
  <c r="Q571" i="8"/>
  <c r="P571" i="8"/>
  <c r="O571" i="8"/>
  <c r="M571" i="8"/>
  <c r="L571" i="8"/>
  <c r="S570" i="8"/>
  <c r="Q570" i="8"/>
  <c r="P570" i="8"/>
  <c r="O570" i="8"/>
  <c r="M570" i="8"/>
  <c r="L570" i="8"/>
  <c r="S569" i="8"/>
  <c r="Q569" i="8"/>
  <c r="P569" i="8"/>
  <c r="O569" i="8"/>
  <c r="M569" i="8"/>
  <c r="L569" i="8"/>
  <c r="S568" i="8"/>
  <c r="Q568" i="8"/>
  <c r="P568" i="8"/>
  <c r="O568" i="8"/>
  <c r="M568" i="8"/>
  <c r="N568" i="8" s="1"/>
  <c r="R568" i="8" s="1"/>
  <c r="L568" i="8"/>
  <c r="S567" i="8"/>
  <c r="Q567" i="8"/>
  <c r="P567" i="8"/>
  <c r="O567" i="8"/>
  <c r="M567" i="8"/>
  <c r="L567" i="8"/>
  <c r="S566" i="8"/>
  <c r="Q566" i="8"/>
  <c r="P566" i="8"/>
  <c r="O566" i="8"/>
  <c r="M566" i="8"/>
  <c r="L566" i="8"/>
  <c r="S565" i="8"/>
  <c r="Q565" i="8"/>
  <c r="P565" i="8"/>
  <c r="O565" i="8"/>
  <c r="M565" i="8"/>
  <c r="L565" i="8"/>
  <c r="S564" i="8"/>
  <c r="Q564" i="8"/>
  <c r="P564" i="8"/>
  <c r="O564" i="8"/>
  <c r="M564" i="8"/>
  <c r="N564" i="8" s="1"/>
  <c r="R564" i="8" s="1"/>
  <c r="L564" i="8"/>
  <c r="S563" i="8"/>
  <c r="Q563" i="8"/>
  <c r="P563" i="8"/>
  <c r="O563" i="8"/>
  <c r="M563" i="8"/>
  <c r="L563" i="8"/>
  <c r="S562" i="8"/>
  <c r="Q562" i="8"/>
  <c r="P562" i="8"/>
  <c r="O562" i="8"/>
  <c r="M562" i="8"/>
  <c r="L562" i="8"/>
  <c r="S561" i="8"/>
  <c r="Q561" i="8"/>
  <c r="P561" i="8"/>
  <c r="O561" i="8"/>
  <c r="M561" i="8"/>
  <c r="L561" i="8"/>
  <c r="S560" i="8"/>
  <c r="Q560" i="8"/>
  <c r="P560" i="8"/>
  <c r="O560" i="8"/>
  <c r="M560" i="8"/>
  <c r="L560" i="8"/>
  <c r="S559" i="8"/>
  <c r="Q559" i="8"/>
  <c r="P559" i="8"/>
  <c r="O559" i="8"/>
  <c r="M559" i="8"/>
  <c r="L559" i="8"/>
  <c r="S558" i="8"/>
  <c r="Q558" i="8"/>
  <c r="P558" i="8"/>
  <c r="O558" i="8"/>
  <c r="M558" i="8"/>
  <c r="L558" i="8"/>
  <c r="S557" i="8"/>
  <c r="Q557" i="8"/>
  <c r="P557" i="8"/>
  <c r="O557" i="8"/>
  <c r="M557" i="8"/>
  <c r="L557" i="8"/>
  <c r="S556" i="8"/>
  <c r="Q556" i="8"/>
  <c r="P556" i="8"/>
  <c r="O556" i="8"/>
  <c r="M556" i="8"/>
  <c r="L556" i="8"/>
  <c r="S555" i="8"/>
  <c r="Q555" i="8"/>
  <c r="P555" i="8"/>
  <c r="O555" i="8"/>
  <c r="M555" i="8"/>
  <c r="L555" i="8"/>
  <c r="S554" i="8"/>
  <c r="Q554" i="8"/>
  <c r="P554" i="8"/>
  <c r="O554" i="8"/>
  <c r="M554" i="8"/>
  <c r="L554" i="8"/>
  <c r="S553" i="8"/>
  <c r="Q553" i="8"/>
  <c r="P553" i="8"/>
  <c r="O553" i="8"/>
  <c r="M553" i="8"/>
  <c r="L553" i="8"/>
  <c r="S552" i="8"/>
  <c r="Q552" i="8"/>
  <c r="P552" i="8"/>
  <c r="O552" i="8"/>
  <c r="M552" i="8"/>
  <c r="N552" i="8" s="1"/>
  <c r="R552" i="8" s="1"/>
  <c r="L552" i="8"/>
  <c r="S551" i="8"/>
  <c r="Q551" i="8"/>
  <c r="P551" i="8"/>
  <c r="O551" i="8"/>
  <c r="M551" i="8"/>
  <c r="L551" i="8"/>
  <c r="S550" i="8"/>
  <c r="Q550" i="8"/>
  <c r="P550" i="8"/>
  <c r="O550" i="8"/>
  <c r="M550" i="8"/>
  <c r="L550" i="8"/>
  <c r="S549" i="8"/>
  <c r="Q549" i="8"/>
  <c r="P549" i="8"/>
  <c r="O549" i="8"/>
  <c r="M549" i="8"/>
  <c r="L549" i="8"/>
  <c r="S548" i="8"/>
  <c r="Q548" i="8"/>
  <c r="P548" i="8"/>
  <c r="O548" i="8"/>
  <c r="M548" i="8"/>
  <c r="N548" i="8" s="1"/>
  <c r="R548" i="8" s="1"/>
  <c r="L548" i="8"/>
  <c r="S547" i="8"/>
  <c r="Q547" i="8"/>
  <c r="P547" i="8"/>
  <c r="O547" i="8"/>
  <c r="M547" i="8"/>
  <c r="L547" i="8"/>
  <c r="S546" i="8"/>
  <c r="Q546" i="8"/>
  <c r="P546" i="8"/>
  <c r="O546" i="8"/>
  <c r="M546" i="8"/>
  <c r="L546" i="8"/>
  <c r="S545" i="8"/>
  <c r="Q545" i="8"/>
  <c r="P545" i="8"/>
  <c r="O545" i="8"/>
  <c r="M545" i="8"/>
  <c r="L545" i="8"/>
  <c r="S544" i="8"/>
  <c r="Q544" i="8"/>
  <c r="P544" i="8"/>
  <c r="O544" i="8"/>
  <c r="M544" i="8"/>
  <c r="L544" i="8"/>
  <c r="S543" i="8"/>
  <c r="Q543" i="8"/>
  <c r="P543" i="8"/>
  <c r="O543" i="8"/>
  <c r="M543" i="8"/>
  <c r="L543" i="8"/>
  <c r="S542" i="8"/>
  <c r="Q542" i="8"/>
  <c r="P542" i="8"/>
  <c r="O542" i="8"/>
  <c r="M542" i="8"/>
  <c r="L542" i="8"/>
  <c r="S541" i="8"/>
  <c r="Q541" i="8"/>
  <c r="P541" i="8"/>
  <c r="O541" i="8"/>
  <c r="M541" i="8"/>
  <c r="L541" i="8"/>
  <c r="S540" i="8"/>
  <c r="Q540" i="8"/>
  <c r="P540" i="8"/>
  <c r="O540" i="8"/>
  <c r="M540" i="8"/>
  <c r="L540" i="8"/>
  <c r="S539" i="8"/>
  <c r="Q539" i="8"/>
  <c r="P539" i="8"/>
  <c r="O539" i="8"/>
  <c r="M539" i="8"/>
  <c r="L539" i="8"/>
  <c r="S538" i="8"/>
  <c r="Q538" i="8"/>
  <c r="P538" i="8"/>
  <c r="O538" i="8"/>
  <c r="M538" i="8"/>
  <c r="L538" i="8"/>
  <c r="S537" i="8"/>
  <c r="Q537" i="8"/>
  <c r="P537" i="8"/>
  <c r="O537" i="8"/>
  <c r="M537" i="8"/>
  <c r="L537" i="8"/>
  <c r="S536" i="8"/>
  <c r="Q536" i="8"/>
  <c r="P536" i="8"/>
  <c r="O536" i="8"/>
  <c r="M536" i="8"/>
  <c r="L536" i="8"/>
  <c r="S535" i="8"/>
  <c r="Q535" i="8"/>
  <c r="P535" i="8"/>
  <c r="O535" i="8"/>
  <c r="M535" i="8"/>
  <c r="L535" i="8"/>
  <c r="S534" i="8"/>
  <c r="Q534" i="8"/>
  <c r="P534" i="8"/>
  <c r="O534" i="8"/>
  <c r="M534" i="8"/>
  <c r="L534" i="8"/>
  <c r="S533" i="8"/>
  <c r="Q533" i="8"/>
  <c r="P533" i="8"/>
  <c r="O533" i="8"/>
  <c r="M533" i="8"/>
  <c r="L533" i="8"/>
  <c r="S532" i="8"/>
  <c r="Q532" i="8"/>
  <c r="P532" i="8"/>
  <c r="O532" i="8"/>
  <c r="M532" i="8"/>
  <c r="L532" i="8"/>
  <c r="S531" i="8"/>
  <c r="Q531" i="8"/>
  <c r="P531" i="8"/>
  <c r="O531" i="8"/>
  <c r="M531" i="8"/>
  <c r="L531" i="8"/>
  <c r="S530" i="8"/>
  <c r="Q530" i="8"/>
  <c r="P530" i="8"/>
  <c r="O530" i="8"/>
  <c r="M530" i="8"/>
  <c r="L530" i="8"/>
  <c r="S529" i="8"/>
  <c r="Q529" i="8"/>
  <c r="P529" i="8"/>
  <c r="O529" i="8"/>
  <c r="M529" i="8"/>
  <c r="L529" i="8"/>
  <c r="S528" i="8"/>
  <c r="Q528" i="8"/>
  <c r="P528" i="8"/>
  <c r="O528" i="8"/>
  <c r="M528" i="8"/>
  <c r="L528" i="8"/>
  <c r="S527" i="8"/>
  <c r="Q527" i="8"/>
  <c r="P527" i="8"/>
  <c r="O527" i="8"/>
  <c r="M527" i="8"/>
  <c r="L527" i="8"/>
  <c r="S526" i="8"/>
  <c r="Q526" i="8"/>
  <c r="P526" i="8"/>
  <c r="O526" i="8"/>
  <c r="M526" i="8"/>
  <c r="L526" i="8"/>
  <c r="S525" i="8"/>
  <c r="Q525" i="8"/>
  <c r="P525" i="8"/>
  <c r="O525" i="8"/>
  <c r="M525" i="8"/>
  <c r="L525" i="8"/>
  <c r="S524" i="8"/>
  <c r="Q524" i="8"/>
  <c r="P524" i="8"/>
  <c r="O524" i="8"/>
  <c r="M524" i="8"/>
  <c r="L524" i="8"/>
  <c r="S523" i="8"/>
  <c r="Q523" i="8"/>
  <c r="P523" i="8"/>
  <c r="O523" i="8"/>
  <c r="M523" i="8"/>
  <c r="L523" i="8"/>
  <c r="S522" i="8"/>
  <c r="Q522" i="8"/>
  <c r="P522" i="8"/>
  <c r="O522" i="8"/>
  <c r="M522" i="8"/>
  <c r="L522" i="8"/>
  <c r="S521" i="8"/>
  <c r="Q521" i="8"/>
  <c r="P521" i="8"/>
  <c r="O521" i="8"/>
  <c r="M521" i="8"/>
  <c r="L521" i="8"/>
  <c r="S520" i="8"/>
  <c r="Q520" i="8"/>
  <c r="P520" i="8"/>
  <c r="O520" i="8"/>
  <c r="M520" i="8"/>
  <c r="L520" i="8"/>
  <c r="S519" i="8"/>
  <c r="Q519" i="8"/>
  <c r="P519" i="8"/>
  <c r="O519" i="8"/>
  <c r="M519" i="8"/>
  <c r="L519" i="8"/>
  <c r="S518" i="8"/>
  <c r="Q518" i="8"/>
  <c r="P518" i="8"/>
  <c r="O518" i="8"/>
  <c r="M518" i="8"/>
  <c r="L518" i="8"/>
  <c r="S517" i="8"/>
  <c r="Q517" i="8"/>
  <c r="P517" i="8"/>
  <c r="O517" i="8"/>
  <c r="M517" i="8"/>
  <c r="L517" i="8"/>
  <c r="S516" i="8"/>
  <c r="Q516" i="8"/>
  <c r="P516" i="8"/>
  <c r="O516" i="8"/>
  <c r="M516" i="8"/>
  <c r="L516" i="8"/>
  <c r="S515" i="8"/>
  <c r="Q515" i="8"/>
  <c r="P515" i="8"/>
  <c r="O515" i="8"/>
  <c r="M515" i="8"/>
  <c r="L515" i="8"/>
  <c r="S514" i="8"/>
  <c r="Q514" i="8"/>
  <c r="P514" i="8"/>
  <c r="O514" i="8"/>
  <c r="M514" i="8"/>
  <c r="N514" i="8" s="1"/>
  <c r="R514" i="8" s="1"/>
  <c r="L514" i="8"/>
  <c r="S513" i="8"/>
  <c r="Q513" i="8"/>
  <c r="P513" i="8"/>
  <c r="O513" i="8"/>
  <c r="M513" i="8"/>
  <c r="L513" i="8"/>
  <c r="S512" i="8"/>
  <c r="Q512" i="8"/>
  <c r="P512" i="8"/>
  <c r="O512" i="8"/>
  <c r="M512" i="8"/>
  <c r="L512" i="8"/>
  <c r="S511" i="8"/>
  <c r="Q511" i="8"/>
  <c r="P511" i="8"/>
  <c r="O511" i="8"/>
  <c r="M511" i="8"/>
  <c r="L511" i="8"/>
  <c r="S510" i="8"/>
  <c r="Q510" i="8"/>
  <c r="P510" i="8"/>
  <c r="O510" i="8"/>
  <c r="M510" i="8"/>
  <c r="L510" i="8"/>
  <c r="S509" i="8"/>
  <c r="Q509" i="8"/>
  <c r="P509" i="8"/>
  <c r="O509" i="8"/>
  <c r="M509" i="8"/>
  <c r="L509" i="8"/>
  <c r="S508" i="8"/>
  <c r="Q508" i="8"/>
  <c r="P508" i="8"/>
  <c r="O508" i="8"/>
  <c r="M508" i="8"/>
  <c r="L508" i="8"/>
  <c r="S507" i="8"/>
  <c r="Q507" i="8"/>
  <c r="P507" i="8"/>
  <c r="O507" i="8"/>
  <c r="M507" i="8"/>
  <c r="L507" i="8"/>
  <c r="S506" i="8"/>
  <c r="Q506" i="8"/>
  <c r="P506" i="8"/>
  <c r="O506" i="8"/>
  <c r="M506" i="8"/>
  <c r="L506" i="8"/>
  <c r="S505" i="8"/>
  <c r="Q505" i="8"/>
  <c r="P505" i="8"/>
  <c r="O505" i="8"/>
  <c r="M505" i="8"/>
  <c r="L505" i="8"/>
  <c r="S504" i="8"/>
  <c r="Q504" i="8"/>
  <c r="P504" i="8"/>
  <c r="O504" i="8"/>
  <c r="M504" i="8"/>
  <c r="L504" i="8"/>
  <c r="S503" i="8"/>
  <c r="Q503" i="8"/>
  <c r="P503" i="8"/>
  <c r="O503" i="8"/>
  <c r="M503" i="8"/>
  <c r="L503" i="8"/>
  <c r="S502" i="8"/>
  <c r="Q502" i="8"/>
  <c r="P502" i="8"/>
  <c r="O502" i="8"/>
  <c r="M502" i="8"/>
  <c r="N502" i="8" s="1"/>
  <c r="R502" i="8" s="1"/>
  <c r="L502" i="8"/>
  <c r="S501" i="8"/>
  <c r="Q501" i="8"/>
  <c r="P501" i="8"/>
  <c r="O501" i="8"/>
  <c r="M501" i="8"/>
  <c r="L501" i="8"/>
  <c r="S500" i="8"/>
  <c r="Q500" i="8"/>
  <c r="P500" i="8"/>
  <c r="O500" i="8"/>
  <c r="M500" i="8"/>
  <c r="L500" i="8"/>
  <c r="S499" i="8"/>
  <c r="Q499" i="8"/>
  <c r="P499" i="8"/>
  <c r="O499" i="8"/>
  <c r="M499" i="8"/>
  <c r="L499" i="8"/>
  <c r="S498" i="8"/>
  <c r="Q498" i="8"/>
  <c r="P498" i="8"/>
  <c r="O498" i="8"/>
  <c r="M498" i="8"/>
  <c r="L498" i="8"/>
  <c r="S497" i="8"/>
  <c r="Q497" i="8"/>
  <c r="P497" i="8"/>
  <c r="O497" i="8"/>
  <c r="M497" i="8"/>
  <c r="L497" i="8"/>
  <c r="S496" i="8"/>
  <c r="Q496" i="8"/>
  <c r="P496" i="8"/>
  <c r="O496" i="8"/>
  <c r="M496" i="8"/>
  <c r="L496" i="8"/>
  <c r="S495" i="8"/>
  <c r="Q495" i="8"/>
  <c r="P495" i="8"/>
  <c r="O495" i="8"/>
  <c r="M495" i="8"/>
  <c r="L495" i="8"/>
  <c r="N495" i="8" s="1"/>
  <c r="R495" i="8" s="1"/>
  <c r="S494" i="8"/>
  <c r="Q494" i="8"/>
  <c r="P494" i="8"/>
  <c r="O494" i="8"/>
  <c r="M494" i="8"/>
  <c r="L494" i="8"/>
  <c r="S493" i="8"/>
  <c r="Q493" i="8"/>
  <c r="P493" i="8"/>
  <c r="O493" i="8"/>
  <c r="M493" i="8"/>
  <c r="L493" i="8"/>
  <c r="S492" i="8"/>
  <c r="Q492" i="8"/>
  <c r="P492" i="8"/>
  <c r="O492" i="8"/>
  <c r="M492" i="8"/>
  <c r="L492" i="8"/>
  <c r="S491" i="8"/>
  <c r="Q491" i="8"/>
  <c r="P491" i="8"/>
  <c r="O491" i="8"/>
  <c r="M491" i="8"/>
  <c r="L491" i="8"/>
  <c r="S490" i="8"/>
  <c r="Q490" i="8"/>
  <c r="P490" i="8"/>
  <c r="O490" i="8"/>
  <c r="M490" i="8"/>
  <c r="L490" i="8"/>
  <c r="S489" i="8"/>
  <c r="Q489" i="8"/>
  <c r="P489" i="8"/>
  <c r="O489" i="8"/>
  <c r="M489" i="8"/>
  <c r="L489" i="8"/>
  <c r="S488" i="8"/>
  <c r="Q488" i="8"/>
  <c r="P488" i="8"/>
  <c r="O488" i="8"/>
  <c r="M488" i="8"/>
  <c r="L488" i="8"/>
  <c r="S487" i="8"/>
  <c r="Q487" i="8"/>
  <c r="P487" i="8"/>
  <c r="O487" i="8"/>
  <c r="M487" i="8"/>
  <c r="L487" i="8"/>
  <c r="N487" i="8" s="1"/>
  <c r="R487" i="8" s="1"/>
  <c r="S486" i="8"/>
  <c r="Q486" i="8"/>
  <c r="P486" i="8"/>
  <c r="O486" i="8"/>
  <c r="M486" i="8"/>
  <c r="L486" i="8"/>
  <c r="S485" i="8"/>
  <c r="Q485" i="8"/>
  <c r="P485" i="8"/>
  <c r="O485" i="8"/>
  <c r="M485" i="8"/>
  <c r="L485" i="8"/>
  <c r="S484" i="8"/>
  <c r="Q484" i="8"/>
  <c r="P484" i="8"/>
  <c r="O484" i="8"/>
  <c r="M484" i="8"/>
  <c r="L484" i="8"/>
  <c r="S483" i="8"/>
  <c r="Q483" i="8"/>
  <c r="P483" i="8"/>
  <c r="O483" i="8"/>
  <c r="M483" i="8"/>
  <c r="L483" i="8"/>
  <c r="N483" i="8" s="1"/>
  <c r="R483" i="8" s="1"/>
  <c r="S482" i="8"/>
  <c r="Q482" i="8"/>
  <c r="P482" i="8"/>
  <c r="O482" i="8"/>
  <c r="M482" i="8"/>
  <c r="L482" i="8"/>
  <c r="S481" i="8"/>
  <c r="Q481" i="8"/>
  <c r="P481" i="8"/>
  <c r="O481" i="8"/>
  <c r="M481" i="8"/>
  <c r="L481" i="8"/>
  <c r="S480" i="8"/>
  <c r="Q480" i="8"/>
  <c r="P480" i="8"/>
  <c r="O480" i="8"/>
  <c r="M480" i="8"/>
  <c r="L480" i="8"/>
  <c r="S479" i="8"/>
  <c r="Q479" i="8"/>
  <c r="P479" i="8"/>
  <c r="O479" i="8"/>
  <c r="M479" i="8"/>
  <c r="L479" i="8"/>
  <c r="S478" i="8"/>
  <c r="Q478" i="8"/>
  <c r="P478" i="8"/>
  <c r="O478" i="8"/>
  <c r="M478" i="8"/>
  <c r="L478" i="8"/>
  <c r="S477" i="8"/>
  <c r="Q477" i="8"/>
  <c r="P477" i="8"/>
  <c r="O477" i="8"/>
  <c r="M477" i="8"/>
  <c r="L477" i="8"/>
  <c r="S476" i="8"/>
  <c r="Q476" i="8"/>
  <c r="P476" i="8"/>
  <c r="O476" i="8"/>
  <c r="M476" i="8"/>
  <c r="L476" i="8"/>
  <c r="S475" i="8"/>
  <c r="Q475" i="8"/>
  <c r="P475" i="8"/>
  <c r="O475" i="8"/>
  <c r="M475" i="8"/>
  <c r="L475" i="8"/>
  <c r="S474" i="8"/>
  <c r="Q474" i="8"/>
  <c r="P474" i="8"/>
  <c r="O474" i="8"/>
  <c r="M474" i="8"/>
  <c r="L474" i="8"/>
  <c r="S473" i="8"/>
  <c r="Q473" i="8"/>
  <c r="P473" i="8"/>
  <c r="O473" i="8"/>
  <c r="M473" i="8"/>
  <c r="L473" i="8"/>
  <c r="S472" i="8"/>
  <c r="Q472" i="8"/>
  <c r="P472" i="8"/>
  <c r="O472" i="8"/>
  <c r="M472" i="8"/>
  <c r="L472" i="8"/>
  <c r="S471" i="8"/>
  <c r="Q471" i="8"/>
  <c r="P471" i="8"/>
  <c r="O471" i="8"/>
  <c r="M471" i="8"/>
  <c r="L471" i="8"/>
  <c r="S470" i="8"/>
  <c r="Q470" i="8"/>
  <c r="P470" i="8"/>
  <c r="O470" i="8"/>
  <c r="M470" i="8"/>
  <c r="L470" i="8"/>
  <c r="S469" i="8"/>
  <c r="Q469" i="8"/>
  <c r="P469" i="8"/>
  <c r="O469" i="8"/>
  <c r="M469" i="8"/>
  <c r="L469" i="8"/>
  <c r="S468" i="8"/>
  <c r="Q468" i="8"/>
  <c r="P468" i="8"/>
  <c r="O468" i="8"/>
  <c r="M468" i="8"/>
  <c r="L468" i="8"/>
  <c r="S467" i="8"/>
  <c r="Q467" i="8"/>
  <c r="P467" i="8"/>
  <c r="O467" i="8"/>
  <c r="M467" i="8"/>
  <c r="L467" i="8"/>
  <c r="S466" i="8"/>
  <c r="Q466" i="8"/>
  <c r="P466" i="8"/>
  <c r="O466" i="8"/>
  <c r="M466" i="8"/>
  <c r="L466" i="8"/>
  <c r="S465" i="8"/>
  <c r="Q465" i="8"/>
  <c r="P465" i="8"/>
  <c r="O465" i="8"/>
  <c r="M465" i="8"/>
  <c r="L465" i="8"/>
  <c r="S464" i="8"/>
  <c r="Q464" i="8"/>
  <c r="P464" i="8"/>
  <c r="O464" i="8"/>
  <c r="M464" i="8"/>
  <c r="L464" i="8"/>
  <c r="S463" i="8"/>
  <c r="Q463" i="8"/>
  <c r="P463" i="8"/>
  <c r="O463" i="8"/>
  <c r="M463" i="8"/>
  <c r="L463" i="8"/>
  <c r="S462" i="8"/>
  <c r="Q462" i="8"/>
  <c r="P462" i="8"/>
  <c r="O462" i="8"/>
  <c r="M462" i="8"/>
  <c r="L462" i="8"/>
  <c r="S461" i="8"/>
  <c r="Q461" i="8"/>
  <c r="P461" i="8"/>
  <c r="O461" i="8"/>
  <c r="M461" i="8"/>
  <c r="L461" i="8"/>
  <c r="S460" i="8"/>
  <c r="Q460" i="8"/>
  <c r="P460" i="8"/>
  <c r="O460" i="8"/>
  <c r="M460" i="8"/>
  <c r="L460" i="8"/>
  <c r="S459" i="8"/>
  <c r="Q459" i="8"/>
  <c r="P459" i="8"/>
  <c r="O459" i="8"/>
  <c r="M459" i="8"/>
  <c r="L459" i="8"/>
  <c r="S458" i="8"/>
  <c r="Q458" i="8"/>
  <c r="P458" i="8"/>
  <c r="O458" i="8"/>
  <c r="M458" i="8"/>
  <c r="L458" i="8"/>
  <c r="S457" i="8"/>
  <c r="Q457" i="8"/>
  <c r="P457" i="8"/>
  <c r="O457" i="8"/>
  <c r="M457" i="8"/>
  <c r="L457" i="8"/>
  <c r="S456" i="8"/>
  <c r="Q456" i="8"/>
  <c r="P456" i="8"/>
  <c r="O456" i="8"/>
  <c r="M456" i="8"/>
  <c r="L456" i="8"/>
  <c r="S455" i="8"/>
  <c r="Q455" i="8"/>
  <c r="P455" i="8"/>
  <c r="O455" i="8"/>
  <c r="M455" i="8"/>
  <c r="L455" i="8"/>
  <c r="S454" i="8"/>
  <c r="Q454" i="8"/>
  <c r="P454" i="8"/>
  <c r="O454" i="8"/>
  <c r="M454" i="8"/>
  <c r="L454" i="8"/>
  <c r="S453" i="8"/>
  <c r="Q453" i="8"/>
  <c r="P453" i="8"/>
  <c r="O453" i="8"/>
  <c r="M453" i="8"/>
  <c r="L453" i="8"/>
  <c r="S452" i="8"/>
  <c r="Q452" i="8"/>
  <c r="P452" i="8"/>
  <c r="O452" i="8"/>
  <c r="M452" i="8"/>
  <c r="L452" i="8"/>
  <c r="S451" i="8"/>
  <c r="Q451" i="8"/>
  <c r="P451" i="8"/>
  <c r="O451" i="8"/>
  <c r="M451" i="8"/>
  <c r="L451" i="8"/>
  <c r="S450" i="8"/>
  <c r="Q450" i="8"/>
  <c r="P450" i="8"/>
  <c r="O450" i="8"/>
  <c r="M450" i="8"/>
  <c r="L450" i="8"/>
  <c r="S449" i="8"/>
  <c r="Q449" i="8"/>
  <c r="P449" i="8"/>
  <c r="O449" i="8"/>
  <c r="M449" i="8"/>
  <c r="L449" i="8"/>
  <c r="S448" i="8"/>
  <c r="Q448" i="8"/>
  <c r="P448" i="8"/>
  <c r="O448" i="8"/>
  <c r="M448" i="8"/>
  <c r="L448" i="8"/>
  <c r="S447" i="8"/>
  <c r="Q447" i="8"/>
  <c r="P447" i="8"/>
  <c r="O447" i="8"/>
  <c r="M447" i="8"/>
  <c r="L447" i="8"/>
  <c r="N447" i="8" s="1"/>
  <c r="R447" i="8" s="1"/>
  <c r="S446" i="8"/>
  <c r="Q446" i="8"/>
  <c r="P446" i="8"/>
  <c r="O446" i="8"/>
  <c r="M446" i="8"/>
  <c r="L446" i="8"/>
  <c r="S445" i="8"/>
  <c r="Q445" i="8"/>
  <c r="P445" i="8"/>
  <c r="O445" i="8"/>
  <c r="M445" i="8"/>
  <c r="L445" i="8"/>
  <c r="S444" i="8"/>
  <c r="Q444" i="8"/>
  <c r="P444" i="8"/>
  <c r="O444" i="8"/>
  <c r="M444" i="8"/>
  <c r="L444" i="8"/>
  <c r="S443" i="8"/>
  <c r="Q443" i="8"/>
  <c r="P443" i="8"/>
  <c r="O443" i="8"/>
  <c r="M443" i="8"/>
  <c r="L443" i="8"/>
  <c r="S442" i="8"/>
  <c r="Q442" i="8"/>
  <c r="P442" i="8"/>
  <c r="O442" i="8"/>
  <c r="M442" i="8"/>
  <c r="L442" i="8"/>
  <c r="S441" i="8"/>
  <c r="Q441" i="8"/>
  <c r="P441" i="8"/>
  <c r="O441" i="8"/>
  <c r="M441" i="8"/>
  <c r="L441" i="8"/>
  <c r="S440" i="8"/>
  <c r="Q440" i="8"/>
  <c r="P440" i="8"/>
  <c r="O440" i="8"/>
  <c r="M440" i="8"/>
  <c r="L440" i="8"/>
  <c r="S439" i="8"/>
  <c r="Q439" i="8"/>
  <c r="P439" i="8"/>
  <c r="O439" i="8"/>
  <c r="M439" i="8"/>
  <c r="L439" i="8"/>
  <c r="N439" i="8" s="1"/>
  <c r="R439" i="8" s="1"/>
  <c r="S438" i="8"/>
  <c r="Q438" i="8"/>
  <c r="P438" i="8"/>
  <c r="O438" i="8"/>
  <c r="M438" i="8"/>
  <c r="L438" i="8"/>
  <c r="S437" i="8"/>
  <c r="Q437" i="8"/>
  <c r="P437" i="8"/>
  <c r="O437" i="8"/>
  <c r="M437" i="8"/>
  <c r="L437" i="8"/>
  <c r="S436" i="8"/>
  <c r="Q436" i="8"/>
  <c r="P436" i="8"/>
  <c r="O436" i="8"/>
  <c r="M436" i="8"/>
  <c r="L436" i="8"/>
  <c r="S435" i="8"/>
  <c r="Q435" i="8"/>
  <c r="P435" i="8"/>
  <c r="O435" i="8"/>
  <c r="M435" i="8"/>
  <c r="L435" i="8"/>
  <c r="N435" i="8" s="1"/>
  <c r="R435" i="8" s="1"/>
  <c r="S434" i="8"/>
  <c r="Q434" i="8"/>
  <c r="P434" i="8"/>
  <c r="O434" i="8"/>
  <c r="M434" i="8"/>
  <c r="L434" i="8"/>
  <c r="S433" i="8"/>
  <c r="Q433" i="8"/>
  <c r="P433" i="8"/>
  <c r="O433" i="8"/>
  <c r="M433" i="8"/>
  <c r="L433" i="8"/>
  <c r="S432" i="8"/>
  <c r="Q432" i="8"/>
  <c r="P432" i="8"/>
  <c r="O432" i="8"/>
  <c r="M432" i="8"/>
  <c r="L432" i="8"/>
  <c r="S431" i="8"/>
  <c r="Q431" i="8"/>
  <c r="P431" i="8"/>
  <c r="O431" i="8"/>
  <c r="M431" i="8"/>
  <c r="L431" i="8"/>
  <c r="S430" i="8"/>
  <c r="Q430" i="8"/>
  <c r="P430" i="8"/>
  <c r="O430" i="8"/>
  <c r="M430" i="8"/>
  <c r="L430" i="8"/>
  <c r="S429" i="8"/>
  <c r="Q429" i="8"/>
  <c r="P429" i="8"/>
  <c r="O429" i="8"/>
  <c r="M429" i="8"/>
  <c r="L429" i="8"/>
  <c r="S428" i="8"/>
  <c r="Q428" i="8"/>
  <c r="P428" i="8"/>
  <c r="O428" i="8"/>
  <c r="M428" i="8"/>
  <c r="L428" i="8"/>
  <c r="S427" i="8"/>
  <c r="Q427" i="8"/>
  <c r="P427" i="8"/>
  <c r="O427" i="8"/>
  <c r="M427" i="8"/>
  <c r="L427" i="8"/>
  <c r="S426" i="8"/>
  <c r="Q426" i="8"/>
  <c r="P426" i="8"/>
  <c r="O426" i="8"/>
  <c r="M426" i="8"/>
  <c r="L426" i="8"/>
  <c r="S425" i="8"/>
  <c r="Q425" i="8"/>
  <c r="P425" i="8"/>
  <c r="O425" i="8"/>
  <c r="M425" i="8"/>
  <c r="L425" i="8"/>
  <c r="S424" i="8"/>
  <c r="Q424" i="8"/>
  <c r="P424" i="8"/>
  <c r="O424" i="8"/>
  <c r="M424" i="8"/>
  <c r="L424" i="8"/>
  <c r="S423" i="8"/>
  <c r="Q423" i="8"/>
  <c r="P423" i="8"/>
  <c r="O423" i="8"/>
  <c r="M423" i="8"/>
  <c r="L423" i="8"/>
  <c r="S422" i="8"/>
  <c r="Q422" i="8"/>
  <c r="P422" i="8"/>
  <c r="O422" i="8"/>
  <c r="M422" i="8"/>
  <c r="N422" i="8" s="1"/>
  <c r="R422" i="8" s="1"/>
  <c r="L422" i="8"/>
  <c r="S421" i="8"/>
  <c r="Q421" i="8"/>
  <c r="P421" i="8"/>
  <c r="O421" i="8"/>
  <c r="M421" i="8"/>
  <c r="L421" i="8"/>
  <c r="S420" i="8"/>
  <c r="Q420" i="8"/>
  <c r="P420" i="8"/>
  <c r="O420" i="8"/>
  <c r="M420" i="8"/>
  <c r="L420" i="8"/>
  <c r="S419" i="8"/>
  <c r="Q419" i="8"/>
  <c r="P419" i="8"/>
  <c r="O419" i="8"/>
  <c r="M419" i="8"/>
  <c r="L419" i="8"/>
  <c r="S418" i="8"/>
  <c r="Q418" i="8"/>
  <c r="P418" i="8"/>
  <c r="O418" i="8"/>
  <c r="M418" i="8"/>
  <c r="L418" i="8"/>
  <c r="S417" i="8"/>
  <c r="Q417" i="8"/>
  <c r="P417" i="8"/>
  <c r="O417" i="8"/>
  <c r="M417" i="8"/>
  <c r="L417" i="8"/>
  <c r="S416" i="8"/>
  <c r="Q416" i="8"/>
  <c r="P416" i="8"/>
  <c r="O416" i="8"/>
  <c r="M416" i="8"/>
  <c r="L416" i="8"/>
  <c r="S415" i="8"/>
  <c r="Q415" i="8"/>
  <c r="P415" i="8"/>
  <c r="O415" i="8"/>
  <c r="M415" i="8"/>
  <c r="L415" i="8"/>
  <c r="S414" i="8"/>
  <c r="Q414" i="8"/>
  <c r="P414" i="8"/>
  <c r="O414" i="8"/>
  <c r="M414" i="8"/>
  <c r="L414" i="8"/>
  <c r="S413" i="8"/>
  <c r="Q413" i="8"/>
  <c r="P413" i="8"/>
  <c r="O413" i="8"/>
  <c r="M413" i="8"/>
  <c r="L413" i="8"/>
  <c r="S412" i="8"/>
  <c r="Q412" i="8"/>
  <c r="P412" i="8"/>
  <c r="O412" i="8"/>
  <c r="M412" i="8"/>
  <c r="L412" i="8"/>
  <c r="S411" i="8"/>
  <c r="Q411" i="8"/>
  <c r="P411" i="8"/>
  <c r="O411" i="8"/>
  <c r="M411" i="8"/>
  <c r="L411" i="8"/>
  <c r="S410" i="8"/>
  <c r="Q410" i="8"/>
  <c r="P410" i="8"/>
  <c r="O410" i="8"/>
  <c r="M410" i="8"/>
  <c r="L410" i="8"/>
  <c r="S409" i="8"/>
  <c r="Q409" i="8"/>
  <c r="P409" i="8"/>
  <c r="O409" i="8"/>
  <c r="M409" i="8"/>
  <c r="L409" i="8"/>
  <c r="S408" i="8"/>
  <c r="Q408" i="8"/>
  <c r="P408" i="8"/>
  <c r="O408" i="8"/>
  <c r="M408" i="8"/>
  <c r="L408" i="8"/>
  <c r="S407" i="8"/>
  <c r="Q407" i="8"/>
  <c r="P407" i="8"/>
  <c r="O407" i="8"/>
  <c r="M407" i="8"/>
  <c r="L407" i="8"/>
  <c r="S406" i="8"/>
  <c r="Q406" i="8"/>
  <c r="P406" i="8"/>
  <c r="O406" i="8"/>
  <c r="M406" i="8"/>
  <c r="L406" i="8"/>
  <c r="S405" i="8"/>
  <c r="Q405" i="8"/>
  <c r="P405" i="8"/>
  <c r="O405" i="8"/>
  <c r="M405" i="8"/>
  <c r="L405" i="8"/>
  <c r="S404" i="8"/>
  <c r="Q404" i="8"/>
  <c r="P404" i="8"/>
  <c r="O404" i="8"/>
  <c r="M404" i="8"/>
  <c r="L404" i="8"/>
  <c r="S403" i="8"/>
  <c r="Q403" i="8"/>
  <c r="P403" i="8"/>
  <c r="O403" i="8"/>
  <c r="M403" i="8"/>
  <c r="L403" i="8"/>
  <c r="S402" i="8"/>
  <c r="Q402" i="8"/>
  <c r="P402" i="8"/>
  <c r="O402" i="8"/>
  <c r="M402" i="8"/>
  <c r="L402" i="8"/>
  <c r="S401" i="8"/>
  <c r="Q401" i="8"/>
  <c r="P401" i="8"/>
  <c r="O401" i="8"/>
  <c r="M401" i="8"/>
  <c r="L401" i="8"/>
  <c r="S400" i="8"/>
  <c r="Q400" i="8"/>
  <c r="P400" i="8"/>
  <c r="O400" i="8"/>
  <c r="M400" i="8"/>
  <c r="L400" i="8"/>
  <c r="S399" i="8"/>
  <c r="Q399" i="8"/>
  <c r="P399" i="8"/>
  <c r="O399" i="8"/>
  <c r="M399" i="8"/>
  <c r="L399" i="8"/>
  <c r="S398" i="8"/>
  <c r="Q398" i="8"/>
  <c r="P398" i="8"/>
  <c r="O398" i="8"/>
  <c r="M398" i="8"/>
  <c r="L398" i="8"/>
  <c r="S397" i="8"/>
  <c r="Q397" i="8"/>
  <c r="P397" i="8"/>
  <c r="O397" i="8"/>
  <c r="M397" i="8"/>
  <c r="L397" i="8"/>
  <c r="S396" i="8"/>
  <c r="Q396" i="8"/>
  <c r="P396" i="8"/>
  <c r="O396" i="8"/>
  <c r="M396" i="8"/>
  <c r="L396" i="8"/>
  <c r="S395" i="8"/>
  <c r="Q395" i="8"/>
  <c r="P395" i="8"/>
  <c r="O395" i="8"/>
  <c r="M395" i="8"/>
  <c r="L395" i="8"/>
  <c r="S394" i="8"/>
  <c r="Q394" i="8"/>
  <c r="P394" i="8"/>
  <c r="O394" i="8"/>
  <c r="M394" i="8"/>
  <c r="L394" i="8"/>
  <c r="S393" i="8"/>
  <c r="Q393" i="8"/>
  <c r="P393" i="8"/>
  <c r="O393" i="8"/>
  <c r="M393" i="8"/>
  <c r="L393" i="8"/>
  <c r="S392" i="8"/>
  <c r="Q392" i="8"/>
  <c r="P392" i="8"/>
  <c r="O392" i="8"/>
  <c r="M392" i="8"/>
  <c r="L392" i="8"/>
  <c r="S391" i="8"/>
  <c r="Q391" i="8"/>
  <c r="P391" i="8"/>
  <c r="O391" i="8"/>
  <c r="M391" i="8"/>
  <c r="L391" i="8"/>
  <c r="S390" i="8"/>
  <c r="Q390" i="8"/>
  <c r="P390" i="8"/>
  <c r="O390" i="8"/>
  <c r="M390" i="8"/>
  <c r="N390" i="8" s="1"/>
  <c r="R390" i="8" s="1"/>
  <c r="L390" i="8"/>
  <c r="S389" i="8"/>
  <c r="Q389" i="8"/>
  <c r="P389" i="8"/>
  <c r="O389" i="8"/>
  <c r="M389" i="8"/>
  <c r="L389" i="8"/>
  <c r="S388" i="8"/>
  <c r="Q388" i="8"/>
  <c r="P388" i="8"/>
  <c r="O388" i="8"/>
  <c r="M388" i="8"/>
  <c r="L388" i="8"/>
  <c r="S387" i="8"/>
  <c r="Q387" i="8"/>
  <c r="P387" i="8"/>
  <c r="O387" i="8"/>
  <c r="M387" i="8"/>
  <c r="L387" i="8"/>
  <c r="S386" i="8"/>
  <c r="Q386" i="8"/>
  <c r="P386" i="8"/>
  <c r="O386" i="8"/>
  <c r="M386" i="8"/>
  <c r="L386" i="8"/>
  <c r="N386" i="8" s="1"/>
  <c r="R386" i="8" s="1"/>
  <c r="S385" i="8"/>
  <c r="Q385" i="8"/>
  <c r="P385" i="8"/>
  <c r="O385" i="8"/>
  <c r="M385" i="8"/>
  <c r="L385" i="8"/>
  <c r="S384" i="8"/>
  <c r="Q384" i="8"/>
  <c r="P384" i="8"/>
  <c r="O384" i="8"/>
  <c r="M384" i="8"/>
  <c r="L384" i="8"/>
  <c r="S383" i="8"/>
  <c r="Q383" i="8"/>
  <c r="P383" i="8"/>
  <c r="O383" i="8"/>
  <c r="M383" i="8"/>
  <c r="L383" i="8"/>
  <c r="S382" i="8"/>
  <c r="Q382" i="8"/>
  <c r="P382" i="8"/>
  <c r="O382" i="8"/>
  <c r="M382" i="8"/>
  <c r="L382" i="8"/>
  <c r="N382" i="8" s="1"/>
  <c r="R382" i="8" s="1"/>
  <c r="S381" i="8"/>
  <c r="Q381" i="8"/>
  <c r="P381" i="8"/>
  <c r="O381" i="8"/>
  <c r="M381" i="8"/>
  <c r="L381" i="8"/>
  <c r="S380" i="8"/>
  <c r="Q380" i="8"/>
  <c r="P380" i="8"/>
  <c r="O380" i="8"/>
  <c r="M380" i="8"/>
  <c r="L380" i="8"/>
  <c r="N380" i="8" s="1"/>
  <c r="R380" i="8" s="1"/>
  <c r="S379" i="8"/>
  <c r="Q379" i="8"/>
  <c r="P379" i="8"/>
  <c r="O379" i="8"/>
  <c r="M379" i="8"/>
  <c r="L379" i="8"/>
  <c r="S378" i="8"/>
  <c r="Q378" i="8"/>
  <c r="P378" i="8"/>
  <c r="O378" i="8"/>
  <c r="M378" i="8"/>
  <c r="L378" i="8"/>
  <c r="N378" i="8" s="1"/>
  <c r="R378" i="8" s="1"/>
  <c r="S377" i="8"/>
  <c r="Q377" i="8"/>
  <c r="P377" i="8"/>
  <c r="O377" i="8"/>
  <c r="M377" i="8"/>
  <c r="L377" i="8"/>
  <c r="S376" i="8"/>
  <c r="Q376" i="8"/>
  <c r="P376" i="8"/>
  <c r="O376" i="8"/>
  <c r="M376" i="8"/>
  <c r="L376" i="8"/>
  <c r="S375" i="8"/>
  <c r="Q375" i="8"/>
  <c r="P375" i="8"/>
  <c r="O375" i="8"/>
  <c r="M375" i="8"/>
  <c r="L375" i="8"/>
  <c r="S374" i="8"/>
  <c r="Q374" i="8"/>
  <c r="P374" i="8"/>
  <c r="O374" i="8"/>
  <c r="M374" i="8"/>
  <c r="L374" i="8"/>
  <c r="S373" i="8"/>
  <c r="Q373" i="8"/>
  <c r="P373" i="8"/>
  <c r="O373" i="8"/>
  <c r="M373" i="8"/>
  <c r="L373" i="8"/>
  <c r="S372" i="8"/>
  <c r="Q372" i="8"/>
  <c r="P372" i="8"/>
  <c r="O372" i="8"/>
  <c r="M372" i="8"/>
  <c r="L372" i="8"/>
  <c r="S371" i="8"/>
  <c r="Q371" i="8"/>
  <c r="P371" i="8"/>
  <c r="O371" i="8"/>
  <c r="M371" i="8"/>
  <c r="L371" i="8"/>
  <c r="S370" i="8"/>
  <c r="Q370" i="8"/>
  <c r="P370" i="8"/>
  <c r="O370" i="8"/>
  <c r="M370" i="8"/>
  <c r="L370" i="8"/>
  <c r="S369" i="8"/>
  <c r="Q369" i="8"/>
  <c r="P369" i="8"/>
  <c r="O369" i="8"/>
  <c r="M369" i="8"/>
  <c r="L369" i="8"/>
  <c r="S368" i="8"/>
  <c r="Q368" i="8"/>
  <c r="P368" i="8"/>
  <c r="O368" i="8"/>
  <c r="M368" i="8"/>
  <c r="L368" i="8"/>
  <c r="S367" i="8"/>
  <c r="Q367" i="8"/>
  <c r="P367" i="8"/>
  <c r="O367" i="8"/>
  <c r="M367" i="8"/>
  <c r="L367" i="8"/>
  <c r="S366" i="8"/>
  <c r="Q366" i="8"/>
  <c r="P366" i="8"/>
  <c r="O366" i="8"/>
  <c r="M366" i="8"/>
  <c r="L366" i="8"/>
  <c r="S365" i="8"/>
  <c r="Q365" i="8"/>
  <c r="P365" i="8"/>
  <c r="O365" i="8"/>
  <c r="M365" i="8"/>
  <c r="L365" i="8"/>
  <c r="S364" i="8"/>
  <c r="Q364" i="8"/>
  <c r="P364" i="8"/>
  <c r="O364" i="8"/>
  <c r="M364" i="8"/>
  <c r="L364" i="8"/>
  <c r="S363" i="8"/>
  <c r="Q363" i="8"/>
  <c r="P363" i="8"/>
  <c r="O363" i="8"/>
  <c r="M363" i="8"/>
  <c r="L363" i="8"/>
  <c r="S362" i="8"/>
  <c r="Q362" i="8"/>
  <c r="P362" i="8"/>
  <c r="O362" i="8"/>
  <c r="M362" i="8"/>
  <c r="L362" i="8"/>
  <c r="S361" i="8"/>
  <c r="Q361" i="8"/>
  <c r="P361" i="8"/>
  <c r="O361" i="8"/>
  <c r="M361" i="8"/>
  <c r="L361" i="8"/>
  <c r="S360" i="8"/>
  <c r="Q360" i="8"/>
  <c r="P360" i="8"/>
  <c r="O360" i="8"/>
  <c r="M360" i="8"/>
  <c r="L360" i="8"/>
  <c r="S359" i="8"/>
  <c r="Q359" i="8"/>
  <c r="P359" i="8"/>
  <c r="O359" i="8"/>
  <c r="M359" i="8"/>
  <c r="L359" i="8"/>
  <c r="S358" i="8"/>
  <c r="Q358" i="8"/>
  <c r="P358" i="8"/>
  <c r="O358" i="8"/>
  <c r="M358" i="8"/>
  <c r="L358" i="8"/>
  <c r="S357" i="8"/>
  <c r="Q357" i="8"/>
  <c r="P357" i="8"/>
  <c r="O357" i="8"/>
  <c r="M357" i="8"/>
  <c r="L357" i="8"/>
  <c r="S356" i="8"/>
  <c r="Q356" i="8"/>
  <c r="P356" i="8"/>
  <c r="O356" i="8"/>
  <c r="M356" i="8"/>
  <c r="L356" i="8"/>
  <c r="S355" i="8"/>
  <c r="Q355" i="8"/>
  <c r="P355" i="8"/>
  <c r="O355" i="8"/>
  <c r="M355" i="8"/>
  <c r="L355" i="8"/>
  <c r="S354" i="8"/>
  <c r="Q354" i="8"/>
  <c r="P354" i="8"/>
  <c r="O354" i="8"/>
  <c r="M354" i="8"/>
  <c r="L354" i="8"/>
  <c r="N354" i="8" s="1"/>
  <c r="R354" i="8" s="1"/>
  <c r="S353" i="8"/>
  <c r="Q353" i="8"/>
  <c r="P353" i="8"/>
  <c r="O353" i="8"/>
  <c r="M353" i="8"/>
  <c r="L353" i="8"/>
  <c r="S352" i="8"/>
  <c r="Q352" i="8"/>
  <c r="P352" i="8"/>
  <c r="O352" i="8"/>
  <c r="M352" i="8"/>
  <c r="L352" i="8"/>
  <c r="S351" i="8"/>
  <c r="Q351" i="8"/>
  <c r="P351" i="8"/>
  <c r="O351" i="8"/>
  <c r="M351" i="8"/>
  <c r="L351" i="8"/>
  <c r="S350" i="8"/>
  <c r="Q350" i="8"/>
  <c r="P350" i="8"/>
  <c r="O350" i="8"/>
  <c r="M350" i="8"/>
  <c r="L350" i="8"/>
  <c r="N350" i="8" s="1"/>
  <c r="R350" i="8" s="1"/>
  <c r="S349" i="8"/>
  <c r="Q349" i="8"/>
  <c r="P349" i="8"/>
  <c r="O349" i="8"/>
  <c r="M349" i="8"/>
  <c r="L349" i="8"/>
  <c r="S348" i="8"/>
  <c r="Q348" i="8"/>
  <c r="P348" i="8"/>
  <c r="O348" i="8"/>
  <c r="M348" i="8"/>
  <c r="L348" i="8"/>
  <c r="N348" i="8" s="1"/>
  <c r="R348" i="8" s="1"/>
  <c r="S347" i="8"/>
  <c r="Q347" i="8"/>
  <c r="P347" i="8"/>
  <c r="O347" i="8"/>
  <c r="M347" i="8"/>
  <c r="L347" i="8"/>
  <c r="S346" i="8"/>
  <c r="Q346" i="8"/>
  <c r="P346" i="8"/>
  <c r="O346" i="8"/>
  <c r="M346" i="8"/>
  <c r="L346" i="8"/>
  <c r="N346" i="8" s="1"/>
  <c r="R346" i="8" s="1"/>
  <c r="S345" i="8"/>
  <c r="Q345" i="8"/>
  <c r="P345" i="8"/>
  <c r="O345" i="8"/>
  <c r="M345" i="8"/>
  <c r="L345" i="8"/>
  <c r="S344" i="8"/>
  <c r="Q344" i="8"/>
  <c r="P344" i="8"/>
  <c r="O344" i="8"/>
  <c r="M344" i="8"/>
  <c r="L344" i="8"/>
  <c r="S343" i="8"/>
  <c r="Q343" i="8"/>
  <c r="P343" i="8"/>
  <c r="O343" i="8"/>
  <c r="M343" i="8"/>
  <c r="L343" i="8"/>
  <c r="S342" i="8"/>
  <c r="Q342" i="8"/>
  <c r="P342" i="8"/>
  <c r="O342" i="8"/>
  <c r="M342" i="8"/>
  <c r="L342" i="8"/>
  <c r="S341" i="8"/>
  <c r="Q341" i="8"/>
  <c r="P341" i="8"/>
  <c r="O341" i="8"/>
  <c r="M341" i="8"/>
  <c r="L341" i="8"/>
  <c r="S340" i="8"/>
  <c r="Q340" i="8"/>
  <c r="P340" i="8"/>
  <c r="O340" i="8"/>
  <c r="M340" i="8"/>
  <c r="L340" i="8"/>
  <c r="S339" i="8"/>
  <c r="Q339" i="8"/>
  <c r="P339" i="8"/>
  <c r="O339" i="8"/>
  <c r="M339" i="8"/>
  <c r="L339" i="8"/>
  <c r="S338" i="8"/>
  <c r="Q338" i="8"/>
  <c r="P338" i="8"/>
  <c r="O338" i="8"/>
  <c r="M338" i="8"/>
  <c r="L338" i="8"/>
  <c r="N338" i="8" s="1"/>
  <c r="R338" i="8" s="1"/>
  <c r="S337" i="8"/>
  <c r="Q337" i="8"/>
  <c r="P337" i="8"/>
  <c r="O337" i="8"/>
  <c r="M337" i="8"/>
  <c r="L337" i="8"/>
  <c r="S336" i="8"/>
  <c r="Q336" i="8"/>
  <c r="P336" i="8"/>
  <c r="O336" i="8"/>
  <c r="M336" i="8"/>
  <c r="L336" i="8"/>
  <c r="S335" i="8"/>
  <c r="Q335" i="8"/>
  <c r="P335" i="8"/>
  <c r="O335" i="8"/>
  <c r="M335" i="8"/>
  <c r="L335" i="8"/>
  <c r="S334" i="8"/>
  <c r="Q334" i="8"/>
  <c r="P334" i="8"/>
  <c r="O334" i="8"/>
  <c r="M334" i="8"/>
  <c r="L334" i="8"/>
  <c r="N334" i="8" s="1"/>
  <c r="R334" i="8" s="1"/>
  <c r="S333" i="8"/>
  <c r="Q333" i="8"/>
  <c r="P333" i="8"/>
  <c r="O333" i="8"/>
  <c r="M333" i="8"/>
  <c r="L333" i="8"/>
  <c r="S332" i="8"/>
  <c r="Q332" i="8"/>
  <c r="P332" i="8"/>
  <c r="O332" i="8"/>
  <c r="M332" i="8"/>
  <c r="L332" i="8"/>
  <c r="N332" i="8" s="1"/>
  <c r="R332" i="8" s="1"/>
  <c r="S331" i="8"/>
  <c r="Q331" i="8"/>
  <c r="P331" i="8"/>
  <c r="O331" i="8"/>
  <c r="M331" i="8"/>
  <c r="L331" i="8"/>
  <c r="S330" i="8"/>
  <c r="Q330" i="8"/>
  <c r="P330" i="8"/>
  <c r="O330" i="8"/>
  <c r="M330" i="8"/>
  <c r="L330" i="8"/>
  <c r="N330" i="8" s="1"/>
  <c r="R330" i="8" s="1"/>
  <c r="S329" i="8"/>
  <c r="Q329" i="8"/>
  <c r="P329" i="8"/>
  <c r="O329" i="8"/>
  <c r="M329" i="8"/>
  <c r="L329" i="8"/>
  <c r="S328" i="8"/>
  <c r="Q328" i="8"/>
  <c r="P328" i="8"/>
  <c r="O328" i="8"/>
  <c r="M328" i="8"/>
  <c r="L328" i="8"/>
  <c r="S327" i="8"/>
  <c r="Q327" i="8"/>
  <c r="P327" i="8"/>
  <c r="O327" i="8"/>
  <c r="M327" i="8"/>
  <c r="L327" i="8"/>
  <c r="S326" i="8"/>
  <c r="Q326" i="8"/>
  <c r="P326" i="8"/>
  <c r="O326" i="8"/>
  <c r="M326" i="8"/>
  <c r="L326" i="8"/>
  <c r="S325" i="8"/>
  <c r="Q325" i="8"/>
  <c r="P325" i="8"/>
  <c r="O325" i="8"/>
  <c r="M325" i="8"/>
  <c r="L325" i="8"/>
  <c r="S324" i="8"/>
  <c r="Q324" i="8"/>
  <c r="P324" i="8"/>
  <c r="O324" i="8"/>
  <c r="M324" i="8"/>
  <c r="L324" i="8"/>
  <c r="S323" i="8"/>
  <c r="Q323" i="8"/>
  <c r="P323" i="8"/>
  <c r="O323" i="8"/>
  <c r="M323" i="8"/>
  <c r="L323" i="8"/>
  <c r="S322" i="8"/>
  <c r="Q322" i="8"/>
  <c r="P322" i="8"/>
  <c r="O322" i="8"/>
  <c r="M322" i="8"/>
  <c r="L322" i="8"/>
  <c r="S321" i="8"/>
  <c r="Q321" i="8"/>
  <c r="P321" i="8"/>
  <c r="O321" i="8"/>
  <c r="M321" i="8"/>
  <c r="L321" i="8"/>
  <c r="S320" i="8"/>
  <c r="Q320" i="8"/>
  <c r="P320" i="8"/>
  <c r="O320" i="8"/>
  <c r="M320" i="8"/>
  <c r="L320" i="8"/>
  <c r="S319" i="8"/>
  <c r="Q319" i="8"/>
  <c r="P319" i="8"/>
  <c r="O319" i="8"/>
  <c r="M319" i="8"/>
  <c r="L319" i="8"/>
  <c r="S318" i="8"/>
  <c r="Q318" i="8"/>
  <c r="P318" i="8"/>
  <c r="O318" i="8"/>
  <c r="M318" i="8"/>
  <c r="L318" i="8"/>
  <c r="S317" i="8"/>
  <c r="Q317" i="8"/>
  <c r="P317" i="8"/>
  <c r="O317" i="8"/>
  <c r="M317" i="8"/>
  <c r="L317" i="8"/>
  <c r="S316" i="8"/>
  <c r="Q316" i="8"/>
  <c r="P316" i="8"/>
  <c r="O316" i="8"/>
  <c r="M316" i="8"/>
  <c r="L316" i="8"/>
  <c r="S315" i="8"/>
  <c r="Q315" i="8"/>
  <c r="P315" i="8"/>
  <c r="O315" i="8"/>
  <c r="M315" i="8"/>
  <c r="L315" i="8"/>
  <c r="S314" i="8"/>
  <c r="Q314" i="8"/>
  <c r="P314" i="8"/>
  <c r="O314" i="8"/>
  <c r="M314" i="8"/>
  <c r="L314" i="8"/>
  <c r="S313" i="8"/>
  <c r="Q313" i="8"/>
  <c r="P313" i="8"/>
  <c r="O313" i="8"/>
  <c r="M313" i="8"/>
  <c r="L313" i="8"/>
  <c r="S312" i="8"/>
  <c r="Q312" i="8"/>
  <c r="P312" i="8"/>
  <c r="O312" i="8"/>
  <c r="M312" i="8"/>
  <c r="L312" i="8"/>
  <c r="S311" i="8"/>
  <c r="Q311" i="8"/>
  <c r="P311" i="8"/>
  <c r="O311" i="8"/>
  <c r="M311" i="8"/>
  <c r="L311" i="8"/>
  <c r="S310" i="8"/>
  <c r="Q310" i="8"/>
  <c r="P310" i="8"/>
  <c r="O310" i="8"/>
  <c r="M310" i="8"/>
  <c r="L310" i="8"/>
  <c r="S309" i="8"/>
  <c r="Q309" i="8"/>
  <c r="P309" i="8"/>
  <c r="O309" i="8"/>
  <c r="M309" i="8"/>
  <c r="L309" i="8"/>
  <c r="S308" i="8"/>
  <c r="Q308" i="8"/>
  <c r="P308" i="8"/>
  <c r="O308" i="8"/>
  <c r="M308" i="8"/>
  <c r="L308" i="8"/>
  <c r="S307" i="8"/>
  <c r="Q307" i="8"/>
  <c r="P307" i="8"/>
  <c r="O307" i="8"/>
  <c r="M307" i="8"/>
  <c r="L307" i="8"/>
  <c r="S306" i="8"/>
  <c r="Q306" i="8"/>
  <c r="P306" i="8"/>
  <c r="O306" i="8"/>
  <c r="M306" i="8"/>
  <c r="L306" i="8"/>
  <c r="N306" i="8" s="1"/>
  <c r="R306" i="8" s="1"/>
  <c r="S305" i="8"/>
  <c r="Q305" i="8"/>
  <c r="P305" i="8"/>
  <c r="O305" i="8"/>
  <c r="M305" i="8"/>
  <c r="L305" i="8"/>
  <c r="S304" i="8"/>
  <c r="Q304" i="8"/>
  <c r="P304" i="8"/>
  <c r="O304" i="8"/>
  <c r="M304" i="8"/>
  <c r="L304" i="8"/>
  <c r="S303" i="8"/>
  <c r="Q303" i="8"/>
  <c r="P303" i="8"/>
  <c r="O303" i="8"/>
  <c r="M303" i="8"/>
  <c r="L303" i="8"/>
  <c r="S302" i="8"/>
  <c r="Q302" i="8"/>
  <c r="P302" i="8"/>
  <c r="O302" i="8"/>
  <c r="M302" i="8"/>
  <c r="L302" i="8"/>
  <c r="S301" i="8"/>
  <c r="Q301" i="8"/>
  <c r="P301" i="8"/>
  <c r="O301" i="8"/>
  <c r="M301" i="8"/>
  <c r="L301" i="8"/>
  <c r="S300" i="8"/>
  <c r="Q300" i="8"/>
  <c r="P300" i="8"/>
  <c r="O300" i="8"/>
  <c r="M300" i="8"/>
  <c r="L300" i="8"/>
  <c r="S299" i="8"/>
  <c r="Q299" i="8"/>
  <c r="P299" i="8"/>
  <c r="O299" i="8"/>
  <c r="M299" i="8"/>
  <c r="L299" i="8"/>
  <c r="S298" i="8"/>
  <c r="Q298" i="8"/>
  <c r="P298" i="8"/>
  <c r="O298" i="8"/>
  <c r="M298" i="8"/>
  <c r="L298" i="8"/>
  <c r="S297" i="8"/>
  <c r="Q297" i="8"/>
  <c r="P297" i="8"/>
  <c r="O297" i="8"/>
  <c r="M297" i="8"/>
  <c r="L297" i="8"/>
  <c r="S296" i="8"/>
  <c r="Q296" i="8"/>
  <c r="P296" i="8"/>
  <c r="O296" i="8"/>
  <c r="M296" i="8"/>
  <c r="L296" i="8"/>
  <c r="S295" i="8"/>
  <c r="Q295" i="8"/>
  <c r="P295" i="8"/>
  <c r="O295" i="8"/>
  <c r="M295" i="8"/>
  <c r="L295" i="8"/>
  <c r="S294" i="8"/>
  <c r="Q294" i="8"/>
  <c r="P294" i="8"/>
  <c r="O294" i="8"/>
  <c r="M294" i="8"/>
  <c r="L294" i="8"/>
  <c r="S293" i="8"/>
  <c r="Q293" i="8"/>
  <c r="P293" i="8"/>
  <c r="O293" i="8"/>
  <c r="M293" i="8"/>
  <c r="L293" i="8"/>
  <c r="S292" i="8"/>
  <c r="Q292" i="8"/>
  <c r="P292" i="8"/>
  <c r="O292" i="8"/>
  <c r="M292" i="8"/>
  <c r="L292" i="8"/>
  <c r="S291" i="8"/>
  <c r="Q291" i="8"/>
  <c r="P291" i="8"/>
  <c r="O291" i="8"/>
  <c r="M291" i="8"/>
  <c r="L291" i="8"/>
  <c r="S290" i="8"/>
  <c r="Q290" i="8"/>
  <c r="P290" i="8"/>
  <c r="O290" i="8"/>
  <c r="M290" i="8"/>
  <c r="L290" i="8"/>
  <c r="S289" i="8"/>
  <c r="Q289" i="8"/>
  <c r="P289" i="8"/>
  <c r="O289" i="8"/>
  <c r="M289" i="8"/>
  <c r="L289" i="8"/>
  <c r="S288" i="8"/>
  <c r="Q288" i="8"/>
  <c r="P288" i="8"/>
  <c r="O288" i="8"/>
  <c r="M288" i="8"/>
  <c r="L288" i="8"/>
  <c r="S287" i="8"/>
  <c r="Q287" i="8"/>
  <c r="P287" i="8"/>
  <c r="O287" i="8"/>
  <c r="M287" i="8"/>
  <c r="L287" i="8"/>
  <c r="S286" i="8"/>
  <c r="Q286" i="8"/>
  <c r="P286" i="8"/>
  <c r="O286" i="8"/>
  <c r="M286" i="8"/>
  <c r="L286" i="8"/>
  <c r="S285" i="8"/>
  <c r="Q285" i="8"/>
  <c r="P285" i="8"/>
  <c r="O285" i="8"/>
  <c r="M285" i="8"/>
  <c r="N285" i="8" s="1"/>
  <c r="R285" i="8" s="1"/>
  <c r="L285" i="8"/>
  <c r="S284" i="8"/>
  <c r="Q284" i="8"/>
  <c r="P284" i="8"/>
  <c r="O284" i="8"/>
  <c r="M284" i="8"/>
  <c r="L284" i="8"/>
  <c r="S283" i="8"/>
  <c r="Q283" i="8"/>
  <c r="P283" i="8"/>
  <c r="O283" i="8"/>
  <c r="M283" i="8"/>
  <c r="L283" i="8"/>
  <c r="S282" i="8"/>
  <c r="Q282" i="8"/>
  <c r="P282" i="8"/>
  <c r="O282" i="8"/>
  <c r="M282" i="8"/>
  <c r="L282" i="8"/>
  <c r="S281" i="8"/>
  <c r="Q281" i="8"/>
  <c r="P281" i="8"/>
  <c r="O281" i="8"/>
  <c r="M281" i="8"/>
  <c r="L281" i="8"/>
  <c r="S280" i="8"/>
  <c r="Q280" i="8"/>
  <c r="P280" i="8"/>
  <c r="O280" i="8"/>
  <c r="M280" i="8"/>
  <c r="L280" i="8"/>
  <c r="S279" i="8"/>
  <c r="Q279" i="8"/>
  <c r="P279" i="8"/>
  <c r="O279" i="8"/>
  <c r="M279" i="8"/>
  <c r="L279" i="8"/>
  <c r="S278" i="8"/>
  <c r="Q278" i="8"/>
  <c r="P278" i="8"/>
  <c r="O278" i="8"/>
  <c r="M278" i="8"/>
  <c r="L278" i="8"/>
  <c r="S277" i="8"/>
  <c r="Q277" i="8"/>
  <c r="P277" i="8"/>
  <c r="O277" i="8"/>
  <c r="M277" i="8"/>
  <c r="L277" i="8"/>
  <c r="S276" i="8"/>
  <c r="Q276" i="8"/>
  <c r="P276" i="8"/>
  <c r="O276" i="8"/>
  <c r="M276" i="8"/>
  <c r="L276" i="8"/>
  <c r="S275" i="8"/>
  <c r="Q275" i="8"/>
  <c r="P275" i="8"/>
  <c r="O275" i="8"/>
  <c r="M275" i="8"/>
  <c r="L275" i="8"/>
  <c r="S274" i="8"/>
  <c r="Q274" i="8"/>
  <c r="P274" i="8"/>
  <c r="O274" i="8"/>
  <c r="M274" i="8"/>
  <c r="L274" i="8"/>
  <c r="S273" i="8"/>
  <c r="Q273" i="8"/>
  <c r="P273" i="8"/>
  <c r="O273" i="8"/>
  <c r="M273" i="8"/>
  <c r="L273" i="8"/>
  <c r="S272" i="8"/>
  <c r="Q272" i="8"/>
  <c r="P272" i="8"/>
  <c r="O272" i="8"/>
  <c r="M272" i="8"/>
  <c r="L272" i="8"/>
  <c r="S271" i="8"/>
  <c r="Q271" i="8"/>
  <c r="P271" i="8"/>
  <c r="O271" i="8"/>
  <c r="M271" i="8"/>
  <c r="L271" i="8"/>
  <c r="S270" i="8"/>
  <c r="Q270" i="8"/>
  <c r="P270" i="8"/>
  <c r="O270" i="8"/>
  <c r="M270" i="8"/>
  <c r="L270" i="8"/>
  <c r="S269" i="8"/>
  <c r="Q269" i="8"/>
  <c r="P269" i="8"/>
  <c r="O269" i="8"/>
  <c r="M269" i="8"/>
  <c r="L269" i="8"/>
  <c r="S268" i="8"/>
  <c r="Q268" i="8"/>
  <c r="P268" i="8"/>
  <c r="O268" i="8"/>
  <c r="M268" i="8"/>
  <c r="L268" i="8"/>
  <c r="S267" i="8"/>
  <c r="Q267" i="8"/>
  <c r="P267" i="8"/>
  <c r="O267" i="8"/>
  <c r="M267" i="8"/>
  <c r="L267" i="8"/>
  <c r="S266" i="8"/>
  <c r="Q266" i="8"/>
  <c r="P266" i="8"/>
  <c r="O266" i="8"/>
  <c r="M266" i="8"/>
  <c r="L266" i="8"/>
  <c r="S265" i="8"/>
  <c r="Q265" i="8"/>
  <c r="P265" i="8"/>
  <c r="O265" i="8"/>
  <c r="M265" i="8"/>
  <c r="L265" i="8"/>
  <c r="S264" i="8"/>
  <c r="Q264" i="8"/>
  <c r="P264" i="8"/>
  <c r="O264" i="8"/>
  <c r="M264" i="8"/>
  <c r="L264" i="8"/>
  <c r="S263" i="8"/>
  <c r="Q263" i="8"/>
  <c r="P263" i="8"/>
  <c r="O263" i="8"/>
  <c r="M263" i="8"/>
  <c r="L263" i="8"/>
  <c r="S262" i="8"/>
  <c r="Q262" i="8"/>
  <c r="P262" i="8"/>
  <c r="O262" i="8"/>
  <c r="M262" i="8"/>
  <c r="L262" i="8"/>
  <c r="S261" i="8"/>
  <c r="Q261" i="8"/>
  <c r="P261" i="8"/>
  <c r="O261" i="8"/>
  <c r="M261" i="8"/>
  <c r="L261" i="8"/>
  <c r="S260" i="8"/>
  <c r="Q260" i="8"/>
  <c r="P260" i="8"/>
  <c r="O260" i="8"/>
  <c r="M260" i="8"/>
  <c r="L260" i="8"/>
  <c r="S259" i="8"/>
  <c r="Q259" i="8"/>
  <c r="P259" i="8"/>
  <c r="O259" i="8"/>
  <c r="M259" i="8"/>
  <c r="L259" i="8"/>
  <c r="S258" i="8"/>
  <c r="Q258" i="8"/>
  <c r="P258" i="8"/>
  <c r="O258" i="8"/>
  <c r="M258" i="8"/>
  <c r="L258" i="8"/>
  <c r="S257" i="8"/>
  <c r="Q257" i="8"/>
  <c r="P257" i="8"/>
  <c r="O257" i="8"/>
  <c r="M257" i="8"/>
  <c r="L257" i="8"/>
  <c r="S256" i="8"/>
  <c r="Q256" i="8"/>
  <c r="P256" i="8"/>
  <c r="O256" i="8"/>
  <c r="M256" i="8"/>
  <c r="L256" i="8"/>
  <c r="S255" i="8"/>
  <c r="Q255" i="8"/>
  <c r="P255" i="8"/>
  <c r="O255" i="8"/>
  <c r="M255" i="8"/>
  <c r="L255" i="8"/>
  <c r="S254" i="8"/>
  <c r="Q254" i="8"/>
  <c r="P254" i="8"/>
  <c r="O254" i="8"/>
  <c r="M254" i="8"/>
  <c r="L254" i="8"/>
  <c r="S253" i="8"/>
  <c r="Q253" i="8"/>
  <c r="P253" i="8"/>
  <c r="O253" i="8"/>
  <c r="M253" i="8"/>
  <c r="L253" i="8"/>
  <c r="S252" i="8"/>
  <c r="Q252" i="8"/>
  <c r="P252" i="8"/>
  <c r="O252" i="8"/>
  <c r="M252" i="8"/>
  <c r="L252" i="8"/>
  <c r="S251" i="8"/>
  <c r="Q251" i="8"/>
  <c r="P251" i="8"/>
  <c r="O251" i="8"/>
  <c r="M251" i="8"/>
  <c r="L251" i="8"/>
  <c r="S250" i="8"/>
  <c r="Q250" i="8"/>
  <c r="P250" i="8"/>
  <c r="O250" i="8"/>
  <c r="M250" i="8"/>
  <c r="L250" i="8"/>
  <c r="S249" i="8"/>
  <c r="Q249" i="8"/>
  <c r="P249" i="8"/>
  <c r="O249" i="8"/>
  <c r="M249" i="8"/>
  <c r="L249" i="8"/>
  <c r="S248" i="8"/>
  <c r="Q248" i="8"/>
  <c r="P248" i="8"/>
  <c r="O248" i="8"/>
  <c r="M248" i="8"/>
  <c r="L248" i="8"/>
  <c r="S247" i="8"/>
  <c r="Q247" i="8"/>
  <c r="P247" i="8"/>
  <c r="O247" i="8"/>
  <c r="M247" i="8"/>
  <c r="L247" i="8"/>
  <c r="S246" i="8"/>
  <c r="Q246" i="8"/>
  <c r="P246" i="8"/>
  <c r="O246" i="8"/>
  <c r="M246" i="8"/>
  <c r="L246" i="8"/>
  <c r="S245" i="8"/>
  <c r="Q245" i="8"/>
  <c r="P245" i="8"/>
  <c r="O245" i="8"/>
  <c r="M245" i="8"/>
  <c r="L245" i="8"/>
  <c r="S244" i="8"/>
  <c r="Q244" i="8"/>
  <c r="P244" i="8"/>
  <c r="O244" i="8"/>
  <c r="M244" i="8"/>
  <c r="L244" i="8"/>
  <c r="S243" i="8"/>
  <c r="Q243" i="8"/>
  <c r="P243" i="8"/>
  <c r="O243" i="8"/>
  <c r="M243" i="8"/>
  <c r="L243" i="8"/>
  <c r="S242" i="8"/>
  <c r="Q242" i="8"/>
  <c r="P242" i="8"/>
  <c r="O242" i="8"/>
  <c r="M242" i="8"/>
  <c r="L242" i="8"/>
  <c r="N242" i="8" s="1"/>
  <c r="R242" i="8" s="1"/>
  <c r="S241" i="8"/>
  <c r="Q241" i="8"/>
  <c r="P241" i="8"/>
  <c r="O241" i="8"/>
  <c r="M241" i="8"/>
  <c r="L241" i="8"/>
  <c r="S240" i="8"/>
  <c r="Q240" i="8"/>
  <c r="P240" i="8"/>
  <c r="O240" i="8"/>
  <c r="M240" i="8"/>
  <c r="L240" i="8"/>
  <c r="S239" i="8"/>
  <c r="Q239" i="8"/>
  <c r="P239" i="8"/>
  <c r="O239" i="8"/>
  <c r="M239" i="8"/>
  <c r="L239" i="8"/>
  <c r="S238" i="8"/>
  <c r="Q238" i="8"/>
  <c r="P238" i="8"/>
  <c r="O238" i="8"/>
  <c r="M238" i="8"/>
  <c r="L238" i="8"/>
  <c r="N238" i="8" s="1"/>
  <c r="R238" i="8" s="1"/>
  <c r="S237" i="8"/>
  <c r="Q237" i="8"/>
  <c r="P237" i="8"/>
  <c r="O237" i="8"/>
  <c r="M237" i="8"/>
  <c r="L237" i="8"/>
  <c r="S236" i="8"/>
  <c r="Q236" i="8"/>
  <c r="P236" i="8"/>
  <c r="O236" i="8"/>
  <c r="M236" i="8"/>
  <c r="L236" i="8"/>
  <c r="N236" i="8" s="1"/>
  <c r="R236" i="8" s="1"/>
  <c r="S235" i="8"/>
  <c r="Q235" i="8"/>
  <c r="P235" i="8"/>
  <c r="O235" i="8"/>
  <c r="M235" i="8"/>
  <c r="L235" i="8"/>
  <c r="S234" i="8"/>
  <c r="Q234" i="8"/>
  <c r="P234" i="8"/>
  <c r="O234" i="8"/>
  <c r="M234" i="8"/>
  <c r="L234" i="8"/>
  <c r="N234" i="8" s="1"/>
  <c r="R234" i="8" s="1"/>
  <c r="S233" i="8"/>
  <c r="Q233" i="8"/>
  <c r="P233" i="8"/>
  <c r="O233" i="8"/>
  <c r="M233" i="8"/>
  <c r="L233" i="8"/>
  <c r="S232" i="8"/>
  <c r="Q232" i="8"/>
  <c r="P232" i="8"/>
  <c r="O232" i="8"/>
  <c r="M232" i="8"/>
  <c r="L232" i="8"/>
  <c r="S231" i="8"/>
  <c r="Q231" i="8"/>
  <c r="P231" i="8"/>
  <c r="O231" i="8"/>
  <c r="M231" i="8"/>
  <c r="L231" i="8"/>
  <c r="S230" i="8"/>
  <c r="Q230" i="8"/>
  <c r="P230" i="8"/>
  <c r="O230" i="8"/>
  <c r="M230" i="8"/>
  <c r="L230" i="8"/>
  <c r="N230" i="8" s="1"/>
  <c r="R230" i="8" s="1"/>
  <c r="S229" i="8"/>
  <c r="Q229" i="8"/>
  <c r="P229" i="8"/>
  <c r="O229" i="8"/>
  <c r="M229" i="8"/>
  <c r="L229" i="8"/>
  <c r="S228" i="8"/>
  <c r="Q228" i="8"/>
  <c r="P228" i="8"/>
  <c r="O228" i="8"/>
  <c r="M228" i="8"/>
  <c r="L228" i="8"/>
  <c r="S227" i="8"/>
  <c r="Q227" i="8"/>
  <c r="P227" i="8"/>
  <c r="O227" i="8"/>
  <c r="M227" i="8"/>
  <c r="L227" i="8"/>
  <c r="S226" i="8"/>
  <c r="Q226" i="8"/>
  <c r="P226" i="8"/>
  <c r="O226" i="8"/>
  <c r="M226" i="8"/>
  <c r="L226" i="8"/>
  <c r="S225" i="8"/>
  <c r="Q225" i="8"/>
  <c r="P225" i="8"/>
  <c r="O225" i="8"/>
  <c r="M225" i="8"/>
  <c r="L225" i="8"/>
  <c r="S224" i="8"/>
  <c r="Q224" i="8"/>
  <c r="P224" i="8"/>
  <c r="O224" i="8"/>
  <c r="M224" i="8"/>
  <c r="L224" i="8"/>
  <c r="S223" i="8"/>
  <c r="Q223" i="8"/>
  <c r="P223" i="8"/>
  <c r="O223" i="8"/>
  <c r="M223" i="8"/>
  <c r="L223" i="8"/>
  <c r="S222" i="8"/>
  <c r="Q222" i="8"/>
  <c r="P222" i="8"/>
  <c r="O222" i="8"/>
  <c r="M222" i="8"/>
  <c r="L222" i="8"/>
  <c r="N222" i="8" s="1"/>
  <c r="R222" i="8" s="1"/>
  <c r="S221" i="8"/>
  <c r="Q221" i="8"/>
  <c r="P221" i="8"/>
  <c r="O221" i="8"/>
  <c r="M221" i="8"/>
  <c r="L221" i="8"/>
  <c r="S220" i="8"/>
  <c r="Q220" i="8"/>
  <c r="P220" i="8"/>
  <c r="O220" i="8"/>
  <c r="M220" i="8"/>
  <c r="L220" i="8"/>
  <c r="N220" i="8" s="1"/>
  <c r="R220" i="8" s="1"/>
  <c r="S219" i="8"/>
  <c r="Q219" i="8"/>
  <c r="P219" i="8"/>
  <c r="O219" i="8"/>
  <c r="M219" i="8"/>
  <c r="L219" i="8"/>
  <c r="S218" i="8"/>
  <c r="Q218" i="8"/>
  <c r="P218" i="8"/>
  <c r="O218" i="8"/>
  <c r="M218" i="8"/>
  <c r="L218" i="8"/>
  <c r="S217" i="8"/>
  <c r="Q217" i="8"/>
  <c r="P217" i="8"/>
  <c r="O217" i="8"/>
  <c r="M217" i="8"/>
  <c r="L217" i="8"/>
  <c r="S216" i="8"/>
  <c r="Q216" i="8"/>
  <c r="P216" i="8"/>
  <c r="O216" i="8"/>
  <c r="M216" i="8"/>
  <c r="L216" i="8"/>
  <c r="N216" i="8" s="1"/>
  <c r="R216" i="8" s="1"/>
  <c r="S215" i="8"/>
  <c r="Q215" i="8"/>
  <c r="P215" i="8"/>
  <c r="O215" i="8"/>
  <c r="M215" i="8"/>
  <c r="L215" i="8"/>
  <c r="S214" i="8"/>
  <c r="Q214" i="8"/>
  <c r="P214" i="8"/>
  <c r="O214" i="8"/>
  <c r="M214" i="8"/>
  <c r="L214" i="8"/>
  <c r="N214" i="8" s="1"/>
  <c r="R214" i="8" s="1"/>
  <c r="S213" i="8"/>
  <c r="Q213" i="8"/>
  <c r="P213" i="8"/>
  <c r="O213" i="8"/>
  <c r="M213" i="8"/>
  <c r="L213" i="8"/>
  <c r="S212" i="8"/>
  <c r="Q212" i="8"/>
  <c r="P212" i="8"/>
  <c r="O212" i="8"/>
  <c r="M212" i="8"/>
  <c r="L212" i="8"/>
  <c r="S211" i="8"/>
  <c r="Q211" i="8"/>
  <c r="P211" i="8"/>
  <c r="O211" i="8"/>
  <c r="M211" i="8"/>
  <c r="L211" i="8"/>
  <c r="S210" i="8"/>
  <c r="Q210" i="8"/>
  <c r="P210" i="8"/>
  <c r="O210" i="8"/>
  <c r="M210" i="8"/>
  <c r="L210" i="8"/>
  <c r="S209" i="8"/>
  <c r="Q209" i="8"/>
  <c r="P209" i="8"/>
  <c r="O209" i="8"/>
  <c r="M209" i="8"/>
  <c r="L209" i="8"/>
  <c r="S208" i="8"/>
  <c r="Q208" i="8"/>
  <c r="P208" i="8"/>
  <c r="O208" i="8"/>
  <c r="M208" i="8"/>
  <c r="L208" i="8"/>
  <c r="S207" i="8"/>
  <c r="Q207" i="8"/>
  <c r="P207" i="8"/>
  <c r="O207" i="8"/>
  <c r="M207" i="8"/>
  <c r="L207" i="8"/>
  <c r="S206" i="8"/>
  <c r="Q206" i="8"/>
  <c r="P206" i="8"/>
  <c r="O206" i="8"/>
  <c r="M206" i="8"/>
  <c r="L206" i="8"/>
  <c r="S205" i="8"/>
  <c r="Q205" i="8"/>
  <c r="P205" i="8"/>
  <c r="O205" i="8"/>
  <c r="M205" i="8"/>
  <c r="L205" i="8"/>
  <c r="S204" i="8"/>
  <c r="Q204" i="8"/>
  <c r="P204" i="8"/>
  <c r="O204" i="8"/>
  <c r="M204" i="8"/>
  <c r="L204" i="8"/>
  <c r="S203" i="8"/>
  <c r="Q203" i="8"/>
  <c r="P203" i="8"/>
  <c r="O203" i="8"/>
  <c r="M203" i="8"/>
  <c r="L203" i="8"/>
  <c r="S202" i="8"/>
  <c r="Q202" i="8"/>
  <c r="P202" i="8"/>
  <c r="O202" i="8"/>
  <c r="M202" i="8"/>
  <c r="L202" i="8"/>
  <c r="S201" i="8"/>
  <c r="Q201" i="8"/>
  <c r="P201" i="8"/>
  <c r="O201" i="8"/>
  <c r="M201" i="8"/>
  <c r="L201" i="8"/>
  <c r="S200" i="8"/>
  <c r="Q200" i="8"/>
  <c r="P200" i="8"/>
  <c r="O200" i="8"/>
  <c r="M200" i="8"/>
  <c r="L200" i="8"/>
  <c r="S199" i="8"/>
  <c r="Q199" i="8"/>
  <c r="P199" i="8"/>
  <c r="O199" i="8"/>
  <c r="M199" i="8"/>
  <c r="L199" i="8"/>
  <c r="S198" i="8"/>
  <c r="Q198" i="8"/>
  <c r="P198" i="8"/>
  <c r="O198" i="8"/>
  <c r="M198" i="8"/>
  <c r="L198" i="8"/>
  <c r="S197" i="8"/>
  <c r="Q197" i="8"/>
  <c r="P197" i="8"/>
  <c r="O197" i="8"/>
  <c r="M197" i="8"/>
  <c r="L197" i="8"/>
  <c r="S196" i="8"/>
  <c r="Q196" i="8"/>
  <c r="P196" i="8"/>
  <c r="O196" i="8"/>
  <c r="M196" i="8"/>
  <c r="L196" i="8"/>
  <c r="S195" i="8"/>
  <c r="Q195" i="8"/>
  <c r="P195" i="8"/>
  <c r="O195" i="8"/>
  <c r="M195" i="8"/>
  <c r="L195" i="8"/>
  <c r="S194" i="8"/>
  <c r="Q194" i="8"/>
  <c r="P194" i="8"/>
  <c r="O194" i="8"/>
  <c r="M194" i="8"/>
  <c r="L194" i="8"/>
  <c r="S193" i="8"/>
  <c r="Q193" i="8"/>
  <c r="P193" i="8"/>
  <c r="O193" i="8"/>
  <c r="M193" i="8"/>
  <c r="L193" i="8"/>
  <c r="S192" i="8"/>
  <c r="Q192" i="8"/>
  <c r="P192" i="8"/>
  <c r="O192" i="8"/>
  <c r="M192" i="8"/>
  <c r="L192" i="8"/>
  <c r="S191" i="8"/>
  <c r="Q191" i="8"/>
  <c r="P191" i="8"/>
  <c r="O191" i="8"/>
  <c r="M191" i="8"/>
  <c r="L191" i="8"/>
  <c r="S190" i="8"/>
  <c r="Q190" i="8"/>
  <c r="P190" i="8"/>
  <c r="O190" i="8"/>
  <c r="M190" i="8"/>
  <c r="L190" i="8"/>
  <c r="N190" i="8" s="1"/>
  <c r="R190" i="8" s="1"/>
  <c r="S189" i="8"/>
  <c r="Q189" i="8"/>
  <c r="P189" i="8"/>
  <c r="O189" i="8"/>
  <c r="M189" i="8"/>
  <c r="L189" i="8"/>
  <c r="S188" i="8"/>
  <c r="Q188" i="8"/>
  <c r="P188" i="8"/>
  <c r="O188" i="8"/>
  <c r="M188" i="8"/>
  <c r="L188" i="8"/>
  <c r="S187" i="8"/>
  <c r="Q187" i="8"/>
  <c r="P187" i="8"/>
  <c r="O187" i="8"/>
  <c r="M187" i="8"/>
  <c r="L187" i="8"/>
  <c r="S186" i="8"/>
  <c r="Q186" i="8"/>
  <c r="P186" i="8"/>
  <c r="O186" i="8"/>
  <c r="M186" i="8"/>
  <c r="L186" i="8"/>
  <c r="S185" i="8"/>
  <c r="Q185" i="8"/>
  <c r="P185" i="8"/>
  <c r="O185" i="8"/>
  <c r="M185" i="8"/>
  <c r="L185" i="8"/>
  <c r="S184" i="8"/>
  <c r="Q184" i="8"/>
  <c r="P184" i="8"/>
  <c r="O184" i="8"/>
  <c r="M184" i="8"/>
  <c r="L184" i="8"/>
  <c r="S183" i="8"/>
  <c r="Q183" i="8"/>
  <c r="P183" i="8"/>
  <c r="O183" i="8"/>
  <c r="M183" i="8"/>
  <c r="L183" i="8"/>
  <c r="S182" i="8"/>
  <c r="Q182" i="8"/>
  <c r="P182" i="8"/>
  <c r="O182" i="8"/>
  <c r="M182" i="8"/>
  <c r="L182" i="8"/>
  <c r="S181" i="8"/>
  <c r="Q181" i="8"/>
  <c r="P181" i="8"/>
  <c r="O181" i="8"/>
  <c r="M181" i="8"/>
  <c r="L181" i="8"/>
  <c r="S180" i="8"/>
  <c r="Q180" i="8"/>
  <c r="P180" i="8"/>
  <c r="O180" i="8"/>
  <c r="M180" i="8"/>
  <c r="L180" i="8"/>
  <c r="S179" i="8"/>
  <c r="Q179" i="8"/>
  <c r="P179" i="8"/>
  <c r="O179" i="8"/>
  <c r="M179" i="8"/>
  <c r="L179" i="8"/>
  <c r="S178" i="8"/>
  <c r="Q178" i="8"/>
  <c r="P178" i="8"/>
  <c r="O178" i="8"/>
  <c r="M178" i="8"/>
  <c r="L178" i="8"/>
  <c r="S177" i="8"/>
  <c r="Q177" i="8"/>
  <c r="P177" i="8"/>
  <c r="O177" i="8"/>
  <c r="M177" i="8"/>
  <c r="L177" i="8"/>
  <c r="S176" i="8"/>
  <c r="Q176" i="8"/>
  <c r="P176" i="8"/>
  <c r="O176" i="8"/>
  <c r="M176" i="8"/>
  <c r="L176" i="8"/>
  <c r="S175" i="8"/>
  <c r="Q175" i="8"/>
  <c r="P175" i="8"/>
  <c r="O175" i="8"/>
  <c r="M175" i="8"/>
  <c r="L175" i="8"/>
  <c r="S174" i="8"/>
  <c r="Q174" i="8"/>
  <c r="P174" i="8"/>
  <c r="O174" i="8"/>
  <c r="M174" i="8"/>
  <c r="L174" i="8"/>
  <c r="S173" i="8"/>
  <c r="Q173" i="8"/>
  <c r="P173" i="8"/>
  <c r="O173" i="8"/>
  <c r="M173" i="8"/>
  <c r="L173" i="8"/>
  <c r="S172" i="8"/>
  <c r="Q172" i="8"/>
  <c r="P172" i="8"/>
  <c r="O172" i="8"/>
  <c r="M172" i="8"/>
  <c r="L172" i="8"/>
  <c r="S171" i="8"/>
  <c r="Q171" i="8"/>
  <c r="P171" i="8"/>
  <c r="O171" i="8"/>
  <c r="M171" i="8"/>
  <c r="N171" i="8" s="1"/>
  <c r="R171" i="8" s="1"/>
  <c r="L171" i="8"/>
  <c r="S170" i="8"/>
  <c r="Q170" i="8"/>
  <c r="P170" i="8"/>
  <c r="O170" i="8"/>
  <c r="M170" i="8"/>
  <c r="L170" i="8"/>
  <c r="S169" i="8"/>
  <c r="Q169" i="8"/>
  <c r="P169" i="8"/>
  <c r="O169" i="8"/>
  <c r="M169" i="8"/>
  <c r="L169" i="8"/>
  <c r="S168" i="8"/>
  <c r="Q168" i="8"/>
  <c r="P168" i="8"/>
  <c r="O168" i="8"/>
  <c r="M168" i="8"/>
  <c r="L168" i="8"/>
  <c r="S167" i="8"/>
  <c r="Q167" i="8"/>
  <c r="P167" i="8"/>
  <c r="O167" i="8"/>
  <c r="M167" i="8"/>
  <c r="L167" i="8"/>
  <c r="S166" i="8"/>
  <c r="Q166" i="8"/>
  <c r="P166" i="8"/>
  <c r="O166" i="8"/>
  <c r="M166" i="8"/>
  <c r="L166" i="8"/>
  <c r="S165" i="8"/>
  <c r="Q165" i="8"/>
  <c r="P165" i="8"/>
  <c r="O165" i="8"/>
  <c r="M165" i="8"/>
  <c r="L165" i="8"/>
  <c r="S164" i="8"/>
  <c r="Q164" i="8"/>
  <c r="P164" i="8"/>
  <c r="O164" i="8"/>
  <c r="M164" i="8"/>
  <c r="L164" i="8"/>
  <c r="S163" i="8"/>
  <c r="Q163" i="8"/>
  <c r="P163" i="8"/>
  <c r="O163" i="8"/>
  <c r="M163" i="8"/>
  <c r="L163" i="8"/>
  <c r="S162" i="8"/>
  <c r="Q162" i="8"/>
  <c r="P162" i="8"/>
  <c r="O162" i="8"/>
  <c r="M162" i="8"/>
  <c r="L162" i="8"/>
  <c r="S161" i="8"/>
  <c r="Q161" i="8"/>
  <c r="P161" i="8"/>
  <c r="O161" i="8"/>
  <c r="M161" i="8"/>
  <c r="L161" i="8"/>
  <c r="S160" i="8"/>
  <c r="Q160" i="8"/>
  <c r="P160" i="8"/>
  <c r="O160" i="8"/>
  <c r="M160" i="8"/>
  <c r="L160" i="8"/>
  <c r="S159" i="8"/>
  <c r="Q159" i="8"/>
  <c r="P159" i="8"/>
  <c r="O159" i="8"/>
  <c r="M159" i="8"/>
  <c r="L159" i="8"/>
  <c r="S158" i="8"/>
  <c r="Q158" i="8"/>
  <c r="P158" i="8"/>
  <c r="O158" i="8"/>
  <c r="M158" i="8"/>
  <c r="L158" i="8"/>
  <c r="S157" i="8"/>
  <c r="Q157" i="8"/>
  <c r="P157" i="8"/>
  <c r="O157" i="8"/>
  <c r="M157" i="8"/>
  <c r="L157" i="8"/>
  <c r="S156" i="8"/>
  <c r="Q156" i="8"/>
  <c r="P156" i="8"/>
  <c r="O156" i="8"/>
  <c r="M156" i="8"/>
  <c r="L156" i="8"/>
  <c r="S155" i="8"/>
  <c r="Q155" i="8"/>
  <c r="P155" i="8"/>
  <c r="O155" i="8"/>
  <c r="M155" i="8"/>
  <c r="L155" i="8"/>
  <c r="S154" i="8"/>
  <c r="Q154" i="8"/>
  <c r="P154" i="8"/>
  <c r="O154" i="8"/>
  <c r="M154" i="8"/>
  <c r="L154" i="8"/>
  <c r="S153" i="8"/>
  <c r="Q153" i="8"/>
  <c r="P153" i="8"/>
  <c r="O153" i="8"/>
  <c r="M153" i="8"/>
  <c r="L153" i="8"/>
  <c r="S152" i="8"/>
  <c r="Q152" i="8"/>
  <c r="P152" i="8"/>
  <c r="O152" i="8"/>
  <c r="M152" i="8"/>
  <c r="L152" i="8"/>
  <c r="S151" i="8"/>
  <c r="Q151" i="8"/>
  <c r="P151" i="8"/>
  <c r="O151" i="8"/>
  <c r="M151" i="8"/>
  <c r="L151" i="8"/>
  <c r="S150" i="8"/>
  <c r="Q150" i="8"/>
  <c r="P150" i="8"/>
  <c r="O150" i="8"/>
  <c r="M150" i="8"/>
  <c r="L150" i="8"/>
  <c r="S149" i="8"/>
  <c r="Q149" i="8"/>
  <c r="P149" i="8"/>
  <c r="O149" i="8"/>
  <c r="M149" i="8"/>
  <c r="L149" i="8"/>
  <c r="S148" i="8"/>
  <c r="Q148" i="8"/>
  <c r="P148" i="8"/>
  <c r="O148" i="8"/>
  <c r="M148" i="8"/>
  <c r="L148" i="8"/>
  <c r="S147" i="8"/>
  <c r="Q147" i="8"/>
  <c r="P147" i="8"/>
  <c r="O147" i="8"/>
  <c r="M147" i="8"/>
  <c r="L147" i="8"/>
  <c r="S146" i="8"/>
  <c r="Q146" i="8"/>
  <c r="P146" i="8"/>
  <c r="O146" i="8"/>
  <c r="M146" i="8"/>
  <c r="L146" i="8"/>
  <c r="S145" i="8"/>
  <c r="Q145" i="8"/>
  <c r="P145" i="8"/>
  <c r="O145" i="8"/>
  <c r="M145" i="8"/>
  <c r="L145" i="8"/>
  <c r="S144" i="8"/>
  <c r="Q144" i="8"/>
  <c r="P144" i="8"/>
  <c r="O144" i="8"/>
  <c r="M144" i="8"/>
  <c r="L144" i="8"/>
  <c r="S143" i="8"/>
  <c r="Q143" i="8"/>
  <c r="P143" i="8"/>
  <c r="O143" i="8"/>
  <c r="M143" i="8"/>
  <c r="L143" i="8"/>
  <c r="S142" i="8"/>
  <c r="Q142" i="8"/>
  <c r="P142" i="8"/>
  <c r="O142" i="8"/>
  <c r="M142" i="8"/>
  <c r="L142" i="8"/>
  <c r="S141" i="8"/>
  <c r="Q141" i="8"/>
  <c r="P141" i="8"/>
  <c r="O141" i="8"/>
  <c r="M141" i="8"/>
  <c r="L141" i="8"/>
  <c r="S140" i="8"/>
  <c r="Q140" i="8"/>
  <c r="P140" i="8"/>
  <c r="O140" i="8"/>
  <c r="M140" i="8"/>
  <c r="L140" i="8"/>
  <c r="S139" i="8"/>
  <c r="Q139" i="8"/>
  <c r="P139" i="8"/>
  <c r="O139" i="8"/>
  <c r="M139" i="8"/>
  <c r="L139" i="8"/>
  <c r="S138" i="8"/>
  <c r="Q138" i="8"/>
  <c r="P138" i="8"/>
  <c r="O138" i="8"/>
  <c r="M138" i="8"/>
  <c r="L138" i="8"/>
  <c r="S137" i="8"/>
  <c r="Q137" i="8"/>
  <c r="P137" i="8"/>
  <c r="O137" i="8"/>
  <c r="M137" i="8"/>
  <c r="L137" i="8"/>
  <c r="S136" i="8"/>
  <c r="Q136" i="8"/>
  <c r="P136" i="8"/>
  <c r="O136" i="8"/>
  <c r="M136" i="8"/>
  <c r="L136" i="8"/>
  <c r="S135" i="8"/>
  <c r="Q135" i="8"/>
  <c r="P135" i="8"/>
  <c r="O135" i="8"/>
  <c r="M135" i="8"/>
  <c r="L135" i="8"/>
  <c r="S134" i="8"/>
  <c r="Q134" i="8"/>
  <c r="P134" i="8"/>
  <c r="O134" i="8"/>
  <c r="M134" i="8"/>
  <c r="L134" i="8"/>
  <c r="S133" i="8"/>
  <c r="Q133" i="8"/>
  <c r="P133" i="8"/>
  <c r="O133" i="8"/>
  <c r="M133" i="8"/>
  <c r="L133" i="8"/>
  <c r="S132" i="8"/>
  <c r="Q132" i="8"/>
  <c r="P132" i="8"/>
  <c r="O132" i="8"/>
  <c r="M132" i="8"/>
  <c r="L132" i="8"/>
  <c r="S131" i="8"/>
  <c r="Q131" i="8"/>
  <c r="P131" i="8"/>
  <c r="O131" i="8"/>
  <c r="M131" i="8"/>
  <c r="L131" i="8"/>
  <c r="S130" i="8"/>
  <c r="Q130" i="8"/>
  <c r="P130" i="8"/>
  <c r="O130" i="8"/>
  <c r="M130" i="8"/>
  <c r="L130" i="8"/>
  <c r="S129" i="8"/>
  <c r="Q129" i="8"/>
  <c r="P129" i="8"/>
  <c r="O129" i="8"/>
  <c r="M129" i="8"/>
  <c r="L129" i="8"/>
  <c r="S128" i="8"/>
  <c r="Q128" i="8"/>
  <c r="P128" i="8"/>
  <c r="O128" i="8"/>
  <c r="M128" i="8"/>
  <c r="L128" i="8"/>
  <c r="N128" i="8" s="1"/>
  <c r="R128" i="8" s="1"/>
  <c r="S127" i="8"/>
  <c r="Q127" i="8"/>
  <c r="P127" i="8"/>
  <c r="O127" i="8"/>
  <c r="M127" i="8"/>
  <c r="L127" i="8"/>
  <c r="S126" i="8"/>
  <c r="Q126" i="8"/>
  <c r="P126" i="8"/>
  <c r="O126" i="8"/>
  <c r="M126" i="8"/>
  <c r="L126" i="8"/>
  <c r="N126" i="8" s="1"/>
  <c r="R126" i="8" s="1"/>
  <c r="S125" i="8"/>
  <c r="Q125" i="8"/>
  <c r="P125" i="8"/>
  <c r="O125" i="8"/>
  <c r="M125" i="8"/>
  <c r="L125" i="8"/>
  <c r="S124" i="8"/>
  <c r="Q124" i="8"/>
  <c r="P124" i="8"/>
  <c r="O124" i="8"/>
  <c r="M124" i="8"/>
  <c r="L124" i="8"/>
  <c r="N124" i="8" s="1"/>
  <c r="R124" i="8" s="1"/>
  <c r="S123" i="8"/>
  <c r="Q123" i="8"/>
  <c r="P123" i="8"/>
  <c r="O123" i="8"/>
  <c r="M123" i="8"/>
  <c r="L123" i="8"/>
  <c r="S122" i="8"/>
  <c r="Q122" i="8"/>
  <c r="P122" i="8"/>
  <c r="O122" i="8"/>
  <c r="M122" i="8"/>
  <c r="L122" i="8"/>
  <c r="N122" i="8" s="1"/>
  <c r="R122" i="8" s="1"/>
  <c r="S121" i="8"/>
  <c r="Q121" i="8"/>
  <c r="P121" i="8"/>
  <c r="O121" i="8"/>
  <c r="M121" i="8"/>
  <c r="L121" i="8"/>
  <c r="S120" i="8"/>
  <c r="Q120" i="8"/>
  <c r="P120" i="8"/>
  <c r="O120" i="8"/>
  <c r="M120" i="8"/>
  <c r="L120" i="8"/>
  <c r="S119" i="8"/>
  <c r="Q119" i="8"/>
  <c r="P119" i="8"/>
  <c r="O119" i="8"/>
  <c r="M119" i="8"/>
  <c r="L119" i="8"/>
  <c r="S118" i="8"/>
  <c r="Q118" i="8"/>
  <c r="P118" i="8"/>
  <c r="O118" i="8"/>
  <c r="M118" i="8"/>
  <c r="L118" i="8"/>
  <c r="S117" i="8"/>
  <c r="Q117" i="8"/>
  <c r="P117" i="8"/>
  <c r="O117" i="8"/>
  <c r="M117" i="8"/>
  <c r="L117" i="8"/>
  <c r="S116" i="8"/>
  <c r="Q116" i="8"/>
  <c r="P116" i="8"/>
  <c r="O116" i="8"/>
  <c r="M116" i="8"/>
  <c r="L116" i="8"/>
  <c r="N116" i="8" s="1"/>
  <c r="R116" i="8" s="1"/>
  <c r="S115" i="8"/>
  <c r="Q115" i="8"/>
  <c r="P115" i="8"/>
  <c r="O115" i="8"/>
  <c r="M115" i="8"/>
  <c r="L115" i="8"/>
  <c r="S114" i="8"/>
  <c r="Q114" i="8"/>
  <c r="P114" i="8"/>
  <c r="O114" i="8"/>
  <c r="M114" i="8"/>
  <c r="L114" i="8"/>
  <c r="S113" i="8"/>
  <c r="Q113" i="8"/>
  <c r="P113" i="8"/>
  <c r="O113" i="8"/>
  <c r="M113" i="8"/>
  <c r="L113" i="8"/>
  <c r="S112" i="8"/>
  <c r="Q112" i="8"/>
  <c r="P112" i="8"/>
  <c r="O112" i="8"/>
  <c r="M112" i="8"/>
  <c r="L112" i="8"/>
  <c r="N112" i="8" s="1"/>
  <c r="R112" i="8" s="1"/>
  <c r="S111" i="8"/>
  <c r="Q111" i="8"/>
  <c r="P111" i="8"/>
  <c r="O111" i="8"/>
  <c r="M111" i="8"/>
  <c r="L111" i="8"/>
  <c r="S110" i="8"/>
  <c r="Q110" i="8"/>
  <c r="P110" i="8"/>
  <c r="O110" i="8"/>
  <c r="M110" i="8"/>
  <c r="L110" i="8"/>
  <c r="N110" i="8" s="1"/>
  <c r="R110" i="8" s="1"/>
  <c r="S109" i="8"/>
  <c r="Q109" i="8"/>
  <c r="P109" i="8"/>
  <c r="O109" i="8"/>
  <c r="M109" i="8"/>
  <c r="L109" i="8"/>
  <c r="S108" i="8"/>
  <c r="Q108" i="8"/>
  <c r="P108" i="8"/>
  <c r="O108" i="8"/>
  <c r="M108" i="8"/>
  <c r="L108" i="8"/>
  <c r="N108" i="8" s="1"/>
  <c r="R108" i="8" s="1"/>
  <c r="S107" i="8"/>
  <c r="Q107" i="8"/>
  <c r="P107" i="8"/>
  <c r="O107" i="8"/>
  <c r="M107" i="8"/>
  <c r="L107" i="8"/>
  <c r="S106" i="8"/>
  <c r="Q106" i="8"/>
  <c r="P106" i="8"/>
  <c r="O106" i="8"/>
  <c r="M106" i="8"/>
  <c r="L106" i="8"/>
  <c r="N106" i="8" s="1"/>
  <c r="R106" i="8" s="1"/>
  <c r="S105" i="8"/>
  <c r="Q105" i="8"/>
  <c r="P105" i="8"/>
  <c r="O105" i="8"/>
  <c r="M105" i="8"/>
  <c r="L105" i="8"/>
  <c r="S104" i="8"/>
  <c r="Q104" i="8"/>
  <c r="P104" i="8"/>
  <c r="O104" i="8"/>
  <c r="M104" i="8"/>
  <c r="L104" i="8"/>
  <c r="S103" i="8"/>
  <c r="Q103" i="8"/>
  <c r="P103" i="8"/>
  <c r="O103" i="8"/>
  <c r="M103" i="8"/>
  <c r="L103" i="8"/>
  <c r="S102" i="8"/>
  <c r="Q102" i="8"/>
  <c r="P102" i="8"/>
  <c r="O102" i="8"/>
  <c r="M102" i="8"/>
  <c r="L102" i="8"/>
  <c r="S101" i="8"/>
  <c r="Q101" i="8"/>
  <c r="P101" i="8"/>
  <c r="O101" i="8"/>
  <c r="M101" i="8"/>
  <c r="L101" i="8"/>
  <c r="S100" i="8"/>
  <c r="Q100" i="8"/>
  <c r="P100" i="8"/>
  <c r="O100" i="8"/>
  <c r="M100" i="8"/>
  <c r="L100" i="8"/>
  <c r="S99" i="8"/>
  <c r="Q99" i="8"/>
  <c r="P99" i="8"/>
  <c r="O99" i="8"/>
  <c r="M99" i="8"/>
  <c r="L99" i="8"/>
  <c r="S98" i="8"/>
  <c r="Q98" i="8"/>
  <c r="P98" i="8"/>
  <c r="O98" i="8"/>
  <c r="M98" i="8"/>
  <c r="L98" i="8"/>
  <c r="S97" i="8"/>
  <c r="Q97" i="8"/>
  <c r="P97" i="8"/>
  <c r="O97" i="8"/>
  <c r="M97" i="8"/>
  <c r="L97" i="8"/>
  <c r="S96" i="8"/>
  <c r="Q96" i="8"/>
  <c r="P96" i="8"/>
  <c r="O96" i="8"/>
  <c r="M96" i="8"/>
  <c r="L96" i="8"/>
  <c r="S95" i="8"/>
  <c r="Q95" i="8"/>
  <c r="P95" i="8"/>
  <c r="O95" i="8"/>
  <c r="M95" i="8"/>
  <c r="L95" i="8"/>
  <c r="S94" i="8"/>
  <c r="Q94" i="8"/>
  <c r="P94" i="8"/>
  <c r="O94" i="8"/>
  <c r="M94" i="8"/>
  <c r="L94" i="8"/>
  <c r="S93" i="8"/>
  <c r="Q93" i="8"/>
  <c r="P93" i="8"/>
  <c r="O93" i="8"/>
  <c r="M93" i="8"/>
  <c r="L93" i="8"/>
  <c r="S92" i="8"/>
  <c r="Q92" i="8"/>
  <c r="P92" i="8"/>
  <c r="O92" i="8"/>
  <c r="M92" i="8"/>
  <c r="L92" i="8"/>
  <c r="S91" i="8"/>
  <c r="Q91" i="8"/>
  <c r="P91" i="8"/>
  <c r="O91" i="8"/>
  <c r="M91" i="8"/>
  <c r="L91" i="8"/>
  <c r="S90" i="8"/>
  <c r="Q90" i="8"/>
  <c r="P90" i="8"/>
  <c r="O90" i="8"/>
  <c r="M90" i="8"/>
  <c r="L90" i="8"/>
  <c r="S89" i="8"/>
  <c r="Q89" i="8"/>
  <c r="P89" i="8"/>
  <c r="O89" i="8"/>
  <c r="M89" i="8"/>
  <c r="L89" i="8"/>
  <c r="S88" i="8"/>
  <c r="Q88" i="8"/>
  <c r="P88" i="8"/>
  <c r="O88" i="8"/>
  <c r="M88" i="8"/>
  <c r="L88" i="8"/>
  <c r="S87" i="8"/>
  <c r="Q87" i="8"/>
  <c r="P87" i="8"/>
  <c r="O87" i="8"/>
  <c r="M87" i="8"/>
  <c r="L87" i="8"/>
  <c r="S86" i="8"/>
  <c r="Q86" i="8"/>
  <c r="P86" i="8"/>
  <c r="O86" i="8"/>
  <c r="M86" i="8"/>
  <c r="L86" i="8"/>
  <c r="S85" i="8"/>
  <c r="Q85" i="8"/>
  <c r="P85" i="8"/>
  <c r="O85" i="8"/>
  <c r="M85" i="8"/>
  <c r="L85" i="8"/>
  <c r="S84" i="8"/>
  <c r="Q84" i="8"/>
  <c r="P84" i="8"/>
  <c r="O84" i="8"/>
  <c r="M84" i="8"/>
  <c r="L84" i="8"/>
  <c r="S83" i="8"/>
  <c r="Q83" i="8"/>
  <c r="P83" i="8"/>
  <c r="O83" i="8"/>
  <c r="M83" i="8"/>
  <c r="L83" i="8"/>
  <c r="S82" i="8"/>
  <c r="Q82" i="8"/>
  <c r="P82" i="8"/>
  <c r="O82" i="8"/>
  <c r="M82" i="8"/>
  <c r="L82" i="8"/>
  <c r="S81" i="8"/>
  <c r="Q81" i="8"/>
  <c r="P81" i="8"/>
  <c r="O81" i="8"/>
  <c r="M81" i="8"/>
  <c r="L81" i="8"/>
  <c r="S80" i="8"/>
  <c r="Q80" i="8"/>
  <c r="P80" i="8"/>
  <c r="O80" i="8"/>
  <c r="M80" i="8"/>
  <c r="L80" i="8"/>
  <c r="N80" i="8" s="1"/>
  <c r="R80" i="8" s="1"/>
  <c r="S79" i="8"/>
  <c r="Q79" i="8"/>
  <c r="P79" i="8"/>
  <c r="O79" i="8"/>
  <c r="M79" i="8"/>
  <c r="L79" i="8"/>
  <c r="S78" i="8"/>
  <c r="Q78" i="8"/>
  <c r="P78" i="8"/>
  <c r="O78" i="8"/>
  <c r="M78" i="8"/>
  <c r="L78" i="8"/>
  <c r="N78" i="8" s="1"/>
  <c r="R78" i="8" s="1"/>
  <c r="S77" i="8"/>
  <c r="Q77" i="8"/>
  <c r="P77" i="8"/>
  <c r="O77" i="8"/>
  <c r="M77" i="8"/>
  <c r="L77" i="8"/>
  <c r="S76" i="8"/>
  <c r="Q76" i="8"/>
  <c r="P76" i="8"/>
  <c r="O76" i="8"/>
  <c r="M76" i="8"/>
  <c r="L76" i="8"/>
  <c r="N76" i="8" s="1"/>
  <c r="R76" i="8" s="1"/>
  <c r="S75" i="8"/>
  <c r="Q75" i="8"/>
  <c r="P75" i="8"/>
  <c r="O75" i="8"/>
  <c r="M75" i="8"/>
  <c r="L75" i="8"/>
  <c r="S74" i="8"/>
  <c r="Q74" i="8"/>
  <c r="P74" i="8"/>
  <c r="O74" i="8"/>
  <c r="M74" i="8"/>
  <c r="L74" i="8"/>
  <c r="N74" i="8" s="1"/>
  <c r="R74" i="8" s="1"/>
  <c r="S73" i="8"/>
  <c r="Q73" i="8"/>
  <c r="P73" i="8"/>
  <c r="O73" i="8"/>
  <c r="M73" i="8"/>
  <c r="L73" i="8"/>
  <c r="S72" i="8"/>
  <c r="Q72" i="8"/>
  <c r="P72" i="8"/>
  <c r="O72" i="8"/>
  <c r="M72" i="8"/>
  <c r="L72" i="8"/>
  <c r="N72" i="8" s="1"/>
  <c r="R72" i="8" s="1"/>
  <c r="S71" i="8"/>
  <c r="Q71" i="8"/>
  <c r="P71" i="8"/>
  <c r="O71" i="8"/>
  <c r="M71" i="8"/>
  <c r="L71" i="8"/>
  <c r="S70" i="8"/>
  <c r="Q70" i="8"/>
  <c r="P70" i="8"/>
  <c r="O70" i="8"/>
  <c r="M70" i="8"/>
  <c r="L70" i="8"/>
  <c r="S69" i="8"/>
  <c r="Q69" i="8"/>
  <c r="P69" i="8"/>
  <c r="O69" i="8"/>
  <c r="M69" i="8"/>
  <c r="L69" i="8"/>
  <c r="S68" i="8"/>
  <c r="Q68" i="8"/>
  <c r="P68" i="8"/>
  <c r="O68" i="8"/>
  <c r="M68" i="8"/>
  <c r="L68" i="8"/>
  <c r="S67" i="8"/>
  <c r="Q67" i="8"/>
  <c r="P67" i="8"/>
  <c r="O67" i="8"/>
  <c r="M67" i="8"/>
  <c r="L67" i="8"/>
  <c r="S66" i="8"/>
  <c r="Q66" i="8"/>
  <c r="P66" i="8"/>
  <c r="O66" i="8"/>
  <c r="M66" i="8"/>
  <c r="L66" i="8"/>
  <c r="S65" i="8"/>
  <c r="Q65" i="8"/>
  <c r="P65" i="8"/>
  <c r="O65" i="8"/>
  <c r="M65" i="8"/>
  <c r="L65" i="8"/>
  <c r="S64" i="8"/>
  <c r="Q64" i="8"/>
  <c r="P64" i="8"/>
  <c r="O64" i="8"/>
  <c r="M64" i="8"/>
  <c r="L64" i="8"/>
  <c r="N64" i="8" s="1"/>
  <c r="R64" i="8" s="1"/>
  <c r="S63" i="8"/>
  <c r="Q63" i="8"/>
  <c r="P63" i="8"/>
  <c r="O63" i="8"/>
  <c r="M63" i="8"/>
  <c r="L63" i="8"/>
  <c r="S62" i="8"/>
  <c r="Q62" i="8"/>
  <c r="P62" i="8"/>
  <c r="O62" i="8"/>
  <c r="M62" i="8"/>
  <c r="L62" i="8"/>
  <c r="S61" i="8"/>
  <c r="Q61" i="8"/>
  <c r="P61" i="8"/>
  <c r="O61" i="8"/>
  <c r="M61" i="8"/>
  <c r="L61" i="8"/>
  <c r="S60" i="8"/>
  <c r="Q60" i="8"/>
  <c r="P60" i="8"/>
  <c r="O60" i="8"/>
  <c r="M60" i="8"/>
  <c r="L60" i="8"/>
  <c r="S59" i="8"/>
  <c r="Q59" i="8"/>
  <c r="P59" i="8"/>
  <c r="O59" i="8"/>
  <c r="M59" i="8"/>
  <c r="N59" i="8" s="1"/>
  <c r="R59" i="8" s="1"/>
  <c r="L59" i="8"/>
  <c r="S58" i="8"/>
  <c r="Q58" i="8"/>
  <c r="P58" i="8"/>
  <c r="O58" i="8"/>
  <c r="M58" i="8"/>
  <c r="L58" i="8"/>
  <c r="S57" i="8"/>
  <c r="Q57" i="8"/>
  <c r="P57" i="8"/>
  <c r="O57" i="8"/>
  <c r="M57" i="8"/>
  <c r="L57" i="8"/>
  <c r="S56" i="8"/>
  <c r="Q56" i="8"/>
  <c r="P56" i="8"/>
  <c r="O56" i="8"/>
  <c r="M56" i="8"/>
  <c r="L56" i="8"/>
  <c r="N56" i="8" s="1"/>
  <c r="R56" i="8" s="1"/>
  <c r="S55" i="8"/>
  <c r="Q55" i="8"/>
  <c r="P55" i="8"/>
  <c r="O55" i="8"/>
  <c r="M55" i="8"/>
  <c r="L55" i="8"/>
  <c r="S54" i="8"/>
  <c r="Q54" i="8"/>
  <c r="P54" i="8"/>
  <c r="O54" i="8"/>
  <c r="M54" i="8"/>
  <c r="L54" i="8"/>
  <c r="S53" i="8"/>
  <c r="Q53" i="8"/>
  <c r="P53" i="8"/>
  <c r="O53" i="8"/>
  <c r="M53" i="8"/>
  <c r="L53" i="8"/>
  <c r="S52" i="8"/>
  <c r="Q52" i="8"/>
  <c r="P52" i="8"/>
  <c r="O52" i="8"/>
  <c r="M52" i="8"/>
  <c r="L52" i="8"/>
  <c r="S51" i="8"/>
  <c r="Q51" i="8"/>
  <c r="P51" i="8"/>
  <c r="O51" i="8"/>
  <c r="M51" i="8"/>
  <c r="N51" i="8" s="1"/>
  <c r="R51" i="8" s="1"/>
  <c r="L51" i="8"/>
  <c r="S50" i="8"/>
  <c r="Q50" i="8"/>
  <c r="P50" i="8"/>
  <c r="O50" i="8"/>
  <c r="M50" i="8"/>
  <c r="L50" i="8"/>
  <c r="S49" i="8"/>
  <c r="Q49" i="8"/>
  <c r="P49" i="8"/>
  <c r="O49" i="8"/>
  <c r="M49" i="8"/>
  <c r="L49" i="8"/>
  <c r="S48" i="8"/>
  <c r="Q48" i="8"/>
  <c r="P48" i="8"/>
  <c r="O48" i="8"/>
  <c r="M48" i="8"/>
  <c r="L48" i="8"/>
  <c r="N48" i="8" s="1"/>
  <c r="R48" i="8" s="1"/>
  <c r="S47" i="8"/>
  <c r="Q47" i="8"/>
  <c r="P47" i="8"/>
  <c r="O47" i="8"/>
  <c r="M47" i="8"/>
  <c r="L47" i="8"/>
  <c r="S46" i="8"/>
  <c r="Q46" i="8"/>
  <c r="P46" i="8"/>
  <c r="O46" i="8"/>
  <c r="M46" i="8"/>
  <c r="L46" i="8"/>
  <c r="S45" i="8"/>
  <c r="Q45" i="8"/>
  <c r="P45" i="8"/>
  <c r="O45" i="8"/>
  <c r="M45" i="8"/>
  <c r="L45" i="8"/>
  <c r="S44" i="8"/>
  <c r="Q44" i="8"/>
  <c r="P44" i="8"/>
  <c r="O44" i="8"/>
  <c r="M44" i="8"/>
  <c r="L44" i="8"/>
  <c r="S43" i="8"/>
  <c r="Q43" i="8"/>
  <c r="P43" i="8"/>
  <c r="O43" i="8"/>
  <c r="M43" i="8"/>
  <c r="L43" i="8"/>
  <c r="S42" i="8"/>
  <c r="Q42" i="8"/>
  <c r="P42" i="8"/>
  <c r="O42" i="8"/>
  <c r="M42" i="8"/>
  <c r="L42" i="8"/>
  <c r="S41" i="8"/>
  <c r="Q41" i="8"/>
  <c r="P41" i="8"/>
  <c r="O41" i="8"/>
  <c r="M41" i="8"/>
  <c r="L41" i="8"/>
  <c r="S40" i="8"/>
  <c r="Q40" i="8"/>
  <c r="P40" i="8"/>
  <c r="O40" i="8"/>
  <c r="M40" i="8"/>
  <c r="L40" i="8"/>
  <c r="S39" i="8"/>
  <c r="Q39" i="8"/>
  <c r="P39" i="8"/>
  <c r="O39" i="8"/>
  <c r="M39" i="8"/>
  <c r="L39" i="8"/>
  <c r="S38" i="8"/>
  <c r="Q38" i="8"/>
  <c r="P38" i="8"/>
  <c r="O38" i="8"/>
  <c r="M38" i="8"/>
  <c r="L38" i="8"/>
  <c r="S37" i="8"/>
  <c r="Q37" i="8"/>
  <c r="P37" i="8"/>
  <c r="O37" i="8"/>
  <c r="M37" i="8"/>
  <c r="L37" i="8"/>
  <c r="S36" i="8"/>
  <c r="Q36" i="8"/>
  <c r="P36" i="8"/>
  <c r="O36" i="8"/>
  <c r="M36" i="8"/>
  <c r="L36" i="8"/>
  <c r="S35" i="8"/>
  <c r="Q35" i="8"/>
  <c r="P35" i="8"/>
  <c r="O35" i="8"/>
  <c r="M35" i="8"/>
  <c r="L35" i="8"/>
  <c r="S34" i="8"/>
  <c r="Q34" i="8"/>
  <c r="P34" i="8"/>
  <c r="O34" i="8"/>
  <c r="M34" i="8"/>
  <c r="L34" i="8"/>
  <c r="S33" i="8"/>
  <c r="Q33" i="8"/>
  <c r="P33" i="8"/>
  <c r="O33" i="8"/>
  <c r="M33" i="8"/>
  <c r="L33" i="8"/>
  <c r="S32" i="8"/>
  <c r="Q32" i="8"/>
  <c r="P32" i="8"/>
  <c r="O32" i="8"/>
  <c r="M32" i="8"/>
  <c r="L32" i="8"/>
  <c r="S31" i="8"/>
  <c r="Q31" i="8"/>
  <c r="P31" i="8"/>
  <c r="O31" i="8"/>
  <c r="M31" i="8"/>
  <c r="L31" i="8"/>
  <c r="S30" i="8"/>
  <c r="Q30" i="8"/>
  <c r="P30" i="8"/>
  <c r="O30" i="8"/>
  <c r="M30" i="8"/>
  <c r="L30" i="8"/>
  <c r="S29" i="8"/>
  <c r="Q29" i="8"/>
  <c r="P29" i="8"/>
  <c r="O29" i="8"/>
  <c r="M29" i="8"/>
  <c r="L29" i="8"/>
  <c r="S28" i="8"/>
  <c r="Q28" i="8"/>
  <c r="P28" i="8"/>
  <c r="O28" i="8"/>
  <c r="M28" i="8"/>
  <c r="L28" i="8"/>
  <c r="S27" i="8"/>
  <c r="Q27" i="8"/>
  <c r="P27" i="8"/>
  <c r="O27" i="8"/>
  <c r="M27" i="8"/>
  <c r="L27" i="8"/>
  <c r="S26" i="8"/>
  <c r="Q26" i="8"/>
  <c r="P26" i="8"/>
  <c r="O26" i="8"/>
  <c r="M26" i="8"/>
  <c r="L26" i="8"/>
  <c r="S25" i="8"/>
  <c r="Q25" i="8"/>
  <c r="P25" i="8"/>
  <c r="O25" i="8"/>
  <c r="M25" i="8"/>
  <c r="L25" i="8"/>
  <c r="S24" i="8"/>
  <c r="Q24" i="8"/>
  <c r="P24" i="8"/>
  <c r="O24" i="8"/>
  <c r="M24" i="8"/>
  <c r="L24" i="8"/>
  <c r="S23" i="8"/>
  <c r="Q23" i="8"/>
  <c r="P23" i="8"/>
  <c r="O23" i="8"/>
  <c r="M23" i="8"/>
  <c r="L23" i="8"/>
  <c r="S22" i="8"/>
  <c r="Q22" i="8"/>
  <c r="P22" i="8"/>
  <c r="O22" i="8"/>
  <c r="M22" i="8"/>
  <c r="L22" i="8"/>
  <c r="S21" i="8"/>
  <c r="Q21" i="8"/>
  <c r="P21" i="8"/>
  <c r="O21" i="8"/>
  <c r="M21" i="8"/>
  <c r="L21" i="8"/>
  <c r="S20" i="8"/>
  <c r="Q20" i="8"/>
  <c r="P20" i="8"/>
  <c r="O20" i="8"/>
  <c r="M20" i="8"/>
  <c r="L20" i="8"/>
  <c r="S19" i="8"/>
  <c r="Q19" i="8"/>
  <c r="P19" i="8"/>
  <c r="O19" i="8"/>
  <c r="M19" i="8"/>
  <c r="L19" i="8"/>
  <c r="S18" i="8"/>
  <c r="Q18" i="8"/>
  <c r="P18" i="8"/>
  <c r="O18" i="8"/>
  <c r="M18" i="8"/>
  <c r="L18" i="8"/>
  <c r="S17" i="8"/>
  <c r="Q17" i="8"/>
  <c r="P17" i="8"/>
  <c r="O17" i="8"/>
  <c r="M17" i="8"/>
  <c r="L17" i="8"/>
  <c r="S16" i="8"/>
  <c r="Q16" i="8"/>
  <c r="P16" i="8"/>
  <c r="O16" i="8"/>
  <c r="M16" i="8"/>
  <c r="L16" i="8"/>
  <c r="S15" i="8"/>
  <c r="Q15" i="8"/>
  <c r="P15" i="8"/>
  <c r="O15" i="8"/>
  <c r="M15" i="8"/>
  <c r="L15" i="8"/>
  <c r="S14" i="8"/>
  <c r="Q14" i="8"/>
  <c r="P14" i="8"/>
  <c r="O14" i="8"/>
  <c r="M14" i="8"/>
  <c r="L14" i="8"/>
  <c r="S13" i="8"/>
  <c r="Q13" i="8"/>
  <c r="P13" i="8"/>
  <c r="O13" i="8"/>
  <c r="M13" i="8"/>
  <c r="L13" i="8"/>
  <c r="S12" i="8"/>
  <c r="Q12" i="8"/>
  <c r="P12" i="8"/>
  <c r="O12" i="8"/>
  <c r="M12" i="8"/>
  <c r="L12" i="8"/>
  <c r="S11" i="8"/>
  <c r="Q11" i="8"/>
  <c r="P11" i="8"/>
  <c r="O11" i="8"/>
  <c r="M11" i="8"/>
  <c r="L11" i="8"/>
  <c r="S10" i="8"/>
  <c r="Q10" i="8"/>
  <c r="P10" i="8"/>
  <c r="O10" i="8"/>
  <c r="M10" i="8"/>
  <c r="L10" i="8"/>
  <c r="S9" i="8"/>
  <c r="Q9" i="8"/>
  <c r="P9" i="8"/>
  <c r="O9" i="8"/>
  <c r="M9" i="8"/>
  <c r="L9" i="8"/>
  <c r="S8" i="8"/>
  <c r="Q8" i="8"/>
  <c r="P8" i="8"/>
  <c r="O8" i="8"/>
  <c r="M8" i="8"/>
  <c r="L8" i="8"/>
  <c r="S7" i="8"/>
  <c r="Q7" i="8"/>
  <c r="P7" i="8"/>
  <c r="O7" i="8"/>
  <c r="M7" i="8"/>
  <c r="L7" i="8"/>
  <c r="S6" i="8"/>
  <c r="Q6" i="8"/>
  <c r="P6" i="8"/>
  <c r="O6" i="8"/>
  <c r="M6" i="8"/>
  <c r="L6" i="8"/>
  <c r="S5" i="8"/>
  <c r="Q5" i="8"/>
  <c r="P5" i="8"/>
  <c r="O5" i="8"/>
  <c r="M5" i="8"/>
  <c r="L5" i="8"/>
  <c r="S4" i="8"/>
  <c r="Q4" i="8"/>
  <c r="P4" i="8"/>
  <c r="O4" i="8"/>
  <c r="M4" i="8"/>
  <c r="L4" i="8"/>
  <c r="S3" i="8"/>
  <c r="Q3" i="8"/>
  <c r="P3" i="8"/>
  <c r="O3" i="8"/>
  <c r="M3" i="8"/>
  <c r="L3" i="8"/>
  <c r="S2" i="8"/>
  <c r="Q2" i="8"/>
  <c r="P2" i="8"/>
  <c r="O2" i="8"/>
  <c r="M2" i="8"/>
  <c r="L2" i="8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4" i="4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L2" i="3"/>
  <c r="N2" i="3" s="1"/>
  <c r="R2" i="3" s="1"/>
  <c r="L3" i="3"/>
  <c r="N3" i="3" s="1"/>
  <c r="R3" i="3" s="1"/>
  <c r="L4" i="3"/>
  <c r="N4" i="3" s="1"/>
  <c r="R4" i="3" s="1"/>
  <c r="L5" i="3"/>
  <c r="N5" i="3" s="1"/>
  <c r="R5" i="3" s="1"/>
  <c r="L6" i="3"/>
  <c r="N6" i="3" s="1"/>
  <c r="R6" i="3" s="1"/>
  <c r="L7" i="3"/>
  <c r="N7" i="3" s="1"/>
  <c r="R7" i="3" s="1"/>
  <c r="L8" i="3"/>
  <c r="N8" i="3" s="1"/>
  <c r="R8" i="3" s="1"/>
  <c r="L9" i="3"/>
  <c r="N9" i="3" s="1"/>
  <c r="R9" i="3" s="1"/>
  <c r="L10" i="3"/>
  <c r="N10" i="3" s="1"/>
  <c r="R10" i="3" s="1"/>
  <c r="L11" i="3"/>
  <c r="N11" i="3" s="1"/>
  <c r="R11" i="3" s="1"/>
  <c r="L12" i="3"/>
  <c r="N12" i="3" s="1"/>
  <c r="R12" i="3" s="1"/>
  <c r="L13" i="3"/>
  <c r="N13" i="3" s="1"/>
  <c r="R13" i="3" s="1"/>
  <c r="L14" i="3"/>
  <c r="N14" i="3" s="1"/>
  <c r="R14" i="3" s="1"/>
  <c r="L15" i="3"/>
  <c r="N15" i="3" s="1"/>
  <c r="R15" i="3" s="1"/>
  <c r="L16" i="3"/>
  <c r="N16" i="3" s="1"/>
  <c r="R16" i="3" s="1"/>
  <c r="L17" i="3"/>
  <c r="N17" i="3" s="1"/>
  <c r="R17" i="3" s="1"/>
  <c r="L18" i="3"/>
  <c r="N18" i="3" s="1"/>
  <c r="R18" i="3" s="1"/>
  <c r="L19" i="3"/>
  <c r="N19" i="3" s="1"/>
  <c r="R19" i="3" s="1"/>
  <c r="L20" i="3"/>
  <c r="N20" i="3" s="1"/>
  <c r="R20" i="3" s="1"/>
  <c r="L21" i="3"/>
  <c r="N21" i="3" s="1"/>
  <c r="R21" i="3" s="1"/>
  <c r="L22" i="3"/>
  <c r="N22" i="3" s="1"/>
  <c r="R22" i="3" s="1"/>
  <c r="L23" i="3"/>
  <c r="N23" i="3" s="1"/>
  <c r="R23" i="3" s="1"/>
  <c r="L24" i="3"/>
  <c r="N24" i="3" s="1"/>
  <c r="R24" i="3" s="1"/>
  <c r="L25" i="3"/>
  <c r="N25" i="3" s="1"/>
  <c r="R25" i="3" s="1"/>
  <c r="L26" i="3"/>
  <c r="N26" i="3" s="1"/>
  <c r="R26" i="3" s="1"/>
  <c r="L27" i="3"/>
  <c r="N27" i="3" s="1"/>
  <c r="R27" i="3" s="1"/>
  <c r="L28" i="3"/>
  <c r="N28" i="3" s="1"/>
  <c r="R28" i="3" s="1"/>
  <c r="L29" i="3"/>
  <c r="N29" i="3" s="1"/>
  <c r="R29" i="3" s="1"/>
  <c r="L30" i="3"/>
  <c r="N30" i="3" s="1"/>
  <c r="R30" i="3" s="1"/>
  <c r="L31" i="3"/>
  <c r="N31" i="3" s="1"/>
  <c r="R31" i="3" s="1"/>
  <c r="L32" i="3"/>
  <c r="N32" i="3" s="1"/>
  <c r="R32" i="3" s="1"/>
  <c r="L33" i="3"/>
  <c r="N33" i="3" s="1"/>
  <c r="R33" i="3" s="1"/>
  <c r="L34" i="3"/>
  <c r="N34" i="3" s="1"/>
  <c r="R34" i="3" s="1"/>
  <c r="L35" i="3"/>
  <c r="N35" i="3" s="1"/>
  <c r="R35" i="3" s="1"/>
  <c r="L36" i="3"/>
  <c r="N36" i="3" s="1"/>
  <c r="R36" i="3" s="1"/>
  <c r="L37" i="3"/>
  <c r="N37" i="3" s="1"/>
  <c r="R37" i="3" s="1"/>
  <c r="L38" i="3"/>
  <c r="N38" i="3" s="1"/>
  <c r="R38" i="3" s="1"/>
  <c r="L39" i="3"/>
  <c r="N39" i="3" s="1"/>
  <c r="R39" i="3" s="1"/>
  <c r="L40" i="3"/>
  <c r="N40" i="3" s="1"/>
  <c r="R40" i="3" s="1"/>
  <c r="L41" i="3"/>
  <c r="N41" i="3" s="1"/>
  <c r="R41" i="3" s="1"/>
  <c r="L42" i="3"/>
  <c r="N42" i="3" s="1"/>
  <c r="R42" i="3" s="1"/>
  <c r="L43" i="3"/>
  <c r="N43" i="3" s="1"/>
  <c r="R43" i="3" s="1"/>
  <c r="L44" i="3"/>
  <c r="N44" i="3" s="1"/>
  <c r="R44" i="3" s="1"/>
  <c r="L45" i="3"/>
  <c r="N45" i="3" s="1"/>
  <c r="R45" i="3" s="1"/>
  <c r="L46" i="3"/>
  <c r="N46" i="3" s="1"/>
  <c r="R46" i="3" s="1"/>
  <c r="L47" i="3"/>
  <c r="N47" i="3" s="1"/>
  <c r="R47" i="3" s="1"/>
  <c r="L48" i="3"/>
  <c r="N48" i="3" s="1"/>
  <c r="R48" i="3" s="1"/>
  <c r="L49" i="3"/>
  <c r="N49" i="3" s="1"/>
  <c r="R49" i="3" s="1"/>
  <c r="L50" i="3"/>
  <c r="N50" i="3" s="1"/>
  <c r="R50" i="3" s="1"/>
  <c r="L51" i="3"/>
  <c r="N51" i="3" s="1"/>
  <c r="R51" i="3" s="1"/>
  <c r="L52" i="3"/>
  <c r="N52" i="3" s="1"/>
  <c r="R52" i="3" s="1"/>
  <c r="L53" i="3"/>
  <c r="N53" i="3" s="1"/>
  <c r="R53" i="3" s="1"/>
  <c r="L54" i="3"/>
  <c r="N54" i="3" s="1"/>
  <c r="R54" i="3" s="1"/>
  <c r="L55" i="3"/>
  <c r="N55" i="3" s="1"/>
  <c r="R55" i="3" s="1"/>
  <c r="L56" i="3"/>
  <c r="N56" i="3" s="1"/>
  <c r="R56" i="3" s="1"/>
  <c r="L57" i="3"/>
  <c r="N57" i="3" s="1"/>
  <c r="R57" i="3" s="1"/>
  <c r="L58" i="3"/>
  <c r="N58" i="3" s="1"/>
  <c r="R58" i="3" s="1"/>
  <c r="L59" i="3"/>
  <c r="N59" i="3" s="1"/>
  <c r="R59" i="3" s="1"/>
  <c r="L60" i="3"/>
  <c r="N60" i="3" s="1"/>
  <c r="R60" i="3" s="1"/>
  <c r="L61" i="3"/>
  <c r="N61" i="3" s="1"/>
  <c r="R61" i="3" s="1"/>
  <c r="L62" i="3"/>
  <c r="N62" i="3" s="1"/>
  <c r="R62" i="3" s="1"/>
  <c r="L63" i="3"/>
  <c r="N63" i="3" s="1"/>
  <c r="R63" i="3" s="1"/>
  <c r="L64" i="3"/>
  <c r="N64" i="3" s="1"/>
  <c r="R64" i="3" s="1"/>
  <c r="L65" i="3"/>
  <c r="N65" i="3" s="1"/>
  <c r="R65" i="3" s="1"/>
  <c r="L66" i="3"/>
  <c r="N66" i="3" s="1"/>
  <c r="R66" i="3" s="1"/>
  <c r="L67" i="3"/>
  <c r="N67" i="3" s="1"/>
  <c r="R67" i="3" s="1"/>
  <c r="L68" i="3"/>
  <c r="N68" i="3" s="1"/>
  <c r="R68" i="3" s="1"/>
  <c r="L69" i="3"/>
  <c r="N69" i="3" s="1"/>
  <c r="R69" i="3" s="1"/>
  <c r="L70" i="3"/>
  <c r="N70" i="3" s="1"/>
  <c r="R70" i="3" s="1"/>
  <c r="L71" i="3"/>
  <c r="N71" i="3" s="1"/>
  <c r="R71" i="3" s="1"/>
  <c r="L72" i="3"/>
  <c r="N72" i="3" s="1"/>
  <c r="R72" i="3" s="1"/>
  <c r="L73" i="3"/>
  <c r="N73" i="3" s="1"/>
  <c r="R73" i="3" s="1"/>
  <c r="L74" i="3"/>
  <c r="N74" i="3" s="1"/>
  <c r="R74" i="3" s="1"/>
  <c r="L75" i="3"/>
  <c r="N75" i="3" s="1"/>
  <c r="R75" i="3" s="1"/>
  <c r="L76" i="3"/>
  <c r="N76" i="3" s="1"/>
  <c r="R76" i="3" s="1"/>
  <c r="L77" i="3"/>
  <c r="N77" i="3" s="1"/>
  <c r="R77" i="3" s="1"/>
  <c r="L78" i="3"/>
  <c r="N78" i="3" s="1"/>
  <c r="R78" i="3" s="1"/>
  <c r="L79" i="3"/>
  <c r="N79" i="3" s="1"/>
  <c r="R79" i="3" s="1"/>
  <c r="L80" i="3"/>
  <c r="N80" i="3" s="1"/>
  <c r="R80" i="3" s="1"/>
  <c r="L81" i="3"/>
  <c r="N81" i="3" s="1"/>
  <c r="R81" i="3" s="1"/>
  <c r="L82" i="3"/>
  <c r="N82" i="3" s="1"/>
  <c r="R82" i="3" s="1"/>
  <c r="L83" i="3"/>
  <c r="N83" i="3" s="1"/>
  <c r="R83" i="3" s="1"/>
  <c r="L84" i="3"/>
  <c r="N84" i="3" s="1"/>
  <c r="R84" i="3" s="1"/>
  <c r="L85" i="3"/>
  <c r="N85" i="3" s="1"/>
  <c r="R85" i="3" s="1"/>
  <c r="L86" i="3"/>
  <c r="N86" i="3" s="1"/>
  <c r="R86" i="3" s="1"/>
  <c r="L87" i="3"/>
  <c r="N87" i="3" s="1"/>
  <c r="R87" i="3" s="1"/>
  <c r="L88" i="3"/>
  <c r="N88" i="3" s="1"/>
  <c r="R88" i="3" s="1"/>
  <c r="L89" i="3"/>
  <c r="N89" i="3" s="1"/>
  <c r="R89" i="3" s="1"/>
  <c r="L90" i="3"/>
  <c r="N90" i="3" s="1"/>
  <c r="R90" i="3" s="1"/>
  <c r="L91" i="3"/>
  <c r="N91" i="3" s="1"/>
  <c r="R91" i="3" s="1"/>
  <c r="L92" i="3"/>
  <c r="N92" i="3" s="1"/>
  <c r="R92" i="3" s="1"/>
  <c r="L93" i="3"/>
  <c r="N93" i="3" s="1"/>
  <c r="R93" i="3" s="1"/>
  <c r="L94" i="3"/>
  <c r="N94" i="3" s="1"/>
  <c r="R94" i="3" s="1"/>
  <c r="L95" i="3"/>
  <c r="N95" i="3" s="1"/>
  <c r="R95" i="3" s="1"/>
  <c r="L96" i="3"/>
  <c r="N96" i="3" s="1"/>
  <c r="R96" i="3" s="1"/>
  <c r="L97" i="3"/>
  <c r="N97" i="3" s="1"/>
  <c r="R97" i="3" s="1"/>
  <c r="L98" i="3"/>
  <c r="N98" i="3" s="1"/>
  <c r="R98" i="3" s="1"/>
  <c r="L99" i="3"/>
  <c r="N99" i="3" s="1"/>
  <c r="R99" i="3" s="1"/>
  <c r="L100" i="3"/>
  <c r="N100" i="3" s="1"/>
  <c r="R100" i="3" s="1"/>
  <c r="L101" i="3"/>
  <c r="N101" i="3" s="1"/>
  <c r="R101" i="3" s="1"/>
  <c r="L102" i="3"/>
  <c r="N102" i="3" s="1"/>
  <c r="R102" i="3" s="1"/>
  <c r="L103" i="3"/>
  <c r="N103" i="3" s="1"/>
  <c r="R103" i="3" s="1"/>
  <c r="L104" i="3"/>
  <c r="N104" i="3" s="1"/>
  <c r="R104" i="3" s="1"/>
  <c r="L105" i="3"/>
  <c r="N105" i="3" s="1"/>
  <c r="R105" i="3" s="1"/>
  <c r="L106" i="3"/>
  <c r="N106" i="3" s="1"/>
  <c r="R106" i="3" s="1"/>
  <c r="L107" i="3"/>
  <c r="N107" i="3" s="1"/>
  <c r="R107" i="3" s="1"/>
  <c r="L108" i="3"/>
  <c r="N108" i="3" s="1"/>
  <c r="R108" i="3" s="1"/>
  <c r="L109" i="3"/>
  <c r="N109" i="3" s="1"/>
  <c r="R109" i="3" s="1"/>
  <c r="L110" i="3"/>
  <c r="N110" i="3" s="1"/>
  <c r="R110" i="3" s="1"/>
  <c r="L111" i="3"/>
  <c r="N111" i="3" s="1"/>
  <c r="R111" i="3" s="1"/>
  <c r="L112" i="3"/>
  <c r="N112" i="3" s="1"/>
  <c r="R112" i="3" s="1"/>
  <c r="L113" i="3"/>
  <c r="N113" i="3" s="1"/>
  <c r="R113" i="3" s="1"/>
  <c r="L114" i="3"/>
  <c r="N114" i="3" s="1"/>
  <c r="R114" i="3" s="1"/>
  <c r="L115" i="3"/>
  <c r="N115" i="3" s="1"/>
  <c r="R115" i="3" s="1"/>
  <c r="L116" i="3"/>
  <c r="N116" i="3" s="1"/>
  <c r="R116" i="3" s="1"/>
  <c r="L117" i="3"/>
  <c r="N117" i="3" s="1"/>
  <c r="R117" i="3" s="1"/>
  <c r="L118" i="3"/>
  <c r="N118" i="3" s="1"/>
  <c r="R118" i="3" s="1"/>
  <c r="L119" i="3"/>
  <c r="N119" i="3" s="1"/>
  <c r="R119" i="3" s="1"/>
  <c r="L120" i="3"/>
  <c r="N120" i="3" s="1"/>
  <c r="R120" i="3" s="1"/>
  <c r="L121" i="3"/>
  <c r="N121" i="3" s="1"/>
  <c r="R121" i="3" s="1"/>
  <c r="L122" i="3"/>
  <c r="N122" i="3" s="1"/>
  <c r="R122" i="3" s="1"/>
  <c r="L123" i="3"/>
  <c r="N123" i="3" s="1"/>
  <c r="R123" i="3" s="1"/>
  <c r="L124" i="3"/>
  <c r="N124" i="3" s="1"/>
  <c r="R124" i="3" s="1"/>
  <c r="L125" i="3"/>
  <c r="N125" i="3" s="1"/>
  <c r="R125" i="3" s="1"/>
  <c r="L126" i="3"/>
  <c r="N126" i="3" s="1"/>
  <c r="R126" i="3" s="1"/>
  <c r="L127" i="3"/>
  <c r="N127" i="3" s="1"/>
  <c r="R127" i="3" s="1"/>
  <c r="L128" i="3"/>
  <c r="N128" i="3" s="1"/>
  <c r="R128" i="3" s="1"/>
  <c r="L129" i="3"/>
  <c r="N129" i="3" s="1"/>
  <c r="R129" i="3" s="1"/>
  <c r="L130" i="3"/>
  <c r="N130" i="3" s="1"/>
  <c r="R130" i="3" s="1"/>
  <c r="L131" i="3"/>
  <c r="N131" i="3" s="1"/>
  <c r="R131" i="3" s="1"/>
  <c r="L132" i="3"/>
  <c r="N132" i="3" s="1"/>
  <c r="R132" i="3" s="1"/>
  <c r="L133" i="3"/>
  <c r="N133" i="3" s="1"/>
  <c r="R133" i="3" s="1"/>
  <c r="L134" i="3"/>
  <c r="N134" i="3" s="1"/>
  <c r="R134" i="3" s="1"/>
  <c r="L135" i="3"/>
  <c r="N135" i="3" s="1"/>
  <c r="R135" i="3" s="1"/>
  <c r="L136" i="3"/>
  <c r="N136" i="3" s="1"/>
  <c r="R136" i="3" s="1"/>
  <c r="L137" i="3"/>
  <c r="N137" i="3" s="1"/>
  <c r="R137" i="3" s="1"/>
  <c r="L138" i="3"/>
  <c r="N138" i="3" s="1"/>
  <c r="R138" i="3" s="1"/>
  <c r="L139" i="3"/>
  <c r="N139" i="3" s="1"/>
  <c r="R139" i="3" s="1"/>
  <c r="L140" i="3"/>
  <c r="N140" i="3" s="1"/>
  <c r="R140" i="3" s="1"/>
  <c r="L141" i="3"/>
  <c r="N141" i="3" s="1"/>
  <c r="R141" i="3" s="1"/>
  <c r="L142" i="3"/>
  <c r="N142" i="3" s="1"/>
  <c r="R142" i="3" s="1"/>
  <c r="L143" i="3"/>
  <c r="N143" i="3" s="1"/>
  <c r="R143" i="3" s="1"/>
  <c r="L144" i="3"/>
  <c r="N144" i="3" s="1"/>
  <c r="R144" i="3" s="1"/>
  <c r="L145" i="3"/>
  <c r="N145" i="3" s="1"/>
  <c r="R145" i="3" s="1"/>
  <c r="L146" i="3"/>
  <c r="N146" i="3" s="1"/>
  <c r="R146" i="3" s="1"/>
  <c r="L147" i="3"/>
  <c r="N147" i="3" s="1"/>
  <c r="R147" i="3" s="1"/>
  <c r="L148" i="3"/>
  <c r="N148" i="3" s="1"/>
  <c r="R148" i="3" s="1"/>
  <c r="L149" i="3"/>
  <c r="N149" i="3" s="1"/>
  <c r="R149" i="3" s="1"/>
  <c r="L150" i="3"/>
  <c r="N150" i="3" s="1"/>
  <c r="R150" i="3" s="1"/>
  <c r="L151" i="3"/>
  <c r="N151" i="3" s="1"/>
  <c r="R151" i="3" s="1"/>
  <c r="L152" i="3"/>
  <c r="N152" i="3" s="1"/>
  <c r="R152" i="3" s="1"/>
  <c r="L153" i="3"/>
  <c r="N153" i="3" s="1"/>
  <c r="R153" i="3" s="1"/>
  <c r="L154" i="3"/>
  <c r="N154" i="3" s="1"/>
  <c r="R154" i="3" s="1"/>
  <c r="L155" i="3"/>
  <c r="N155" i="3" s="1"/>
  <c r="R155" i="3" s="1"/>
  <c r="L156" i="3"/>
  <c r="N156" i="3" s="1"/>
  <c r="R156" i="3" s="1"/>
  <c r="L157" i="3"/>
  <c r="N157" i="3" s="1"/>
  <c r="R157" i="3" s="1"/>
  <c r="L158" i="3"/>
  <c r="N158" i="3" s="1"/>
  <c r="R158" i="3" s="1"/>
  <c r="L159" i="3"/>
  <c r="N159" i="3" s="1"/>
  <c r="R159" i="3" s="1"/>
  <c r="L160" i="3"/>
  <c r="N160" i="3" s="1"/>
  <c r="R160" i="3" s="1"/>
  <c r="L161" i="3"/>
  <c r="N161" i="3" s="1"/>
  <c r="R161" i="3" s="1"/>
  <c r="L162" i="3"/>
  <c r="N162" i="3" s="1"/>
  <c r="R162" i="3" s="1"/>
  <c r="L163" i="3"/>
  <c r="N163" i="3" s="1"/>
  <c r="R163" i="3" s="1"/>
  <c r="L164" i="3"/>
  <c r="N164" i="3" s="1"/>
  <c r="R164" i="3" s="1"/>
  <c r="L165" i="3"/>
  <c r="N165" i="3" s="1"/>
  <c r="R165" i="3" s="1"/>
  <c r="L166" i="3"/>
  <c r="N166" i="3" s="1"/>
  <c r="R166" i="3" s="1"/>
  <c r="L167" i="3"/>
  <c r="N167" i="3" s="1"/>
  <c r="R167" i="3" s="1"/>
  <c r="L168" i="3"/>
  <c r="N168" i="3" s="1"/>
  <c r="R168" i="3" s="1"/>
  <c r="L169" i="3"/>
  <c r="N169" i="3" s="1"/>
  <c r="R169" i="3" s="1"/>
  <c r="L170" i="3"/>
  <c r="N170" i="3" s="1"/>
  <c r="R170" i="3" s="1"/>
  <c r="L171" i="3"/>
  <c r="N171" i="3" s="1"/>
  <c r="R171" i="3" s="1"/>
  <c r="L172" i="3"/>
  <c r="N172" i="3" s="1"/>
  <c r="R172" i="3" s="1"/>
  <c r="L173" i="3"/>
  <c r="N173" i="3" s="1"/>
  <c r="R173" i="3" s="1"/>
  <c r="L174" i="3"/>
  <c r="N174" i="3" s="1"/>
  <c r="R174" i="3" s="1"/>
  <c r="L175" i="3"/>
  <c r="N175" i="3" s="1"/>
  <c r="R175" i="3" s="1"/>
  <c r="L176" i="3"/>
  <c r="N176" i="3" s="1"/>
  <c r="R176" i="3" s="1"/>
  <c r="L177" i="3"/>
  <c r="N177" i="3" s="1"/>
  <c r="R177" i="3" s="1"/>
  <c r="L178" i="3"/>
  <c r="N178" i="3" s="1"/>
  <c r="R178" i="3" s="1"/>
  <c r="L179" i="3"/>
  <c r="N179" i="3" s="1"/>
  <c r="R179" i="3" s="1"/>
  <c r="L180" i="3"/>
  <c r="N180" i="3" s="1"/>
  <c r="R180" i="3" s="1"/>
  <c r="L181" i="3"/>
  <c r="N181" i="3" s="1"/>
  <c r="R181" i="3" s="1"/>
  <c r="L182" i="3"/>
  <c r="N182" i="3" s="1"/>
  <c r="R182" i="3" s="1"/>
  <c r="L183" i="3"/>
  <c r="N183" i="3" s="1"/>
  <c r="R183" i="3" s="1"/>
  <c r="L184" i="3"/>
  <c r="N184" i="3" s="1"/>
  <c r="R184" i="3" s="1"/>
  <c r="L185" i="3"/>
  <c r="N185" i="3" s="1"/>
  <c r="R185" i="3" s="1"/>
  <c r="L186" i="3"/>
  <c r="N186" i="3" s="1"/>
  <c r="R186" i="3" s="1"/>
  <c r="L187" i="3"/>
  <c r="N187" i="3" s="1"/>
  <c r="R187" i="3" s="1"/>
  <c r="L188" i="3"/>
  <c r="N188" i="3" s="1"/>
  <c r="R188" i="3" s="1"/>
  <c r="L189" i="3"/>
  <c r="N189" i="3" s="1"/>
  <c r="R189" i="3" s="1"/>
  <c r="L190" i="3"/>
  <c r="N190" i="3" s="1"/>
  <c r="R190" i="3" s="1"/>
  <c r="L191" i="3"/>
  <c r="N191" i="3" s="1"/>
  <c r="R191" i="3" s="1"/>
  <c r="L192" i="3"/>
  <c r="N192" i="3" s="1"/>
  <c r="R192" i="3" s="1"/>
  <c r="L193" i="3"/>
  <c r="N193" i="3" s="1"/>
  <c r="R193" i="3" s="1"/>
  <c r="L194" i="3"/>
  <c r="N194" i="3" s="1"/>
  <c r="R194" i="3" s="1"/>
  <c r="L195" i="3"/>
  <c r="N195" i="3" s="1"/>
  <c r="R195" i="3" s="1"/>
  <c r="L196" i="3"/>
  <c r="N196" i="3" s="1"/>
  <c r="R196" i="3" s="1"/>
  <c r="L197" i="3"/>
  <c r="N197" i="3" s="1"/>
  <c r="R197" i="3" s="1"/>
  <c r="L198" i="3"/>
  <c r="N198" i="3" s="1"/>
  <c r="R198" i="3" s="1"/>
  <c r="L199" i="3"/>
  <c r="N199" i="3" s="1"/>
  <c r="R199" i="3" s="1"/>
  <c r="L200" i="3"/>
  <c r="N200" i="3" s="1"/>
  <c r="R200" i="3" s="1"/>
  <c r="L201" i="3"/>
  <c r="N201" i="3" s="1"/>
  <c r="R201" i="3" s="1"/>
  <c r="L202" i="3"/>
  <c r="N202" i="3" s="1"/>
  <c r="R202" i="3" s="1"/>
  <c r="L203" i="3"/>
  <c r="N203" i="3" s="1"/>
  <c r="R203" i="3" s="1"/>
  <c r="L204" i="3"/>
  <c r="N204" i="3" s="1"/>
  <c r="R204" i="3" s="1"/>
  <c r="L205" i="3"/>
  <c r="N205" i="3" s="1"/>
  <c r="R205" i="3" s="1"/>
  <c r="L206" i="3"/>
  <c r="N206" i="3" s="1"/>
  <c r="R206" i="3" s="1"/>
  <c r="L207" i="3"/>
  <c r="N207" i="3" s="1"/>
  <c r="R207" i="3" s="1"/>
  <c r="L208" i="3"/>
  <c r="N208" i="3" s="1"/>
  <c r="R208" i="3" s="1"/>
  <c r="L209" i="3"/>
  <c r="N209" i="3" s="1"/>
  <c r="R209" i="3" s="1"/>
  <c r="L210" i="3"/>
  <c r="N210" i="3" s="1"/>
  <c r="R210" i="3" s="1"/>
  <c r="L211" i="3"/>
  <c r="N211" i="3" s="1"/>
  <c r="R211" i="3" s="1"/>
  <c r="L212" i="3"/>
  <c r="N212" i="3" s="1"/>
  <c r="R212" i="3" s="1"/>
  <c r="L213" i="3"/>
  <c r="N213" i="3" s="1"/>
  <c r="R213" i="3" s="1"/>
  <c r="L214" i="3"/>
  <c r="N214" i="3" s="1"/>
  <c r="R214" i="3" s="1"/>
  <c r="L215" i="3"/>
  <c r="N215" i="3" s="1"/>
  <c r="R215" i="3" s="1"/>
  <c r="L216" i="3"/>
  <c r="N216" i="3" s="1"/>
  <c r="R216" i="3" s="1"/>
  <c r="L217" i="3"/>
  <c r="N217" i="3" s="1"/>
  <c r="R217" i="3" s="1"/>
  <c r="L218" i="3"/>
  <c r="N218" i="3" s="1"/>
  <c r="R218" i="3" s="1"/>
  <c r="L219" i="3"/>
  <c r="N219" i="3" s="1"/>
  <c r="R219" i="3" s="1"/>
  <c r="L220" i="3"/>
  <c r="N220" i="3" s="1"/>
  <c r="R220" i="3" s="1"/>
  <c r="L221" i="3"/>
  <c r="N221" i="3" s="1"/>
  <c r="R221" i="3" s="1"/>
  <c r="L222" i="3"/>
  <c r="N222" i="3" s="1"/>
  <c r="R222" i="3" s="1"/>
  <c r="L223" i="3"/>
  <c r="N223" i="3" s="1"/>
  <c r="R223" i="3" s="1"/>
  <c r="L224" i="3"/>
  <c r="N224" i="3" s="1"/>
  <c r="R224" i="3" s="1"/>
  <c r="L225" i="3"/>
  <c r="N225" i="3" s="1"/>
  <c r="R225" i="3" s="1"/>
  <c r="L226" i="3"/>
  <c r="N226" i="3" s="1"/>
  <c r="R226" i="3" s="1"/>
  <c r="L227" i="3"/>
  <c r="N227" i="3" s="1"/>
  <c r="R227" i="3" s="1"/>
  <c r="L228" i="3"/>
  <c r="N228" i="3" s="1"/>
  <c r="R228" i="3" s="1"/>
  <c r="L229" i="3"/>
  <c r="N229" i="3" s="1"/>
  <c r="R229" i="3" s="1"/>
  <c r="L230" i="3"/>
  <c r="N230" i="3" s="1"/>
  <c r="R230" i="3" s="1"/>
  <c r="L231" i="3"/>
  <c r="N231" i="3" s="1"/>
  <c r="R231" i="3" s="1"/>
  <c r="L232" i="3"/>
  <c r="N232" i="3" s="1"/>
  <c r="R232" i="3" s="1"/>
  <c r="L233" i="3"/>
  <c r="N233" i="3" s="1"/>
  <c r="R233" i="3" s="1"/>
  <c r="L234" i="3"/>
  <c r="N234" i="3" s="1"/>
  <c r="R234" i="3" s="1"/>
  <c r="L235" i="3"/>
  <c r="N235" i="3" s="1"/>
  <c r="R235" i="3" s="1"/>
  <c r="L236" i="3"/>
  <c r="N236" i="3" s="1"/>
  <c r="R236" i="3" s="1"/>
  <c r="L237" i="3"/>
  <c r="N237" i="3" s="1"/>
  <c r="R237" i="3" s="1"/>
  <c r="L238" i="3"/>
  <c r="N238" i="3" s="1"/>
  <c r="R238" i="3" s="1"/>
  <c r="L239" i="3"/>
  <c r="N239" i="3" s="1"/>
  <c r="R239" i="3" s="1"/>
  <c r="L240" i="3"/>
  <c r="N240" i="3" s="1"/>
  <c r="R240" i="3" s="1"/>
  <c r="L241" i="3"/>
  <c r="N241" i="3" s="1"/>
  <c r="R241" i="3" s="1"/>
  <c r="L242" i="3"/>
  <c r="N242" i="3" s="1"/>
  <c r="R242" i="3" s="1"/>
  <c r="L243" i="3"/>
  <c r="N243" i="3" s="1"/>
  <c r="R243" i="3" s="1"/>
  <c r="L244" i="3"/>
  <c r="N244" i="3" s="1"/>
  <c r="R244" i="3" s="1"/>
  <c r="L245" i="3"/>
  <c r="N245" i="3" s="1"/>
  <c r="R245" i="3" s="1"/>
  <c r="L246" i="3"/>
  <c r="N246" i="3" s="1"/>
  <c r="R246" i="3" s="1"/>
  <c r="L247" i="3"/>
  <c r="N247" i="3" s="1"/>
  <c r="R247" i="3" s="1"/>
  <c r="L248" i="3"/>
  <c r="N248" i="3" s="1"/>
  <c r="R248" i="3" s="1"/>
  <c r="L249" i="3"/>
  <c r="N249" i="3" s="1"/>
  <c r="R249" i="3" s="1"/>
  <c r="L250" i="3"/>
  <c r="N250" i="3" s="1"/>
  <c r="R250" i="3" s="1"/>
  <c r="L251" i="3"/>
  <c r="N251" i="3" s="1"/>
  <c r="R251" i="3" s="1"/>
  <c r="L252" i="3"/>
  <c r="N252" i="3" s="1"/>
  <c r="R252" i="3" s="1"/>
  <c r="L253" i="3"/>
  <c r="N253" i="3" s="1"/>
  <c r="R253" i="3" s="1"/>
  <c r="L254" i="3"/>
  <c r="N254" i="3" s="1"/>
  <c r="R254" i="3" s="1"/>
  <c r="L255" i="3"/>
  <c r="N255" i="3" s="1"/>
  <c r="R255" i="3" s="1"/>
  <c r="L256" i="3"/>
  <c r="N256" i="3" s="1"/>
  <c r="R256" i="3" s="1"/>
  <c r="L257" i="3"/>
  <c r="N257" i="3" s="1"/>
  <c r="R257" i="3" s="1"/>
  <c r="L258" i="3"/>
  <c r="N258" i="3" s="1"/>
  <c r="R258" i="3" s="1"/>
  <c r="L259" i="3"/>
  <c r="N259" i="3" s="1"/>
  <c r="R259" i="3" s="1"/>
  <c r="L260" i="3"/>
  <c r="N260" i="3" s="1"/>
  <c r="R260" i="3" s="1"/>
  <c r="L261" i="3"/>
  <c r="N261" i="3" s="1"/>
  <c r="R261" i="3" s="1"/>
  <c r="L262" i="3"/>
  <c r="N262" i="3" s="1"/>
  <c r="R262" i="3" s="1"/>
  <c r="L263" i="3"/>
  <c r="N263" i="3" s="1"/>
  <c r="R263" i="3" s="1"/>
  <c r="L264" i="3"/>
  <c r="N264" i="3" s="1"/>
  <c r="R264" i="3" s="1"/>
  <c r="L265" i="3"/>
  <c r="N265" i="3" s="1"/>
  <c r="R265" i="3" s="1"/>
  <c r="L266" i="3"/>
  <c r="N266" i="3" s="1"/>
  <c r="R266" i="3" s="1"/>
  <c r="L267" i="3"/>
  <c r="N267" i="3" s="1"/>
  <c r="R267" i="3" s="1"/>
  <c r="L268" i="3"/>
  <c r="N268" i="3" s="1"/>
  <c r="R268" i="3" s="1"/>
  <c r="L269" i="3"/>
  <c r="N269" i="3" s="1"/>
  <c r="R269" i="3" s="1"/>
  <c r="L270" i="3"/>
  <c r="N270" i="3" s="1"/>
  <c r="R270" i="3" s="1"/>
  <c r="L271" i="3"/>
  <c r="N271" i="3" s="1"/>
  <c r="R271" i="3" s="1"/>
  <c r="L272" i="3"/>
  <c r="N272" i="3" s="1"/>
  <c r="R272" i="3" s="1"/>
  <c r="L273" i="3"/>
  <c r="N273" i="3" s="1"/>
  <c r="R273" i="3" s="1"/>
  <c r="L274" i="3"/>
  <c r="N274" i="3" s="1"/>
  <c r="R274" i="3" s="1"/>
  <c r="L275" i="3"/>
  <c r="N275" i="3" s="1"/>
  <c r="R275" i="3" s="1"/>
  <c r="L276" i="3"/>
  <c r="N276" i="3" s="1"/>
  <c r="R276" i="3" s="1"/>
  <c r="L277" i="3"/>
  <c r="N277" i="3" s="1"/>
  <c r="R277" i="3" s="1"/>
  <c r="L278" i="3"/>
  <c r="N278" i="3" s="1"/>
  <c r="R278" i="3" s="1"/>
  <c r="L279" i="3"/>
  <c r="N279" i="3" s="1"/>
  <c r="R279" i="3" s="1"/>
  <c r="L280" i="3"/>
  <c r="N280" i="3" s="1"/>
  <c r="R280" i="3" s="1"/>
  <c r="L281" i="3"/>
  <c r="N281" i="3" s="1"/>
  <c r="R281" i="3" s="1"/>
  <c r="L282" i="3"/>
  <c r="N282" i="3" s="1"/>
  <c r="R282" i="3" s="1"/>
  <c r="L283" i="3"/>
  <c r="N283" i="3" s="1"/>
  <c r="R283" i="3" s="1"/>
  <c r="L284" i="3"/>
  <c r="N284" i="3" s="1"/>
  <c r="R284" i="3" s="1"/>
  <c r="L285" i="3"/>
  <c r="N285" i="3" s="1"/>
  <c r="R285" i="3" s="1"/>
  <c r="L286" i="3"/>
  <c r="N286" i="3" s="1"/>
  <c r="R286" i="3" s="1"/>
  <c r="L287" i="3"/>
  <c r="N287" i="3" s="1"/>
  <c r="R287" i="3" s="1"/>
  <c r="L288" i="3"/>
  <c r="N288" i="3" s="1"/>
  <c r="R288" i="3" s="1"/>
  <c r="L289" i="3"/>
  <c r="N289" i="3" s="1"/>
  <c r="R289" i="3" s="1"/>
  <c r="L290" i="3"/>
  <c r="N290" i="3" s="1"/>
  <c r="R290" i="3" s="1"/>
  <c r="L291" i="3"/>
  <c r="N291" i="3" s="1"/>
  <c r="R291" i="3" s="1"/>
  <c r="L292" i="3"/>
  <c r="N292" i="3" s="1"/>
  <c r="R292" i="3" s="1"/>
  <c r="L293" i="3"/>
  <c r="N293" i="3" s="1"/>
  <c r="R293" i="3" s="1"/>
  <c r="L294" i="3"/>
  <c r="N294" i="3" s="1"/>
  <c r="R294" i="3" s="1"/>
  <c r="L295" i="3"/>
  <c r="N295" i="3" s="1"/>
  <c r="R295" i="3" s="1"/>
  <c r="L296" i="3"/>
  <c r="N296" i="3" s="1"/>
  <c r="R296" i="3" s="1"/>
  <c r="L297" i="3"/>
  <c r="N297" i="3" s="1"/>
  <c r="R297" i="3" s="1"/>
  <c r="L298" i="3"/>
  <c r="N298" i="3" s="1"/>
  <c r="R298" i="3" s="1"/>
  <c r="L299" i="3"/>
  <c r="N299" i="3" s="1"/>
  <c r="R299" i="3" s="1"/>
  <c r="L300" i="3"/>
  <c r="N300" i="3" s="1"/>
  <c r="R300" i="3" s="1"/>
  <c r="L301" i="3"/>
  <c r="N301" i="3" s="1"/>
  <c r="R301" i="3" s="1"/>
  <c r="L302" i="3"/>
  <c r="N302" i="3" s="1"/>
  <c r="R302" i="3" s="1"/>
  <c r="L303" i="3"/>
  <c r="N303" i="3" s="1"/>
  <c r="R303" i="3" s="1"/>
  <c r="L304" i="3"/>
  <c r="N304" i="3" s="1"/>
  <c r="R304" i="3" s="1"/>
  <c r="L305" i="3"/>
  <c r="N305" i="3" s="1"/>
  <c r="R305" i="3" s="1"/>
  <c r="L306" i="3"/>
  <c r="N306" i="3" s="1"/>
  <c r="R306" i="3" s="1"/>
  <c r="L307" i="3"/>
  <c r="N307" i="3" s="1"/>
  <c r="R307" i="3" s="1"/>
  <c r="L308" i="3"/>
  <c r="N308" i="3" s="1"/>
  <c r="R308" i="3" s="1"/>
  <c r="L309" i="3"/>
  <c r="N309" i="3" s="1"/>
  <c r="R309" i="3" s="1"/>
  <c r="L310" i="3"/>
  <c r="N310" i="3" s="1"/>
  <c r="R310" i="3" s="1"/>
  <c r="L311" i="3"/>
  <c r="N311" i="3" s="1"/>
  <c r="R311" i="3" s="1"/>
  <c r="L312" i="3"/>
  <c r="N312" i="3" s="1"/>
  <c r="R312" i="3" s="1"/>
  <c r="L313" i="3"/>
  <c r="N313" i="3" s="1"/>
  <c r="R313" i="3" s="1"/>
  <c r="L314" i="3"/>
  <c r="N314" i="3" s="1"/>
  <c r="R314" i="3" s="1"/>
  <c r="L315" i="3"/>
  <c r="N315" i="3" s="1"/>
  <c r="R315" i="3" s="1"/>
  <c r="L316" i="3"/>
  <c r="N316" i="3" s="1"/>
  <c r="R316" i="3" s="1"/>
  <c r="L317" i="3"/>
  <c r="N317" i="3" s="1"/>
  <c r="R317" i="3" s="1"/>
  <c r="L318" i="3"/>
  <c r="N318" i="3" s="1"/>
  <c r="R318" i="3" s="1"/>
  <c r="L319" i="3"/>
  <c r="N319" i="3" s="1"/>
  <c r="R319" i="3" s="1"/>
  <c r="L320" i="3"/>
  <c r="N320" i="3" s="1"/>
  <c r="R320" i="3" s="1"/>
  <c r="L321" i="3"/>
  <c r="N321" i="3" s="1"/>
  <c r="R321" i="3" s="1"/>
  <c r="L322" i="3"/>
  <c r="N322" i="3" s="1"/>
  <c r="R322" i="3" s="1"/>
  <c r="L323" i="3"/>
  <c r="N323" i="3" s="1"/>
  <c r="R323" i="3" s="1"/>
  <c r="L324" i="3"/>
  <c r="N324" i="3" s="1"/>
  <c r="R324" i="3" s="1"/>
  <c r="L325" i="3"/>
  <c r="N325" i="3" s="1"/>
  <c r="R325" i="3" s="1"/>
  <c r="L326" i="3"/>
  <c r="N326" i="3" s="1"/>
  <c r="R326" i="3" s="1"/>
  <c r="L327" i="3"/>
  <c r="N327" i="3" s="1"/>
  <c r="R327" i="3" s="1"/>
  <c r="L328" i="3"/>
  <c r="N328" i="3" s="1"/>
  <c r="R328" i="3" s="1"/>
  <c r="L329" i="3"/>
  <c r="N329" i="3" s="1"/>
  <c r="R329" i="3" s="1"/>
  <c r="L330" i="3"/>
  <c r="N330" i="3" s="1"/>
  <c r="R330" i="3" s="1"/>
  <c r="L331" i="3"/>
  <c r="N331" i="3" s="1"/>
  <c r="R331" i="3" s="1"/>
  <c r="L332" i="3"/>
  <c r="N332" i="3" s="1"/>
  <c r="R332" i="3" s="1"/>
  <c r="L333" i="3"/>
  <c r="N333" i="3" s="1"/>
  <c r="R333" i="3" s="1"/>
  <c r="L334" i="3"/>
  <c r="N334" i="3" s="1"/>
  <c r="R334" i="3" s="1"/>
  <c r="L335" i="3"/>
  <c r="N335" i="3" s="1"/>
  <c r="R335" i="3" s="1"/>
  <c r="L336" i="3"/>
  <c r="N336" i="3" s="1"/>
  <c r="R336" i="3" s="1"/>
  <c r="L337" i="3"/>
  <c r="N337" i="3" s="1"/>
  <c r="R337" i="3" s="1"/>
  <c r="L338" i="3"/>
  <c r="N338" i="3" s="1"/>
  <c r="R338" i="3" s="1"/>
  <c r="L339" i="3"/>
  <c r="N339" i="3" s="1"/>
  <c r="R339" i="3" s="1"/>
  <c r="L340" i="3"/>
  <c r="N340" i="3" s="1"/>
  <c r="R340" i="3" s="1"/>
  <c r="L341" i="3"/>
  <c r="N341" i="3" s="1"/>
  <c r="R341" i="3" s="1"/>
  <c r="L342" i="3"/>
  <c r="N342" i="3" s="1"/>
  <c r="R342" i="3" s="1"/>
  <c r="L343" i="3"/>
  <c r="N343" i="3" s="1"/>
  <c r="R343" i="3" s="1"/>
  <c r="L344" i="3"/>
  <c r="N344" i="3" s="1"/>
  <c r="R344" i="3" s="1"/>
  <c r="L345" i="3"/>
  <c r="N345" i="3" s="1"/>
  <c r="R345" i="3" s="1"/>
  <c r="L346" i="3"/>
  <c r="N346" i="3" s="1"/>
  <c r="R346" i="3" s="1"/>
  <c r="L347" i="3"/>
  <c r="N347" i="3" s="1"/>
  <c r="R347" i="3" s="1"/>
  <c r="L348" i="3"/>
  <c r="N348" i="3" s="1"/>
  <c r="R348" i="3" s="1"/>
  <c r="L349" i="3"/>
  <c r="N349" i="3" s="1"/>
  <c r="R349" i="3" s="1"/>
  <c r="L350" i="3"/>
  <c r="N350" i="3" s="1"/>
  <c r="R350" i="3" s="1"/>
  <c r="L351" i="3"/>
  <c r="N351" i="3" s="1"/>
  <c r="R351" i="3" s="1"/>
  <c r="L352" i="3"/>
  <c r="N352" i="3" s="1"/>
  <c r="R352" i="3" s="1"/>
  <c r="L353" i="3"/>
  <c r="N353" i="3" s="1"/>
  <c r="R353" i="3" s="1"/>
  <c r="L354" i="3"/>
  <c r="N354" i="3" s="1"/>
  <c r="R354" i="3" s="1"/>
  <c r="L355" i="3"/>
  <c r="N355" i="3" s="1"/>
  <c r="R355" i="3" s="1"/>
  <c r="L356" i="3"/>
  <c r="N356" i="3" s="1"/>
  <c r="R356" i="3" s="1"/>
  <c r="L357" i="3"/>
  <c r="N357" i="3" s="1"/>
  <c r="R357" i="3" s="1"/>
  <c r="L358" i="3"/>
  <c r="N358" i="3" s="1"/>
  <c r="R358" i="3" s="1"/>
  <c r="L359" i="3"/>
  <c r="N359" i="3" s="1"/>
  <c r="R359" i="3" s="1"/>
  <c r="L360" i="3"/>
  <c r="N360" i="3" s="1"/>
  <c r="R360" i="3" s="1"/>
  <c r="L361" i="3"/>
  <c r="N361" i="3" s="1"/>
  <c r="R361" i="3" s="1"/>
  <c r="L362" i="3"/>
  <c r="N362" i="3" s="1"/>
  <c r="R362" i="3" s="1"/>
  <c r="L363" i="3"/>
  <c r="N363" i="3" s="1"/>
  <c r="R363" i="3" s="1"/>
  <c r="L364" i="3"/>
  <c r="N364" i="3" s="1"/>
  <c r="R364" i="3" s="1"/>
  <c r="L365" i="3"/>
  <c r="N365" i="3" s="1"/>
  <c r="R365" i="3" s="1"/>
  <c r="L366" i="3"/>
  <c r="N366" i="3" s="1"/>
  <c r="R366" i="3" s="1"/>
  <c r="L367" i="3"/>
  <c r="N367" i="3" s="1"/>
  <c r="R367" i="3" s="1"/>
  <c r="L368" i="3"/>
  <c r="N368" i="3" s="1"/>
  <c r="R368" i="3" s="1"/>
  <c r="L369" i="3"/>
  <c r="N369" i="3" s="1"/>
  <c r="R369" i="3" s="1"/>
  <c r="L370" i="3"/>
  <c r="N370" i="3" s="1"/>
  <c r="R370" i="3" s="1"/>
  <c r="L371" i="3"/>
  <c r="N371" i="3" s="1"/>
  <c r="R371" i="3" s="1"/>
  <c r="L372" i="3"/>
  <c r="N372" i="3" s="1"/>
  <c r="R372" i="3" s="1"/>
  <c r="L373" i="3"/>
  <c r="N373" i="3" s="1"/>
  <c r="R373" i="3" s="1"/>
  <c r="L374" i="3"/>
  <c r="N374" i="3" s="1"/>
  <c r="R374" i="3" s="1"/>
  <c r="L375" i="3"/>
  <c r="N375" i="3" s="1"/>
  <c r="R375" i="3" s="1"/>
  <c r="L376" i="3"/>
  <c r="N376" i="3" s="1"/>
  <c r="R376" i="3" s="1"/>
  <c r="L377" i="3"/>
  <c r="N377" i="3" s="1"/>
  <c r="R377" i="3" s="1"/>
  <c r="L378" i="3"/>
  <c r="N378" i="3" s="1"/>
  <c r="R378" i="3" s="1"/>
  <c r="L379" i="3"/>
  <c r="N379" i="3" s="1"/>
  <c r="R379" i="3" s="1"/>
  <c r="L380" i="3"/>
  <c r="N380" i="3" s="1"/>
  <c r="R380" i="3" s="1"/>
  <c r="L381" i="3"/>
  <c r="N381" i="3" s="1"/>
  <c r="R381" i="3" s="1"/>
  <c r="L382" i="3"/>
  <c r="N382" i="3" s="1"/>
  <c r="R382" i="3" s="1"/>
  <c r="L383" i="3"/>
  <c r="N383" i="3" s="1"/>
  <c r="R383" i="3" s="1"/>
  <c r="L384" i="3"/>
  <c r="N384" i="3" s="1"/>
  <c r="R384" i="3" s="1"/>
  <c r="L385" i="3"/>
  <c r="N385" i="3" s="1"/>
  <c r="R385" i="3" s="1"/>
  <c r="L386" i="3"/>
  <c r="N386" i="3" s="1"/>
  <c r="R386" i="3" s="1"/>
  <c r="L387" i="3"/>
  <c r="N387" i="3" s="1"/>
  <c r="R387" i="3" s="1"/>
  <c r="L388" i="3"/>
  <c r="N388" i="3" s="1"/>
  <c r="R388" i="3" s="1"/>
  <c r="L389" i="3"/>
  <c r="N389" i="3" s="1"/>
  <c r="R389" i="3" s="1"/>
  <c r="L390" i="3"/>
  <c r="N390" i="3" s="1"/>
  <c r="R390" i="3" s="1"/>
  <c r="L391" i="3"/>
  <c r="N391" i="3" s="1"/>
  <c r="R391" i="3" s="1"/>
  <c r="L392" i="3"/>
  <c r="N392" i="3" s="1"/>
  <c r="R392" i="3" s="1"/>
  <c r="L393" i="3"/>
  <c r="N393" i="3" s="1"/>
  <c r="R393" i="3" s="1"/>
  <c r="L394" i="3"/>
  <c r="N394" i="3" s="1"/>
  <c r="R394" i="3" s="1"/>
  <c r="L395" i="3"/>
  <c r="N395" i="3" s="1"/>
  <c r="R395" i="3" s="1"/>
  <c r="L396" i="3"/>
  <c r="N396" i="3" s="1"/>
  <c r="R396" i="3" s="1"/>
  <c r="L397" i="3"/>
  <c r="N397" i="3" s="1"/>
  <c r="R397" i="3" s="1"/>
  <c r="L398" i="3"/>
  <c r="N398" i="3" s="1"/>
  <c r="R398" i="3" s="1"/>
  <c r="L399" i="3"/>
  <c r="N399" i="3" s="1"/>
  <c r="R399" i="3" s="1"/>
  <c r="L400" i="3"/>
  <c r="N400" i="3" s="1"/>
  <c r="R400" i="3" s="1"/>
  <c r="L401" i="3"/>
  <c r="N401" i="3" s="1"/>
  <c r="R401" i="3" s="1"/>
  <c r="L402" i="3"/>
  <c r="N402" i="3" s="1"/>
  <c r="R402" i="3" s="1"/>
  <c r="L403" i="3"/>
  <c r="N403" i="3" s="1"/>
  <c r="R403" i="3" s="1"/>
  <c r="L404" i="3"/>
  <c r="N404" i="3" s="1"/>
  <c r="R404" i="3" s="1"/>
  <c r="L405" i="3"/>
  <c r="N405" i="3" s="1"/>
  <c r="R405" i="3" s="1"/>
  <c r="L406" i="3"/>
  <c r="N406" i="3" s="1"/>
  <c r="R406" i="3" s="1"/>
  <c r="L407" i="3"/>
  <c r="N407" i="3" s="1"/>
  <c r="R407" i="3" s="1"/>
  <c r="L408" i="3"/>
  <c r="N408" i="3" s="1"/>
  <c r="R408" i="3" s="1"/>
  <c r="L409" i="3"/>
  <c r="N409" i="3" s="1"/>
  <c r="R409" i="3" s="1"/>
  <c r="L410" i="3"/>
  <c r="N410" i="3" s="1"/>
  <c r="R410" i="3" s="1"/>
  <c r="L411" i="3"/>
  <c r="N411" i="3" s="1"/>
  <c r="R411" i="3" s="1"/>
  <c r="L412" i="3"/>
  <c r="N412" i="3" s="1"/>
  <c r="R412" i="3" s="1"/>
  <c r="L413" i="3"/>
  <c r="N413" i="3" s="1"/>
  <c r="R413" i="3" s="1"/>
  <c r="L414" i="3"/>
  <c r="N414" i="3" s="1"/>
  <c r="R414" i="3" s="1"/>
  <c r="L415" i="3"/>
  <c r="N415" i="3" s="1"/>
  <c r="R415" i="3" s="1"/>
  <c r="L416" i="3"/>
  <c r="N416" i="3" s="1"/>
  <c r="R416" i="3" s="1"/>
  <c r="L417" i="3"/>
  <c r="N417" i="3" s="1"/>
  <c r="R417" i="3" s="1"/>
  <c r="L418" i="3"/>
  <c r="N418" i="3" s="1"/>
  <c r="R418" i="3" s="1"/>
  <c r="L419" i="3"/>
  <c r="N419" i="3" s="1"/>
  <c r="R419" i="3" s="1"/>
  <c r="L420" i="3"/>
  <c r="N420" i="3" s="1"/>
  <c r="R420" i="3" s="1"/>
  <c r="L421" i="3"/>
  <c r="N421" i="3" s="1"/>
  <c r="R421" i="3" s="1"/>
  <c r="L422" i="3"/>
  <c r="N422" i="3" s="1"/>
  <c r="R422" i="3" s="1"/>
  <c r="L423" i="3"/>
  <c r="N423" i="3" s="1"/>
  <c r="R423" i="3" s="1"/>
  <c r="L424" i="3"/>
  <c r="N424" i="3" s="1"/>
  <c r="R424" i="3" s="1"/>
  <c r="L425" i="3"/>
  <c r="N425" i="3" s="1"/>
  <c r="R425" i="3" s="1"/>
  <c r="L426" i="3"/>
  <c r="N426" i="3" s="1"/>
  <c r="R426" i="3" s="1"/>
  <c r="L427" i="3"/>
  <c r="N427" i="3" s="1"/>
  <c r="R427" i="3" s="1"/>
  <c r="L428" i="3"/>
  <c r="N428" i="3" s="1"/>
  <c r="R428" i="3" s="1"/>
  <c r="L429" i="3"/>
  <c r="N429" i="3" s="1"/>
  <c r="R429" i="3" s="1"/>
  <c r="L430" i="3"/>
  <c r="N430" i="3" s="1"/>
  <c r="R430" i="3" s="1"/>
  <c r="L431" i="3"/>
  <c r="N431" i="3" s="1"/>
  <c r="R431" i="3" s="1"/>
  <c r="L432" i="3"/>
  <c r="N432" i="3" s="1"/>
  <c r="R432" i="3" s="1"/>
  <c r="L433" i="3"/>
  <c r="N433" i="3" s="1"/>
  <c r="R433" i="3" s="1"/>
  <c r="L434" i="3"/>
  <c r="N434" i="3" s="1"/>
  <c r="R434" i="3" s="1"/>
  <c r="L435" i="3"/>
  <c r="N435" i="3" s="1"/>
  <c r="R435" i="3" s="1"/>
  <c r="L436" i="3"/>
  <c r="N436" i="3" s="1"/>
  <c r="R436" i="3" s="1"/>
  <c r="L437" i="3"/>
  <c r="N437" i="3" s="1"/>
  <c r="R437" i="3" s="1"/>
  <c r="L438" i="3"/>
  <c r="N438" i="3" s="1"/>
  <c r="R438" i="3" s="1"/>
  <c r="L439" i="3"/>
  <c r="N439" i="3" s="1"/>
  <c r="R439" i="3" s="1"/>
  <c r="L440" i="3"/>
  <c r="N440" i="3" s="1"/>
  <c r="R440" i="3" s="1"/>
  <c r="L441" i="3"/>
  <c r="N441" i="3" s="1"/>
  <c r="R441" i="3" s="1"/>
  <c r="L442" i="3"/>
  <c r="N442" i="3" s="1"/>
  <c r="R442" i="3" s="1"/>
  <c r="L443" i="3"/>
  <c r="N443" i="3" s="1"/>
  <c r="R443" i="3" s="1"/>
  <c r="L444" i="3"/>
  <c r="N444" i="3" s="1"/>
  <c r="R444" i="3" s="1"/>
  <c r="L445" i="3"/>
  <c r="N445" i="3" s="1"/>
  <c r="R445" i="3" s="1"/>
  <c r="L446" i="3"/>
  <c r="N446" i="3" s="1"/>
  <c r="R446" i="3" s="1"/>
  <c r="L447" i="3"/>
  <c r="N447" i="3" s="1"/>
  <c r="R447" i="3" s="1"/>
  <c r="L448" i="3"/>
  <c r="N448" i="3" s="1"/>
  <c r="R448" i="3" s="1"/>
  <c r="L449" i="3"/>
  <c r="N449" i="3" s="1"/>
  <c r="R449" i="3" s="1"/>
  <c r="L450" i="3"/>
  <c r="N450" i="3" s="1"/>
  <c r="R450" i="3" s="1"/>
  <c r="L451" i="3"/>
  <c r="N451" i="3" s="1"/>
  <c r="R451" i="3" s="1"/>
  <c r="L452" i="3"/>
  <c r="N452" i="3" s="1"/>
  <c r="R452" i="3" s="1"/>
  <c r="L453" i="3"/>
  <c r="N453" i="3" s="1"/>
  <c r="R453" i="3" s="1"/>
  <c r="L454" i="3"/>
  <c r="N454" i="3" s="1"/>
  <c r="R454" i="3" s="1"/>
  <c r="L455" i="3"/>
  <c r="N455" i="3" s="1"/>
  <c r="R455" i="3" s="1"/>
  <c r="L456" i="3"/>
  <c r="N456" i="3" s="1"/>
  <c r="R456" i="3" s="1"/>
  <c r="L457" i="3"/>
  <c r="N457" i="3" s="1"/>
  <c r="R457" i="3" s="1"/>
  <c r="L458" i="3"/>
  <c r="N458" i="3" s="1"/>
  <c r="R458" i="3" s="1"/>
  <c r="L459" i="3"/>
  <c r="N459" i="3" s="1"/>
  <c r="R459" i="3" s="1"/>
  <c r="L460" i="3"/>
  <c r="N460" i="3" s="1"/>
  <c r="R460" i="3" s="1"/>
  <c r="L461" i="3"/>
  <c r="N461" i="3" s="1"/>
  <c r="R461" i="3" s="1"/>
  <c r="L462" i="3"/>
  <c r="N462" i="3" s="1"/>
  <c r="R462" i="3" s="1"/>
  <c r="L463" i="3"/>
  <c r="N463" i="3" s="1"/>
  <c r="R463" i="3" s="1"/>
  <c r="L464" i="3"/>
  <c r="N464" i="3" s="1"/>
  <c r="R464" i="3" s="1"/>
  <c r="L465" i="3"/>
  <c r="N465" i="3" s="1"/>
  <c r="R465" i="3" s="1"/>
  <c r="L466" i="3"/>
  <c r="N466" i="3" s="1"/>
  <c r="R466" i="3" s="1"/>
  <c r="L467" i="3"/>
  <c r="N467" i="3" s="1"/>
  <c r="R467" i="3" s="1"/>
  <c r="L468" i="3"/>
  <c r="N468" i="3" s="1"/>
  <c r="R468" i="3" s="1"/>
  <c r="L469" i="3"/>
  <c r="N469" i="3" s="1"/>
  <c r="R469" i="3" s="1"/>
  <c r="L470" i="3"/>
  <c r="N470" i="3" s="1"/>
  <c r="R470" i="3" s="1"/>
  <c r="L471" i="3"/>
  <c r="N471" i="3" s="1"/>
  <c r="R471" i="3" s="1"/>
  <c r="L472" i="3"/>
  <c r="N472" i="3" s="1"/>
  <c r="R472" i="3" s="1"/>
  <c r="L473" i="3"/>
  <c r="N473" i="3" s="1"/>
  <c r="R473" i="3" s="1"/>
  <c r="L474" i="3"/>
  <c r="N474" i="3" s="1"/>
  <c r="R474" i="3" s="1"/>
  <c r="L475" i="3"/>
  <c r="N475" i="3" s="1"/>
  <c r="R475" i="3" s="1"/>
  <c r="L476" i="3"/>
  <c r="N476" i="3" s="1"/>
  <c r="R476" i="3" s="1"/>
  <c r="L477" i="3"/>
  <c r="N477" i="3" s="1"/>
  <c r="R477" i="3" s="1"/>
  <c r="L478" i="3"/>
  <c r="N478" i="3" s="1"/>
  <c r="R478" i="3" s="1"/>
  <c r="L479" i="3"/>
  <c r="N479" i="3" s="1"/>
  <c r="R479" i="3" s="1"/>
  <c r="L480" i="3"/>
  <c r="N480" i="3" s="1"/>
  <c r="R480" i="3" s="1"/>
  <c r="L481" i="3"/>
  <c r="N481" i="3" s="1"/>
  <c r="R481" i="3" s="1"/>
  <c r="L482" i="3"/>
  <c r="N482" i="3" s="1"/>
  <c r="R482" i="3" s="1"/>
  <c r="L483" i="3"/>
  <c r="N483" i="3" s="1"/>
  <c r="R483" i="3" s="1"/>
  <c r="L484" i="3"/>
  <c r="N484" i="3" s="1"/>
  <c r="R484" i="3" s="1"/>
  <c r="L485" i="3"/>
  <c r="N485" i="3" s="1"/>
  <c r="R485" i="3" s="1"/>
  <c r="L486" i="3"/>
  <c r="N486" i="3" s="1"/>
  <c r="R486" i="3" s="1"/>
  <c r="L487" i="3"/>
  <c r="N487" i="3" s="1"/>
  <c r="R487" i="3" s="1"/>
  <c r="L488" i="3"/>
  <c r="N488" i="3" s="1"/>
  <c r="R488" i="3" s="1"/>
  <c r="L489" i="3"/>
  <c r="N489" i="3" s="1"/>
  <c r="R489" i="3" s="1"/>
  <c r="L490" i="3"/>
  <c r="N490" i="3" s="1"/>
  <c r="R490" i="3" s="1"/>
  <c r="L491" i="3"/>
  <c r="N491" i="3" s="1"/>
  <c r="R491" i="3" s="1"/>
  <c r="L492" i="3"/>
  <c r="N492" i="3" s="1"/>
  <c r="R492" i="3" s="1"/>
  <c r="L493" i="3"/>
  <c r="N493" i="3" s="1"/>
  <c r="R493" i="3" s="1"/>
  <c r="L494" i="3"/>
  <c r="N494" i="3" s="1"/>
  <c r="R494" i="3" s="1"/>
  <c r="L495" i="3"/>
  <c r="N495" i="3" s="1"/>
  <c r="R495" i="3" s="1"/>
  <c r="L496" i="3"/>
  <c r="N496" i="3" s="1"/>
  <c r="R496" i="3" s="1"/>
  <c r="L497" i="3"/>
  <c r="N497" i="3" s="1"/>
  <c r="R497" i="3" s="1"/>
  <c r="L498" i="3"/>
  <c r="N498" i="3" s="1"/>
  <c r="R498" i="3" s="1"/>
  <c r="L499" i="3"/>
  <c r="N499" i="3" s="1"/>
  <c r="R499" i="3" s="1"/>
  <c r="L500" i="3"/>
  <c r="N500" i="3" s="1"/>
  <c r="R500" i="3" s="1"/>
  <c r="L501" i="3"/>
  <c r="N501" i="3" s="1"/>
  <c r="R501" i="3" s="1"/>
  <c r="L502" i="3"/>
  <c r="N502" i="3" s="1"/>
  <c r="R502" i="3" s="1"/>
  <c r="L503" i="3"/>
  <c r="N503" i="3" s="1"/>
  <c r="R503" i="3" s="1"/>
  <c r="L504" i="3"/>
  <c r="N504" i="3" s="1"/>
  <c r="R504" i="3" s="1"/>
  <c r="L505" i="3"/>
  <c r="N505" i="3" s="1"/>
  <c r="R505" i="3" s="1"/>
  <c r="L506" i="3"/>
  <c r="N506" i="3" s="1"/>
  <c r="R506" i="3" s="1"/>
  <c r="L507" i="3"/>
  <c r="N507" i="3" s="1"/>
  <c r="R507" i="3" s="1"/>
  <c r="L508" i="3"/>
  <c r="N508" i="3" s="1"/>
  <c r="R508" i="3" s="1"/>
  <c r="L509" i="3"/>
  <c r="N509" i="3" s="1"/>
  <c r="R509" i="3" s="1"/>
  <c r="L510" i="3"/>
  <c r="N510" i="3" s="1"/>
  <c r="R510" i="3" s="1"/>
  <c r="L511" i="3"/>
  <c r="N511" i="3" s="1"/>
  <c r="R511" i="3" s="1"/>
  <c r="L512" i="3"/>
  <c r="N512" i="3" s="1"/>
  <c r="R512" i="3" s="1"/>
  <c r="L513" i="3"/>
  <c r="N513" i="3" s="1"/>
  <c r="R513" i="3" s="1"/>
  <c r="L514" i="3"/>
  <c r="N514" i="3" s="1"/>
  <c r="R514" i="3" s="1"/>
  <c r="L515" i="3"/>
  <c r="N515" i="3" s="1"/>
  <c r="R515" i="3" s="1"/>
  <c r="L516" i="3"/>
  <c r="N516" i="3" s="1"/>
  <c r="R516" i="3" s="1"/>
  <c r="L517" i="3"/>
  <c r="N517" i="3" s="1"/>
  <c r="R517" i="3" s="1"/>
  <c r="L518" i="3"/>
  <c r="N518" i="3" s="1"/>
  <c r="R518" i="3" s="1"/>
  <c r="L519" i="3"/>
  <c r="N519" i="3" s="1"/>
  <c r="R519" i="3" s="1"/>
  <c r="L520" i="3"/>
  <c r="N520" i="3" s="1"/>
  <c r="R520" i="3" s="1"/>
  <c r="L521" i="3"/>
  <c r="N521" i="3" s="1"/>
  <c r="R521" i="3" s="1"/>
  <c r="L522" i="3"/>
  <c r="N522" i="3" s="1"/>
  <c r="R522" i="3" s="1"/>
  <c r="L523" i="3"/>
  <c r="N523" i="3" s="1"/>
  <c r="R523" i="3" s="1"/>
  <c r="L524" i="3"/>
  <c r="N524" i="3" s="1"/>
  <c r="R524" i="3" s="1"/>
  <c r="L525" i="3"/>
  <c r="N525" i="3" s="1"/>
  <c r="R525" i="3" s="1"/>
  <c r="L526" i="3"/>
  <c r="N526" i="3" s="1"/>
  <c r="R526" i="3" s="1"/>
  <c r="L527" i="3"/>
  <c r="N527" i="3" s="1"/>
  <c r="R527" i="3" s="1"/>
  <c r="L528" i="3"/>
  <c r="N528" i="3" s="1"/>
  <c r="R528" i="3" s="1"/>
  <c r="L529" i="3"/>
  <c r="N529" i="3" s="1"/>
  <c r="R529" i="3" s="1"/>
  <c r="L530" i="3"/>
  <c r="N530" i="3" s="1"/>
  <c r="R530" i="3" s="1"/>
  <c r="L531" i="3"/>
  <c r="N531" i="3" s="1"/>
  <c r="R531" i="3" s="1"/>
  <c r="L532" i="3"/>
  <c r="N532" i="3" s="1"/>
  <c r="R532" i="3" s="1"/>
  <c r="L533" i="3"/>
  <c r="N533" i="3" s="1"/>
  <c r="R533" i="3" s="1"/>
  <c r="L534" i="3"/>
  <c r="N534" i="3" s="1"/>
  <c r="R534" i="3" s="1"/>
  <c r="L535" i="3"/>
  <c r="N535" i="3" s="1"/>
  <c r="R535" i="3" s="1"/>
  <c r="L536" i="3"/>
  <c r="N536" i="3" s="1"/>
  <c r="R536" i="3" s="1"/>
  <c r="L537" i="3"/>
  <c r="N537" i="3" s="1"/>
  <c r="R537" i="3" s="1"/>
  <c r="L538" i="3"/>
  <c r="N538" i="3" s="1"/>
  <c r="R538" i="3" s="1"/>
  <c r="L539" i="3"/>
  <c r="N539" i="3" s="1"/>
  <c r="R539" i="3" s="1"/>
  <c r="L540" i="3"/>
  <c r="N540" i="3" s="1"/>
  <c r="R540" i="3" s="1"/>
  <c r="L541" i="3"/>
  <c r="N541" i="3" s="1"/>
  <c r="R541" i="3" s="1"/>
  <c r="L542" i="3"/>
  <c r="N542" i="3" s="1"/>
  <c r="R542" i="3" s="1"/>
  <c r="L543" i="3"/>
  <c r="N543" i="3" s="1"/>
  <c r="R543" i="3" s="1"/>
  <c r="L544" i="3"/>
  <c r="N544" i="3" s="1"/>
  <c r="R544" i="3" s="1"/>
  <c r="L545" i="3"/>
  <c r="N545" i="3" s="1"/>
  <c r="R545" i="3" s="1"/>
  <c r="L546" i="3"/>
  <c r="N546" i="3" s="1"/>
  <c r="R546" i="3" s="1"/>
  <c r="L547" i="3"/>
  <c r="N547" i="3" s="1"/>
  <c r="R547" i="3" s="1"/>
  <c r="L548" i="3"/>
  <c r="N548" i="3" s="1"/>
  <c r="R548" i="3" s="1"/>
  <c r="L549" i="3"/>
  <c r="N549" i="3" s="1"/>
  <c r="R549" i="3" s="1"/>
  <c r="L550" i="3"/>
  <c r="N550" i="3" s="1"/>
  <c r="R550" i="3" s="1"/>
  <c r="L551" i="3"/>
  <c r="N551" i="3" s="1"/>
  <c r="R551" i="3" s="1"/>
  <c r="L552" i="3"/>
  <c r="N552" i="3" s="1"/>
  <c r="R552" i="3" s="1"/>
  <c r="L553" i="3"/>
  <c r="N553" i="3" s="1"/>
  <c r="R553" i="3" s="1"/>
  <c r="L554" i="3"/>
  <c r="N554" i="3" s="1"/>
  <c r="R554" i="3" s="1"/>
  <c r="L555" i="3"/>
  <c r="N555" i="3" s="1"/>
  <c r="R555" i="3" s="1"/>
  <c r="L556" i="3"/>
  <c r="N556" i="3" s="1"/>
  <c r="R556" i="3" s="1"/>
  <c r="L557" i="3"/>
  <c r="N557" i="3" s="1"/>
  <c r="R557" i="3" s="1"/>
  <c r="L558" i="3"/>
  <c r="N558" i="3" s="1"/>
  <c r="R558" i="3" s="1"/>
  <c r="L559" i="3"/>
  <c r="N559" i="3" s="1"/>
  <c r="R559" i="3" s="1"/>
  <c r="L560" i="3"/>
  <c r="N560" i="3" s="1"/>
  <c r="R560" i="3" s="1"/>
  <c r="L561" i="3"/>
  <c r="N561" i="3" s="1"/>
  <c r="R561" i="3" s="1"/>
  <c r="L562" i="3"/>
  <c r="N562" i="3" s="1"/>
  <c r="R562" i="3" s="1"/>
  <c r="L563" i="3"/>
  <c r="N563" i="3" s="1"/>
  <c r="R563" i="3" s="1"/>
  <c r="L564" i="3"/>
  <c r="N564" i="3" s="1"/>
  <c r="R564" i="3" s="1"/>
  <c r="L565" i="3"/>
  <c r="N565" i="3" s="1"/>
  <c r="R565" i="3" s="1"/>
  <c r="L566" i="3"/>
  <c r="N566" i="3" s="1"/>
  <c r="R566" i="3" s="1"/>
  <c r="L567" i="3"/>
  <c r="N567" i="3" s="1"/>
  <c r="R567" i="3" s="1"/>
  <c r="L568" i="3"/>
  <c r="N568" i="3" s="1"/>
  <c r="R568" i="3" s="1"/>
  <c r="L569" i="3"/>
  <c r="N569" i="3" s="1"/>
  <c r="R569" i="3" s="1"/>
  <c r="L570" i="3"/>
  <c r="N570" i="3" s="1"/>
  <c r="R570" i="3" s="1"/>
  <c r="L571" i="3"/>
  <c r="N571" i="3" s="1"/>
  <c r="R571" i="3" s="1"/>
  <c r="L572" i="3"/>
  <c r="N572" i="3" s="1"/>
  <c r="R572" i="3" s="1"/>
  <c r="L573" i="3"/>
  <c r="N573" i="3" s="1"/>
  <c r="R573" i="3" s="1"/>
  <c r="L574" i="3"/>
  <c r="N574" i="3" s="1"/>
  <c r="R574" i="3" s="1"/>
  <c r="L575" i="3"/>
  <c r="N575" i="3" s="1"/>
  <c r="R575" i="3" s="1"/>
  <c r="L576" i="3"/>
  <c r="N576" i="3" s="1"/>
  <c r="R576" i="3" s="1"/>
  <c r="L577" i="3"/>
  <c r="N577" i="3" s="1"/>
  <c r="R577" i="3" s="1"/>
  <c r="L578" i="3"/>
  <c r="N578" i="3" s="1"/>
  <c r="R578" i="3" s="1"/>
  <c r="L579" i="3"/>
  <c r="N579" i="3" s="1"/>
  <c r="R579" i="3" s="1"/>
  <c r="L580" i="3"/>
  <c r="N580" i="3" s="1"/>
  <c r="R580" i="3" s="1"/>
  <c r="L581" i="3"/>
  <c r="N581" i="3" s="1"/>
  <c r="R581" i="3" s="1"/>
  <c r="L582" i="3"/>
  <c r="N582" i="3" s="1"/>
  <c r="R582" i="3" s="1"/>
  <c r="L583" i="3"/>
  <c r="N583" i="3" s="1"/>
  <c r="R583" i="3" s="1"/>
  <c r="L584" i="3"/>
  <c r="N584" i="3" s="1"/>
  <c r="R584" i="3" s="1"/>
  <c r="L585" i="3"/>
  <c r="N585" i="3" s="1"/>
  <c r="R585" i="3" s="1"/>
  <c r="L586" i="3"/>
  <c r="N586" i="3" s="1"/>
  <c r="R586" i="3" s="1"/>
  <c r="L587" i="3"/>
  <c r="N587" i="3" s="1"/>
  <c r="R587" i="3" s="1"/>
  <c r="L588" i="3"/>
  <c r="N588" i="3" s="1"/>
  <c r="R588" i="3" s="1"/>
  <c r="L589" i="3"/>
  <c r="N589" i="3" s="1"/>
  <c r="R589" i="3" s="1"/>
  <c r="L590" i="3"/>
  <c r="N590" i="3" s="1"/>
  <c r="R590" i="3" s="1"/>
  <c r="L591" i="3"/>
  <c r="N591" i="3" s="1"/>
  <c r="R591" i="3" s="1"/>
  <c r="L592" i="3"/>
  <c r="N592" i="3" s="1"/>
  <c r="R592" i="3" s="1"/>
  <c r="L593" i="3"/>
  <c r="N593" i="3" s="1"/>
  <c r="R593" i="3" s="1"/>
  <c r="L594" i="3"/>
  <c r="N594" i="3" s="1"/>
  <c r="R594" i="3" s="1"/>
  <c r="L595" i="3"/>
  <c r="N595" i="3" s="1"/>
  <c r="R595" i="3" s="1"/>
  <c r="L596" i="3"/>
  <c r="N596" i="3" s="1"/>
  <c r="R596" i="3" s="1"/>
  <c r="L597" i="3"/>
  <c r="N597" i="3" s="1"/>
  <c r="R597" i="3" s="1"/>
  <c r="L598" i="3"/>
  <c r="N598" i="3" s="1"/>
  <c r="R598" i="3" s="1"/>
  <c r="L599" i="3"/>
  <c r="N599" i="3" s="1"/>
  <c r="R599" i="3" s="1"/>
  <c r="L600" i="3"/>
  <c r="N600" i="3" s="1"/>
  <c r="R600" i="3" s="1"/>
  <c r="L601" i="3"/>
  <c r="N601" i="3" s="1"/>
  <c r="R601" i="3" s="1"/>
  <c r="L602" i="3"/>
  <c r="N602" i="3" s="1"/>
  <c r="R602" i="3" s="1"/>
  <c r="L603" i="3"/>
  <c r="N603" i="3" s="1"/>
  <c r="R603" i="3" s="1"/>
  <c r="L604" i="3"/>
  <c r="N604" i="3" s="1"/>
  <c r="R604" i="3" s="1"/>
  <c r="L605" i="3"/>
  <c r="N605" i="3" s="1"/>
  <c r="R605" i="3" s="1"/>
  <c r="L606" i="3"/>
  <c r="N606" i="3" s="1"/>
  <c r="R606" i="3" s="1"/>
  <c r="L607" i="3"/>
  <c r="N607" i="3" s="1"/>
  <c r="R607" i="3" s="1"/>
  <c r="L608" i="3"/>
  <c r="N608" i="3" s="1"/>
  <c r="R608" i="3" s="1"/>
  <c r="L609" i="3"/>
  <c r="N609" i="3" s="1"/>
  <c r="R609" i="3" s="1"/>
  <c r="L610" i="3"/>
  <c r="N610" i="3" s="1"/>
  <c r="R610" i="3" s="1"/>
  <c r="L611" i="3"/>
  <c r="N611" i="3" s="1"/>
  <c r="R611" i="3" s="1"/>
  <c r="L612" i="3"/>
  <c r="N612" i="3" s="1"/>
  <c r="R612" i="3" s="1"/>
  <c r="L613" i="3"/>
  <c r="N613" i="3" s="1"/>
  <c r="R613" i="3" s="1"/>
  <c r="L614" i="3"/>
  <c r="N614" i="3" s="1"/>
  <c r="R614" i="3" s="1"/>
  <c r="L615" i="3"/>
  <c r="N615" i="3" s="1"/>
  <c r="R615" i="3" s="1"/>
  <c r="L616" i="3"/>
  <c r="N616" i="3" s="1"/>
  <c r="R616" i="3" s="1"/>
  <c r="L617" i="3"/>
  <c r="N617" i="3" s="1"/>
  <c r="R617" i="3" s="1"/>
  <c r="L618" i="3"/>
  <c r="N618" i="3" s="1"/>
  <c r="R618" i="3" s="1"/>
  <c r="L619" i="3"/>
  <c r="N619" i="3" s="1"/>
  <c r="R619" i="3" s="1"/>
  <c r="L620" i="3"/>
  <c r="N620" i="3" s="1"/>
  <c r="R620" i="3" s="1"/>
  <c r="L621" i="3"/>
  <c r="N621" i="3" s="1"/>
  <c r="R621" i="3" s="1"/>
  <c r="L622" i="3"/>
  <c r="N622" i="3" s="1"/>
  <c r="R622" i="3" s="1"/>
  <c r="L623" i="3"/>
  <c r="N623" i="3" s="1"/>
  <c r="R623" i="3" s="1"/>
  <c r="L624" i="3"/>
  <c r="N624" i="3" s="1"/>
  <c r="R624" i="3" s="1"/>
  <c r="L625" i="3"/>
  <c r="N625" i="3" s="1"/>
  <c r="R625" i="3" s="1"/>
  <c r="L626" i="3"/>
  <c r="N626" i="3" s="1"/>
  <c r="R626" i="3" s="1"/>
  <c r="L627" i="3"/>
  <c r="N627" i="3" s="1"/>
  <c r="R627" i="3" s="1"/>
  <c r="L628" i="3"/>
  <c r="N628" i="3" s="1"/>
  <c r="R628" i="3" s="1"/>
  <c r="L629" i="3"/>
  <c r="N629" i="3" s="1"/>
  <c r="R629" i="3" s="1"/>
  <c r="L630" i="3"/>
  <c r="N630" i="3" s="1"/>
  <c r="R630" i="3" s="1"/>
  <c r="L631" i="3"/>
  <c r="N631" i="3" s="1"/>
  <c r="R631" i="3" s="1"/>
  <c r="L632" i="3"/>
  <c r="N632" i="3" s="1"/>
  <c r="R632" i="3" s="1"/>
  <c r="L633" i="3"/>
  <c r="N633" i="3" s="1"/>
  <c r="R633" i="3" s="1"/>
  <c r="L634" i="3"/>
  <c r="N634" i="3" s="1"/>
  <c r="R634" i="3" s="1"/>
  <c r="L635" i="3"/>
  <c r="N635" i="3" s="1"/>
  <c r="R635" i="3" s="1"/>
  <c r="L636" i="3"/>
  <c r="N636" i="3" s="1"/>
  <c r="R636" i="3" s="1"/>
  <c r="L637" i="3"/>
  <c r="N637" i="3" s="1"/>
  <c r="R637" i="3" s="1"/>
  <c r="L638" i="3"/>
  <c r="N638" i="3" s="1"/>
  <c r="R638" i="3" s="1"/>
  <c r="L639" i="3"/>
  <c r="N639" i="3" s="1"/>
  <c r="R639" i="3" s="1"/>
  <c r="L640" i="3"/>
  <c r="N640" i="3" s="1"/>
  <c r="R640" i="3" s="1"/>
  <c r="L641" i="3"/>
  <c r="N641" i="3" s="1"/>
  <c r="R641" i="3" s="1"/>
  <c r="L642" i="3"/>
  <c r="N642" i="3" s="1"/>
  <c r="R642" i="3" s="1"/>
  <c r="L643" i="3"/>
  <c r="N643" i="3" s="1"/>
  <c r="R643" i="3" s="1"/>
  <c r="L644" i="3"/>
  <c r="N644" i="3" s="1"/>
  <c r="R644" i="3" s="1"/>
  <c r="L645" i="3"/>
  <c r="N645" i="3" s="1"/>
  <c r="R645" i="3" s="1"/>
  <c r="L646" i="3"/>
  <c r="N646" i="3" s="1"/>
  <c r="R646" i="3" s="1"/>
  <c r="L647" i="3"/>
  <c r="N647" i="3" s="1"/>
  <c r="R647" i="3" s="1"/>
  <c r="L648" i="3"/>
  <c r="N648" i="3" s="1"/>
  <c r="R648" i="3" s="1"/>
  <c r="L649" i="3"/>
  <c r="N649" i="3" s="1"/>
  <c r="R649" i="3" s="1"/>
  <c r="L650" i="3"/>
  <c r="N650" i="3" s="1"/>
  <c r="R650" i="3" s="1"/>
  <c r="L651" i="3"/>
  <c r="N651" i="3" s="1"/>
  <c r="R651" i="3" s="1"/>
  <c r="L652" i="3"/>
  <c r="N652" i="3" s="1"/>
  <c r="R652" i="3" s="1"/>
  <c r="L653" i="3"/>
  <c r="N653" i="3" s="1"/>
  <c r="R653" i="3" s="1"/>
  <c r="L654" i="3"/>
  <c r="N654" i="3" s="1"/>
  <c r="R654" i="3" s="1"/>
  <c r="L655" i="3"/>
  <c r="N655" i="3" s="1"/>
  <c r="R655" i="3" s="1"/>
  <c r="L656" i="3"/>
  <c r="N656" i="3" s="1"/>
  <c r="R656" i="3" s="1"/>
  <c r="L657" i="3"/>
  <c r="N657" i="3" s="1"/>
  <c r="R657" i="3" s="1"/>
  <c r="L658" i="3"/>
  <c r="N658" i="3" s="1"/>
  <c r="R658" i="3" s="1"/>
  <c r="L659" i="3"/>
  <c r="N659" i="3" s="1"/>
  <c r="R659" i="3" s="1"/>
  <c r="L660" i="3"/>
  <c r="N660" i="3" s="1"/>
  <c r="R660" i="3" s="1"/>
  <c r="L661" i="3"/>
  <c r="N661" i="3" s="1"/>
  <c r="R661" i="3" s="1"/>
  <c r="L662" i="3"/>
  <c r="N662" i="3" s="1"/>
  <c r="R662" i="3" s="1"/>
  <c r="L663" i="3"/>
  <c r="N663" i="3" s="1"/>
  <c r="R663" i="3" s="1"/>
  <c r="L664" i="3"/>
  <c r="N664" i="3" s="1"/>
  <c r="R664" i="3" s="1"/>
  <c r="L665" i="3"/>
  <c r="N665" i="3" s="1"/>
  <c r="R665" i="3" s="1"/>
  <c r="L666" i="3"/>
  <c r="N666" i="3" s="1"/>
  <c r="R666" i="3" s="1"/>
  <c r="L667" i="3"/>
  <c r="N667" i="3" s="1"/>
  <c r="R667" i="3" s="1"/>
  <c r="L668" i="3"/>
  <c r="N668" i="3" s="1"/>
  <c r="R668" i="3" s="1"/>
  <c r="L669" i="3"/>
  <c r="N669" i="3" s="1"/>
  <c r="R669" i="3" s="1"/>
  <c r="L670" i="3"/>
  <c r="N670" i="3" s="1"/>
  <c r="R670" i="3" s="1"/>
  <c r="L671" i="3"/>
  <c r="N671" i="3" s="1"/>
  <c r="R671" i="3" s="1"/>
  <c r="L672" i="3"/>
  <c r="N672" i="3" s="1"/>
  <c r="R672" i="3" s="1"/>
  <c r="L673" i="3"/>
  <c r="N673" i="3" s="1"/>
  <c r="R673" i="3" s="1"/>
  <c r="L674" i="3"/>
  <c r="N674" i="3" s="1"/>
  <c r="R674" i="3" s="1"/>
  <c r="L675" i="3"/>
  <c r="N675" i="3" s="1"/>
  <c r="R675" i="3" s="1"/>
  <c r="L676" i="3"/>
  <c r="N676" i="3" s="1"/>
  <c r="R676" i="3" s="1"/>
  <c r="L677" i="3"/>
  <c r="N677" i="3" s="1"/>
  <c r="R677" i="3" s="1"/>
  <c r="L678" i="3"/>
  <c r="N678" i="3" s="1"/>
  <c r="R678" i="3" s="1"/>
  <c r="L679" i="3"/>
  <c r="N679" i="3" s="1"/>
  <c r="R679" i="3" s="1"/>
  <c r="L680" i="3"/>
  <c r="N680" i="3" s="1"/>
  <c r="R680" i="3" s="1"/>
  <c r="L681" i="3"/>
  <c r="N681" i="3" s="1"/>
  <c r="R681" i="3" s="1"/>
  <c r="L682" i="3"/>
  <c r="N682" i="3" s="1"/>
  <c r="R682" i="3" s="1"/>
  <c r="L683" i="3"/>
  <c r="N683" i="3" s="1"/>
  <c r="R683" i="3" s="1"/>
  <c r="L684" i="3"/>
  <c r="N684" i="3" s="1"/>
  <c r="R684" i="3" s="1"/>
  <c r="L685" i="3"/>
  <c r="N685" i="3" s="1"/>
  <c r="R685" i="3" s="1"/>
  <c r="L686" i="3"/>
  <c r="N686" i="3" s="1"/>
  <c r="R686" i="3" s="1"/>
  <c r="L687" i="3"/>
  <c r="N687" i="3" s="1"/>
  <c r="R687" i="3" s="1"/>
  <c r="L688" i="3"/>
  <c r="N688" i="3" s="1"/>
  <c r="R688" i="3" s="1"/>
  <c r="L689" i="3"/>
  <c r="N689" i="3" s="1"/>
  <c r="R689" i="3" s="1"/>
  <c r="L690" i="3"/>
  <c r="N690" i="3" s="1"/>
  <c r="R690" i="3" s="1"/>
  <c r="L691" i="3"/>
  <c r="N691" i="3" s="1"/>
  <c r="R691" i="3" s="1"/>
  <c r="L692" i="3"/>
  <c r="N692" i="3" s="1"/>
  <c r="R692" i="3" s="1"/>
  <c r="L693" i="3"/>
  <c r="N693" i="3" s="1"/>
  <c r="R693" i="3" s="1"/>
  <c r="L694" i="3"/>
  <c r="N694" i="3" s="1"/>
  <c r="R694" i="3" s="1"/>
  <c r="L695" i="3"/>
  <c r="N695" i="3" s="1"/>
  <c r="R695" i="3" s="1"/>
  <c r="L696" i="3"/>
  <c r="N696" i="3" s="1"/>
  <c r="R696" i="3" s="1"/>
  <c r="L697" i="3"/>
  <c r="N697" i="3" s="1"/>
  <c r="R697" i="3" s="1"/>
  <c r="L698" i="3"/>
  <c r="N698" i="3" s="1"/>
  <c r="R698" i="3" s="1"/>
  <c r="L699" i="3"/>
  <c r="N699" i="3" s="1"/>
  <c r="R699" i="3" s="1"/>
  <c r="L700" i="3"/>
  <c r="N700" i="3" s="1"/>
  <c r="R700" i="3" s="1"/>
  <c r="L701" i="3"/>
  <c r="N701" i="3" s="1"/>
  <c r="R701" i="3" s="1"/>
  <c r="L702" i="3"/>
  <c r="N702" i="3" s="1"/>
  <c r="R702" i="3" s="1"/>
  <c r="L703" i="3"/>
  <c r="N703" i="3" s="1"/>
  <c r="R703" i="3" s="1"/>
  <c r="L704" i="3"/>
  <c r="N704" i="3" s="1"/>
  <c r="R704" i="3" s="1"/>
  <c r="L705" i="3"/>
  <c r="N705" i="3" s="1"/>
  <c r="R705" i="3" s="1"/>
  <c r="L706" i="3"/>
  <c r="N706" i="3" s="1"/>
  <c r="R706" i="3" s="1"/>
  <c r="L707" i="3"/>
  <c r="N707" i="3" s="1"/>
  <c r="R707" i="3" s="1"/>
  <c r="L708" i="3"/>
  <c r="N708" i="3" s="1"/>
  <c r="R708" i="3" s="1"/>
  <c r="L709" i="3"/>
  <c r="N709" i="3" s="1"/>
  <c r="R709" i="3" s="1"/>
  <c r="L710" i="3"/>
  <c r="N710" i="3" s="1"/>
  <c r="R710" i="3" s="1"/>
  <c r="L711" i="3"/>
  <c r="N711" i="3" s="1"/>
  <c r="R711" i="3" s="1"/>
  <c r="L712" i="3"/>
  <c r="N712" i="3" s="1"/>
  <c r="R712" i="3" s="1"/>
  <c r="L713" i="3"/>
  <c r="N713" i="3" s="1"/>
  <c r="R713" i="3" s="1"/>
  <c r="L714" i="3"/>
  <c r="N714" i="3" s="1"/>
  <c r="R714" i="3" s="1"/>
  <c r="L715" i="3"/>
  <c r="N715" i="3" s="1"/>
  <c r="R715" i="3" s="1"/>
  <c r="L716" i="3"/>
  <c r="N716" i="3" s="1"/>
  <c r="R716" i="3" s="1"/>
  <c r="L717" i="3"/>
  <c r="N717" i="3" s="1"/>
  <c r="R717" i="3" s="1"/>
  <c r="L718" i="3"/>
  <c r="N718" i="3" s="1"/>
  <c r="R718" i="3" s="1"/>
  <c r="L719" i="3"/>
  <c r="N719" i="3" s="1"/>
  <c r="R719" i="3" s="1"/>
  <c r="L720" i="3"/>
  <c r="N720" i="3" s="1"/>
  <c r="R720" i="3" s="1"/>
  <c r="L721" i="3"/>
  <c r="N721" i="3" s="1"/>
  <c r="R721" i="3" s="1"/>
  <c r="L722" i="3"/>
  <c r="N722" i="3" s="1"/>
  <c r="R722" i="3" s="1"/>
  <c r="L723" i="3"/>
  <c r="N723" i="3" s="1"/>
  <c r="R723" i="3" s="1"/>
  <c r="L724" i="3"/>
  <c r="N724" i="3" s="1"/>
  <c r="R724" i="3" s="1"/>
  <c r="L725" i="3"/>
  <c r="N725" i="3" s="1"/>
  <c r="R725" i="3" s="1"/>
  <c r="L726" i="3"/>
  <c r="N726" i="3" s="1"/>
  <c r="R726" i="3" s="1"/>
  <c r="L727" i="3"/>
  <c r="N727" i="3" s="1"/>
  <c r="R727" i="3" s="1"/>
  <c r="L728" i="3"/>
  <c r="N728" i="3" s="1"/>
  <c r="R728" i="3" s="1"/>
  <c r="L729" i="3"/>
  <c r="N729" i="3" s="1"/>
  <c r="R729" i="3" s="1"/>
  <c r="L730" i="3"/>
  <c r="N730" i="3" s="1"/>
  <c r="R730" i="3" s="1"/>
  <c r="L731" i="3"/>
  <c r="N731" i="3" s="1"/>
  <c r="R731" i="3" s="1"/>
  <c r="L732" i="3"/>
  <c r="N732" i="3" s="1"/>
  <c r="R732" i="3" s="1"/>
  <c r="L733" i="3"/>
  <c r="N733" i="3" s="1"/>
  <c r="R733" i="3" s="1"/>
  <c r="L734" i="3"/>
  <c r="N734" i="3" s="1"/>
  <c r="R734" i="3" s="1"/>
  <c r="L735" i="3"/>
  <c r="N735" i="3" s="1"/>
  <c r="R735" i="3" s="1"/>
  <c r="L736" i="3"/>
  <c r="N736" i="3" s="1"/>
  <c r="R736" i="3" s="1"/>
  <c r="L737" i="3"/>
  <c r="N737" i="3" s="1"/>
  <c r="R737" i="3" s="1"/>
  <c r="L738" i="3"/>
  <c r="N738" i="3" s="1"/>
  <c r="R738" i="3" s="1"/>
  <c r="L739" i="3"/>
  <c r="N739" i="3" s="1"/>
  <c r="R739" i="3" s="1"/>
  <c r="L740" i="3"/>
  <c r="N740" i="3" s="1"/>
  <c r="R740" i="3" s="1"/>
  <c r="L741" i="3"/>
  <c r="N741" i="3" s="1"/>
  <c r="R741" i="3" s="1"/>
  <c r="L742" i="3"/>
  <c r="N742" i="3" s="1"/>
  <c r="R742" i="3" s="1"/>
  <c r="L743" i="3"/>
  <c r="N743" i="3" s="1"/>
  <c r="R743" i="3" s="1"/>
  <c r="L744" i="3"/>
  <c r="N744" i="3" s="1"/>
  <c r="R744" i="3" s="1"/>
  <c r="L745" i="3"/>
  <c r="N745" i="3" s="1"/>
  <c r="R745" i="3" s="1"/>
  <c r="L746" i="3"/>
  <c r="N746" i="3" s="1"/>
  <c r="R746" i="3" s="1"/>
  <c r="L747" i="3"/>
  <c r="N747" i="3" s="1"/>
  <c r="R747" i="3" s="1"/>
  <c r="L748" i="3"/>
  <c r="N748" i="3" s="1"/>
  <c r="R748" i="3" s="1"/>
  <c r="L749" i="3"/>
  <c r="N749" i="3" s="1"/>
  <c r="R749" i="3" s="1"/>
  <c r="L750" i="3"/>
  <c r="N750" i="3" s="1"/>
  <c r="R750" i="3" s="1"/>
  <c r="L751" i="3"/>
  <c r="N751" i="3" s="1"/>
  <c r="R751" i="3" s="1"/>
  <c r="L752" i="3"/>
  <c r="N752" i="3" s="1"/>
  <c r="R752" i="3" s="1"/>
  <c r="L753" i="3"/>
  <c r="N753" i="3" s="1"/>
  <c r="R753" i="3" s="1"/>
  <c r="L754" i="3"/>
  <c r="N754" i="3" s="1"/>
  <c r="R754" i="3" s="1"/>
  <c r="L755" i="3"/>
  <c r="N755" i="3" s="1"/>
  <c r="R755" i="3" s="1"/>
  <c r="L756" i="3"/>
  <c r="N756" i="3" s="1"/>
  <c r="R756" i="3" s="1"/>
  <c r="L757" i="3"/>
  <c r="N757" i="3" s="1"/>
  <c r="R757" i="3" s="1"/>
  <c r="L758" i="3"/>
  <c r="N758" i="3" s="1"/>
  <c r="R758" i="3" s="1"/>
  <c r="L759" i="3"/>
  <c r="N759" i="3" s="1"/>
  <c r="R759" i="3" s="1"/>
  <c r="L760" i="3"/>
  <c r="N760" i="3" s="1"/>
  <c r="R760" i="3" s="1"/>
  <c r="L761" i="3"/>
  <c r="N761" i="3" s="1"/>
  <c r="R761" i="3" s="1"/>
  <c r="L762" i="3"/>
  <c r="N762" i="3" s="1"/>
  <c r="R762" i="3" s="1"/>
  <c r="L763" i="3"/>
  <c r="N763" i="3" s="1"/>
  <c r="R763" i="3" s="1"/>
  <c r="L764" i="3"/>
  <c r="N764" i="3" s="1"/>
  <c r="R764" i="3" s="1"/>
  <c r="L765" i="3"/>
  <c r="N765" i="3" s="1"/>
  <c r="R765" i="3" s="1"/>
  <c r="L766" i="3"/>
  <c r="N766" i="3" s="1"/>
  <c r="R766" i="3" s="1"/>
  <c r="L767" i="3"/>
  <c r="N767" i="3" s="1"/>
  <c r="R767" i="3" s="1"/>
  <c r="L768" i="3"/>
  <c r="N768" i="3" s="1"/>
  <c r="R768" i="3" s="1"/>
  <c r="L769" i="3"/>
  <c r="N769" i="3" s="1"/>
  <c r="R769" i="3" s="1"/>
  <c r="L770" i="3"/>
  <c r="N770" i="3" s="1"/>
  <c r="R770" i="3" s="1"/>
  <c r="L771" i="3"/>
  <c r="N771" i="3" s="1"/>
  <c r="R771" i="3" s="1"/>
  <c r="L772" i="3"/>
  <c r="N772" i="3" s="1"/>
  <c r="R772" i="3" s="1"/>
  <c r="L773" i="3"/>
  <c r="N773" i="3" s="1"/>
  <c r="R773" i="3" s="1"/>
  <c r="L774" i="3"/>
  <c r="N774" i="3" s="1"/>
  <c r="R774" i="3" s="1"/>
  <c r="L775" i="3"/>
  <c r="N775" i="3" s="1"/>
  <c r="R775" i="3" s="1"/>
  <c r="L776" i="3"/>
  <c r="N776" i="3" s="1"/>
  <c r="R776" i="3" s="1"/>
  <c r="L777" i="3"/>
  <c r="N777" i="3" s="1"/>
  <c r="R777" i="3" s="1"/>
  <c r="L778" i="3"/>
  <c r="N778" i="3" s="1"/>
  <c r="R778" i="3" s="1"/>
  <c r="L779" i="3"/>
  <c r="N779" i="3" s="1"/>
  <c r="R779" i="3" s="1"/>
  <c r="L780" i="3"/>
  <c r="N780" i="3" s="1"/>
  <c r="R780" i="3" s="1"/>
  <c r="L781" i="3"/>
  <c r="N781" i="3" s="1"/>
  <c r="R781" i="3" s="1"/>
  <c r="L782" i="3"/>
  <c r="N782" i="3" s="1"/>
  <c r="R782" i="3" s="1"/>
  <c r="L783" i="3"/>
  <c r="N783" i="3" s="1"/>
  <c r="R783" i="3" s="1"/>
  <c r="L784" i="3"/>
  <c r="N784" i="3" s="1"/>
  <c r="R784" i="3" s="1"/>
  <c r="L785" i="3"/>
  <c r="N785" i="3" s="1"/>
  <c r="R785" i="3" s="1"/>
  <c r="L786" i="3"/>
  <c r="N786" i="3" s="1"/>
  <c r="R786" i="3" s="1"/>
  <c r="L787" i="3"/>
  <c r="N787" i="3" s="1"/>
  <c r="R787" i="3" s="1"/>
  <c r="L788" i="3"/>
  <c r="N788" i="3" s="1"/>
  <c r="R788" i="3" s="1"/>
  <c r="L789" i="3"/>
  <c r="N789" i="3" s="1"/>
  <c r="R789" i="3" s="1"/>
  <c r="L790" i="3"/>
  <c r="N790" i="3" s="1"/>
  <c r="R790" i="3" s="1"/>
  <c r="L791" i="3"/>
  <c r="N791" i="3" s="1"/>
  <c r="R791" i="3" s="1"/>
  <c r="L792" i="3"/>
  <c r="N792" i="3" s="1"/>
  <c r="R792" i="3" s="1"/>
  <c r="L793" i="3"/>
  <c r="N793" i="3" s="1"/>
  <c r="R793" i="3" s="1"/>
  <c r="L794" i="3"/>
  <c r="N794" i="3" s="1"/>
  <c r="R794" i="3" s="1"/>
  <c r="L795" i="3"/>
  <c r="N795" i="3" s="1"/>
  <c r="R795" i="3" s="1"/>
  <c r="L796" i="3"/>
  <c r="N796" i="3" s="1"/>
  <c r="R796" i="3" s="1"/>
  <c r="L797" i="3"/>
  <c r="N797" i="3" s="1"/>
  <c r="R797" i="3" s="1"/>
  <c r="L798" i="3"/>
  <c r="N798" i="3" s="1"/>
  <c r="R798" i="3" s="1"/>
  <c r="L799" i="3"/>
  <c r="N799" i="3" s="1"/>
  <c r="R799" i="3" s="1"/>
  <c r="L800" i="3"/>
  <c r="N800" i="3" s="1"/>
  <c r="R800" i="3" s="1"/>
  <c r="L801" i="3"/>
  <c r="N801" i="3" s="1"/>
  <c r="R801" i="3" s="1"/>
  <c r="L802" i="3"/>
  <c r="N802" i="3" s="1"/>
  <c r="R802" i="3" s="1"/>
  <c r="L803" i="3"/>
  <c r="N803" i="3" s="1"/>
  <c r="R803" i="3" s="1"/>
  <c r="L804" i="3"/>
  <c r="N804" i="3" s="1"/>
  <c r="R804" i="3" s="1"/>
  <c r="L805" i="3"/>
  <c r="N805" i="3" s="1"/>
  <c r="R805" i="3" s="1"/>
  <c r="L806" i="3"/>
  <c r="N806" i="3" s="1"/>
  <c r="R806" i="3" s="1"/>
  <c r="L807" i="3"/>
  <c r="N807" i="3" s="1"/>
  <c r="R807" i="3" s="1"/>
  <c r="L808" i="3"/>
  <c r="N808" i="3" s="1"/>
  <c r="R808" i="3" s="1"/>
  <c r="L809" i="3"/>
  <c r="N809" i="3" s="1"/>
  <c r="R809" i="3" s="1"/>
  <c r="L810" i="3"/>
  <c r="N810" i="3" s="1"/>
  <c r="R810" i="3" s="1"/>
  <c r="L811" i="3"/>
  <c r="N811" i="3" s="1"/>
  <c r="R811" i="3" s="1"/>
  <c r="L812" i="3"/>
  <c r="N812" i="3" s="1"/>
  <c r="R812" i="3" s="1"/>
  <c r="L813" i="3"/>
  <c r="N813" i="3" s="1"/>
  <c r="R813" i="3" s="1"/>
  <c r="L814" i="3"/>
  <c r="N814" i="3" s="1"/>
  <c r="R814" i="3" s="1"/>
  <c r="L815" i="3"/>
  <c r="N815" i="3" s="1"/>
  <c r="R815" i="3" s="1"/>
  <c r="L816" i="3"/>
  <c r="N816" i="3" s="1"/>
  <c r="R816" i="3" s="1"/>
  <c r="L817" i="3"/>
  <c r="N817" i="3" s="1"/>
  <c r="R817" i="3" s="1"/>
  <c r="L818" i="3"/>
  <c r="N818" i="3" s="1"/>
  <c r="R818" i="3" s="1"/>
  <c r="L819" i="3"/>
  <c r="N819" i="3" s="1"/>
  <c r="R819" i="3" s="1"/>
  <c r="L820" i="3"/>
  <c r="N820" i="3" s="1"/>
  <c r="R820" i="3" s="1"/>
  <c r="L821" i="3"/>
  <c r="N821" i="3" s="1"/>
  <c r="R821" i="3" s="1"/>
  <c r="L822" i="3"/>
  <c r="N822" i="3" s="1"/>
  <c r="R822" i="3" s="1"/>
  <c r="L823" i="3"/>
  <c r="N823" i="3" s="1"/>
  <c r="R823" i="3" s="1"/>
  <c r="L824" i="3"/>
  <c r="N824" i="3" s="1"/>
  <c r="R824" i="3" s="1"/>
  <c r="L825" i="3"/>
  <c r="N825" i="3" s="1"/>
  <c r="R825" i="3" s="1"/>
  <c r="L826" i="3"/>
  <c r="N826" i="3" s="1"/>
  <c r="R826" i="3" s="1"/>
  <c r="L827" i="3"/>
  <c r="N827" i="3" s="1"/>
  <c r="R827" i="3" s="1"/>
  <c r="L828" i="3"/>
  <c r="N828" i="3" s="1"/>
  <c r="R828" i="3" s="1"/>
  <c r="L829" i="3"/>
  <c r="N829" i="3" s="1"/>
  <c r="R829" i="3" s="1"/>
  <c r="L830" i="3"/>
  <c r="N830" i="3" s="1"/>
  <c r="R830" i="3" s="1"/>
  <c r="L831" i="3"/>
  <c r="N831" i="3" s="1"/>
  <c r="R831" i="3" s="1"/>
  <c r="L832" i="3"/>
  <c r="N832" i="3" s="1"/>
  <c r="R832" i="3" s="1"/>
  <c r="L833" i="3"/>
  <c r="N833" i="3" s="1"/>
  <c r="R833" i="3" s="1"/>
  <c r="L834" i="3"/>
  <c r="N834" i="3" s="1"/>
  <c r="R834" i="3" s="1"/>
  <c r="L835" i="3"/>
  <c r="N835" i="3" s="1"/>
  <c r="R835" i="3" s="1"/>
  <c r="L836" i="3"/>
  <c r="N836" i="3" s="1"/>
  <c r="R836" i="3" s="1"/>
  <c r="L837" i="3"/>
  <c r="N837" i="3" s="1"/>
  <c r="R837" i="3" s="1"/>
  <c r="L838" i="3"/>
  <c r="N838" i="3" s="1"/>
  <c r="R838" i="3" s="1"/>
  <c r="L839" i="3"/>
  <c r="N839" i="3" s="1"/>
  <c r="R839" i="3" s="1"/>
  <c r="L840" i="3"/>
  <c r="N840" i="3" s="1"/>
  <c r="R840" i="3" s="1"/>
  <c r="L841" i="3"/>
  <c r="N841" i="3" s="1"/>
  <c r="R841" i="3" s="1"/>
  <c r="L842" i="3"/>
  <c r="N842" i="3" s="1"/>
  <c r="R842" i="3" s="1"/>
  <c r="L843" i="3"/>
  <c r="N843" i="3" s="1"/>
  <c r="R843" i="3" s="1"/>
  <c r="L844" i="3"/>
  <c r="N844" i="3" s="1"/>
  <c r="R844" i="3" s="1"/>
  <c r="L845" i="3"/>
  <c r="N845" i="3" s="1"/>
  <c r="R845" i="3" s="1"/>
  <c r="L846" i="3"/>
  <c r="N846" i="3" s="1"/>
  <c r="R846" i="3" s="1"/>
  <c r="L847" i="3"/>
  <c r="N847" i="3" s="1"/>
  <c r="R847" i="3" s="1"/>
  <c r="L848" i="3"/>
  <c r="N848" i="3" s="1"/>
  <c r="R848" i="3" s="1"/>
  <c r="L849" i="3"/>
  <c r="N849" i="3" s="1"/>
  <c r="R849" i="3" s="1"/>
  <c r="L850" i="3"/>
  <c r="N850" i="3" s="1"/>
  <c r="R850" i="3" s="1"/>
  <c r="L851" i="3"/>
  <c r="N851" i="3" s="1"/>
  <c r="R851" i="3" s="1"/>
  <c r="L852" i="3"/>
  <c r="N852" i="3" s="1"/>
  <c r="R852" i="3" s="1"/>
  <c r="L853" i="3"/>
  <c r="N853" i="3" s="1"/>
  <c r="R853" i="3" s="1"/>
  <c r="L854" i="3"/>
  <c r="N854" i="3" s="1"/>
  <c r="R854" i="3" s="1"/>
  <c r="L855" i="3"/>
  <c r="N855" i="3" s="1"/>
  <c r="R855" i="3" s="1"/>
  <c r="L856" i="3"/>
  <c r="N856" i="3" s="1"/>
  <c r="R856" i="3" s="1"/>
  <c r="L857" i="3"/>
  <c r="N857" i="3" s="1"/>
  <c r="R857" i="3" s="1"/>
  <c r="L858" i="3"/>
  <c r="N858" i="3" s="1"/>
  <c r="R858" i="3" s="1"/>
  <c r="L859" i="3"/>
  <c r="N859" i="3" s="1"/>
  <c r="R859" i="3" s="1"/>
  <c r="L860" i="3"/>
  <c r="N860" i="3" s="1"/>
  <c r="R860" i="3" s="1"/>
  <c r="L861" i="3"/>
  <c r="N861" i="3" s="1"/>
  <c r="R861" i="3" s="1"/>
  <c r="L862" i="3"/>
  <c r="N862" i="3" s="1"/>
  <c r="R862" i="3" s="1"/>
  <c r="L863" i="3"/>
  <c r="N863" i="3" s="1"/>
  <c r="R863" i="3" s="1"/>
  <c r="L864" i="3"/>
  <c r="N864" i="3" s="1"/>
  <c r="R864" i="3" s="1"/>
  <c r="L865" i="3"/>
  <c r="N865" i="3" s="1"/>
  <c r="R865" i="3" s="1"/>
  <c r="L866" i="3"/>
  <c r="N866" i="3" s="1"/>
  <c r="R866" i="3" s="1"/>
  <c r="L867" i="3"/>
  <c r="N867" i="3" s="1"/>
  <c r="R867" i="3" s="1"/>
  <c r="L868" i="3"/>
  <c r="N868" i="3" s="1"/>
  <c r="R868" i="3" s="1"/>
  <c r="L869" i="3"/>
  <c r="N869" i="3" s="1"/>
  <c r="R869" i="3" s="1"/>
  <c r="L870" i="3"/>
  <c r="N870" i="3" s="1"/>
  <c r="R870" i="3" s="1"/>
  <c r="L871" i="3"/>
  <c r="N871" i="3" s="1"/>
  <c r="R871" i="3" s="1"/>
  <c r="L872" i="3"/>
  <c r="N872" i="3" s="1"/>
  <c r="R872" i="3" s="1"/>
  <c r="L873" i="3"/>
  <c r="N873" i="3" s="1"/>
  <c r="R873" i="3" s="1"/>
  <c r="L874" i="3"/>
  <c r="N874" i="3" s="1"/>
  <c r="R874" i="3" s="1"/>
  <c r="L875" i="3"/>
  <c r="N875" i="3" s="1"/>
  <c r="R875" i="3" s="1"/>
  <c r="L876" i="3"/>
  <c r="N876" i="3" s="1"/>
  <c r="R876" i="3" s="1"/>
  <c r="L877" i="3"/>
  <c r="N877" i="3" s="1"/>
  <c r="R877" i="3" s="1"/>
  <c r="L878" i="3"/>
  <c r="N878" i="3" s="1"/>
  <c r="R878" i="3" s="1"/>
  <c r="L879" i="3"/>
  <c r="N879" i="3" s="1"/>
  <c r="R879" i="3" s="1"/>
  <c r="L880" i="3"/>
  <c r="N880" i="3" s="1"/>
  <c r="R880" i="3" s="1"/>
  <c r="L881" i="3"/>
  <c r="N881" i="3" s="1"/>
  <c r="R881" i="3" s="1"/>
  <c r="L882" i="3"/>
  <c r="N882" i="3" s="1"/>
  <c r="R882" i="3" s="1"/>
  <c r="L883" i="3"/>
  <c r="N883" i="3" s="1"/>
  <c r="R883" i="3" s="1"/>
  <c r="L884" i="3"/>
  <c r="N884" i="3" s="1"/>
  <c r="R884" i="3" s="1"/>
  <c r="L885" i="3"/>
  <c r="N885" i="3" s="1"/>
  <c r="R885" i="3" s="1"/>
  <c r="L886" i="3"/>
  <c r="N886" i="3" s="1"/>
  <c r="R886" i="3" s="1"/>
  <c r="L887" i="3"/>
  <c r="N887" i="3" s="1"/>
  <c r="R887" i="3" s="1"/>
  <c r="L888" i="3"/>
  <c r="N888" i="3" s="1"/>
  <c r="R888" i="3" s="1"/>
  <c r="L889" i="3"/>
  <c r="N889" i="3" s="1"/>
  <c r="R889" i="3" s="1"/>
  <c r="L890" i="3"/>
  <c r="N890" i="3" s="1"/>
  <c r="R890" i="3" s="1"/>
  <c r="L891" i="3"/>
  <c r="N891" i="3" s="1"/>
  <c r="R891" i="3" s="1"/>
  <c r="L892" i="3"/>
  <c r="N892" i="3" s="1"/>
  <c r="R892" i="3" s="1"/>
  <c r="L893" i="3"/>
  <c r="N893" i="3" s="1"/>
  <c r="R893" i="3" s="1"/>
  <c r="L894" i="3"/>
  <c r="N894" i="3" s="1"/>
  <c r="R894" i="3" s="1"/>
  <c r="L895" i="3"/>
  <c r="N895" i="3" s="1"/>
  <c r="R895" i="3" s="1"/>
  <c r="L896" i="3"/>
  <c r="N896" i="3" s="1"/>
  <c r="R896" i="3" s="1"/>
  <c r="L897" i="3"/>
  <c r="N897" i="3" s="1"/>
  <c r="R897" i="3" s="1"/>
  <c r="L898" i="3"/>
  <c r="N898" i="3" s="1"/>
  <c r="R898" i="3" s="1"/>
  <c r="L899" i="3"/>
  <c r="N899" i="3" s="1"/>
  <c r="R899" i="3" s="1"/>
  <c r="L900" i="3"/>
  <c r="N900" i="3" s="1"/>
  <c r="R900" i="3" s="1"/>
  <c r="L901" i="3"/>
  <c r="N901" i="3" s="1"/>
  <c r="R901" i="3" s="1"/>
  <c r="L902" i="3"/>
  <c r="N902" i="3" s="1"/>
  <c r="R902" i="3" s="1"/>
  <c r="L903" i="3"/>
  <c r="N903" i="3" s="1"/>
  <c r="R903" i="3" s="1"/>
  <c r="L904" i="3"/>
  <c r="N904" i="3" s="1"/>
  <c r="R904" i="3" s="1"/>
  <c r="L905" i="3"/>
  <c r="N905" i="3" s="1"/>
  <c r="R905" i="3" s="1"/>
  <c r="L906" i="3"/>
  <c r="N906" i="3" s="1"/>
  <c r="R906" i="3" s="1"/>
  <c r="L907" i="3"/>
  <c r="N907" i="3" s="1"/>
  <c r="R907" i="3" s="1"/>
  <c r="L908" i="3"/>
  <c r="N908" i="3" s="1"/>
  <c r="R908" i="3" s="1"/>
  <c r="L909" i="3"/>
  <c r="N909" i="3" s="1"/>
  <c r="R909" i="3" s="1"/>
  <c r="L910" i="3"/>
  <c r="N910" i="3" s="1"/>
  <c r="R910" i="3" s="1"/>
  <c r="L911" i="3"/>
  <c r="N911" i="3" s="1"/>
  <c r="R911" i="3" s="1"/>
  <c r="L912" i="3"/>
  <c r="N912" i="3" s="1"/>
  <c r="R912" i="3" s="1"/>
  <c r="L913" i="3"/>
  <c r="N913" i="3" s="1"/>
  <c r="R913" i="3" s="1"/>
  <c r="L914" i="3"/>
  <c r="N914" i="3" s="1"/>
  <c r="R914" i="3" s="1"/>
  <c r="L915" i="3"/>
  <c r="N915" i="3" s="1"/>
  <c r="R915" i="3" s="1"/>
  <c r="L916" i="3"/>
  <c r="N916" i="3" s="1"/>
  <c r="R916" i="3" s="1"/>
  <c r="L917" i="3"/>
  <c r="N917" i="3" s="1"/>
  <c r="R917" i="3" s="1"/>
  <c r="L918" i="3"/>
  <c r="N918" i="3" s="1"/>
  <c r="R918" i="3" s="1"/>
  <c r="L919" i="3"/>
  <c r="N919" i="3" s="1"/>
  <c r="R919" i="3" s="1"/>
  <c r="L920" i="3"/>
  <c r="N920" i="3" s="1"/>
  <c r="R920" i="3" s="1"/>
  <c r="L921" i="3"/>
  <c r="N921" i="3" s="1"/>
  <c r="R921" i="3" s="1"/>
  <c r="L922" i="3"/>
  <c r="N922" i="3" s="1"/>
  <c r="R922" i="3" s="1"/>
  <c r="L923" i="3"/>
  <c r="N923" i="3" s="1"/>
  <c r="R923" i="3" s="1"/>
  <c r="L924" i="3"/>
  <c r="N924" i="3" s="1"/>
  <c r="R924" i="3" s="1"/>
  <c r="L925" i="3"/>
  <c r="N925" i="3" s="1"/>
  <c r="R925" i="3" s="1"/>
  <c r="L926" i="3"/>
  <c r="N926" i="3" s="1"/>
  <c r="R926" i="3" s="1"/>
  <c r="L927" i="3"/>
  <c r="N927" i="3" s="1"/>
  <c r="R927" i="3" s="1"/>
  <c r="L928" i="3"/>
  <c r="N928" i="3" s="1"/>
  <c r="R928" i="3" s="1"/>
  <c r="L929" i="3"/>
  <c r="N929" i="3" s="1"/>
  <c r="R929" i="3" s="1"/>
  <c r="L930" i="3"/>
  <c r="N930" i="3" s="1"/>
  <c r="R930" i="3" s="1"/>
  <c r="L931" i="3"/>
  <c r="N931" i="3" s="1"/>
  <c r="R931" i="3" s="1"/>
  <c r="L932" i="3"/>
  <c r="N932" i="3" s="1"/>
  <c r="R932" i="3" s="1"/>
  <c r="L933" i="3"/>
  <c r="N933" i="3" s="1"/>
  <c r="R933" i="3" s="1"/>
  <c r="L934" i="3"/>
  <c r="N934" i="3" s="1"/>
  <c r="R934" i="3" s="1"/>
  <c r="L935" i="3"/>
  <c r="N935" i="3" s="1"/>
  <c r="R935" i="3" s="1"/>
  <c r="L936" i="3"/>
  <c r="N936" i="3" s="1"/>
  <c r="R936" i="3" s="1"/>
  <c r="L937" i="3"/>
  <c r="N937" i="3" s="1"/>
  <c r="R937" i="3" s="1"/>
  <c r="L938" i="3"/>
  <c r="N938" i="3" s="1"/>
  <c r="R938" i="3" s="1"/>
  <c r="L939" i="3"/>
  <c r="N939" i="3" s="1"/>
  <c r="R939" i="3" s="1"/>
  <c r="L940" i="3"/>
  <c r="N940" i="3" s="1"/>
  <c r="R940" i="3" s="1"/>
  <c r="L941" i="3"/>
  <c r="N941" i="3" s="1"/>
  <c r="R941" i="3" s="1"/>
  <c r="L942" i="3"/>
  <c r="N942" i="3" s="1"/>
  <c r="R942" i="3" s="1"/>
  <c r="L943" i="3"/>
  <c r="N943" i="3" s="1"/>
  <c r="R943" i="3" s="1"/>
  <c r="L944" i="3"/>
  <c r="N944" i="3" s="1"/>
  <c r="R944" i="3" s="1"/>
  <c r="L945" i="3"/>
  <c r="N945" i="3" s="1"/>
  <c r="R945" i="3" s="1"/>
  <c r="L946" i="3"/>
  <c r="N946" i="3" s="1"/>
  <c r="R946" i="3" s="1"/>
  <c r="L947" i="3"/>
  <c r="N947" i="3" s="1"/>
  <c r="R947" i="3" s="1"/>
  <c r="L948" i="3"/>
  <c r="N948" i="3" s="1"/>
  <c r="R948" i="3" s="1"/>
  <c r="L949" i="3"/>
  <c r="N949" i="3" s="1"/>
  <c r="R949" i="3" s="1"/>
  <c r="L950" i="3"/>
  <c r="N950" i="3" s="1"/>
  <c r="R950" i="3" s="1"/>
  <c r="L951" i="3"/>
  <c r="N951" i="3" s="1"/>
  <c r="R951" i="3" s="1"/>
  <c r="L952" i="3"/>
  <c r="N952" i="3" s="1"/>
  <c r="R952" i="3" s="1"/>
  <c r="L953" i="3"/>
  <c r="N953" i="3" s="1"/>
  <c r="R953" i="3" s="1"/>
  <c r="L954" i="3"/>
  <c r="N954" i="3" s="1"/>
  <c r="R954" i="3" s="1"/>
  <c r="L955" i="3"/>
  <c r="N955" i="3" s="1"/>
  <c r="R955" i="3" s="1"/>
  <c r="L956" i="3"/>
  <c r="N956" i="3" s="1"/>
  <c r="R956" i="3" s="1"/>
  <c r="L957" i="3"/>
  <c r="N957" i="3" s="1"/>
  <c r="R957" i="3" s="1"/>
  <c r="L958" i="3"/>
  <c r="N958" i="3" s="1"/>
  <c r="R958" i="3" s="1"/>
  <c r="L959" i="3"/>
  <c r="N959" i="3" s="1"/>
  <c r="R959" i="3" s="1"/>
  <c r="L960" i="3"/>
  <c r="N960" i="3" s="1"/>
  <c r="R960" i="3" s="1"/>
  <c r="L961" i="3"/>
  <c r="N961" i="3" s="1"/>
  <c r="R961" i="3" s="1"/>
  <c r="L962" i="3"/>
  <c r="N962" i="3" s="1"/>
  <c r="R962" i="3" s="1"/>
  <c r="L963" i="3"/>
  <c r="N963" i="3" s="1"/>
  <c r="R963" i="3" s="1"/>
  <c r="L964" i="3"/>
  <c r="N964" i="3" s="1"/>
  <c r="R964" i="3" s="1"/>
  <c r="L965" i="3"/>
  <c r="N965" i="3" s="1"/>
  <c r="R965" i="3" s="1"/>
  <c r="L966" i="3"/>
  <c r="N966" i="3" s="1"/>
  <c r="R966" i="3" s="1"/>
  <c r="L967" i="3"/>
  <c r="N967" i="3" s="1"/>
  <c r="R967" i="3" s="1"/>
  <c r="L968" i="3"/>
  <c r="N968" i="3" s="1"/>
  <c r="R968" i="3" s="1"/>
  <c r="L969" i="3"/>
  <c r="N969" i="3" s="1"/>
  <c r="R969" i="3" s="1"/>
  <c r="L970" i="3"/>
  <c r="N970" i="3" s="1"/>
  <c r="R970" i="3" s="1"/>
  <c r="L971" i="3"/>
  <c r="N971" i="3" s="1"/>
  <c r="R971" i="3" s="1"/>
  <c r="L972" i="3"/>
  <c r="N972" i="3" s="1"/>
  <c r="R972" i="3" s="1"/>
  <c r="L973" i="3"/>
  <c r="N973" i="3" s="1"/>
  <c r="R973" i="3" s="1"/>
  <c r="L974" i="3"/>
  <c r="N974" i="3" s="1"/>
  <c r="R974" i="3" s="1"/>
  <c r="L975" i="3"/>
  <c r="N975" i="3" s="1"/>
  <c r="R975" i="3" s="1"/>
  <c r="L976" i="3"/>
  <c r="N976" i="3" s="1"/>
  <c r="R976" i="3" s="1"/>
  <c r="L977" i="3"/>
  <c r="N977" i="3" s="1"/>
  <c r="R977" i="3" s="1"/>
  <c r="L978" i="3"/>
  <c r="N978" i="3" s="1"/>
  <c r="R978" i="3" s="1"/>
  <c r="L979" i="3"/>
  <c r="N979" i="3" s="1"/>
  <c r="R979" i="3" s="1"/>
  <c r="L980" i="3"/>
  <c r="N980" i="3" s="1"/>
  <c r="R980" i="3" s="1"/>
  <c r="L981" i="3"/>
  <c r="N981" i="3" s="1"/>
  <c r="R981" i="3" s="1"/>
  <c r="L982" i="3"/>
  <c r="N982" i="3" s="1"/>
  <c r="R982" i="3" s="1"/>
  <c r="L983" i="3"/>
  <c r="N983" i="3" s="1"/>
  <c r="R983" i="3" s="1"/>
  <c r="L984" i="3"/>
  <c r="N984" i="3" s="1"/>
  <c r="R984" i="3" s="1"/>
  <c r="L985" i="3"/>
  <c r="N985" i="3" s="1"/>
  <c r="R985" i="3" s="1"/>
  <c r="L986" i="3"/>
  <c r="N986" i="3" s="1"/>
  <c r="R986" i="3" s="1"/>
  <c r="L987" i="3"/>
  <c r="N987" i="3" s="1"/>
  <c r="R987" i="3" s="1"/>
  <c r="L988" i="3"/>
  <c r="N988" i="3" s="1"/>
  <c r="R988" i="3" s="1"/>
  <c r="L989" i="3"/>
  <c r="N989" i="3" s="1"/>
  <c r="R989" i="3" s="1"/>
  <c r="L990" i="3"/>
  <c r="N990" i="3" s="1"/>
  <c r="R990" i="3" s="1"/>
  <c r="L991" i="3"/>
  <c r="N991" i="3" s="1"/>
  <c r="R991" i="3" s="1"/>
  <c r="L992" i="3"/>
  <c r="N992" i="3" s="1"/>
  <c r="R992" i="3" s="1"/>
  <c r="L993" i="3"/>
  <c r="N993" i="3" s="1"/>
  <c r="R993" i="3" s="1"/>
  <c r="L994" i="3"/>
  <c r="N994" i="3" s="1"/>
  <c r="R994" i="3" s="1"/>
  <c r="L995" i="3"/>
  <c r="N995" i="3" s="1"/>
  <c r="R995" i="3" s="1"/>
  <c r="L996" i="3"/>
  <c r="N996" i="3" s="1"/>
  <c r="R996" i="3" s="1"/>
  <c r="L997" i="3"/>
  <c r="N997" i="3" s="1"/>
  <c r="R997" i="3" s="1"/>
  <c r="L998" i="3"/>
  <c r="N998" i="3" s="1"/>
  <c r="R998" i="3" s="1"/>
  <c r="L999" i="3"/>
  <c r="N999" i="3" s="1"/>
  <c r="R999" i="3" s="1"/>
  <c r="L1000" i="3"/>
  <c r="N1000" i="3" s="1"/>
  <c r="R1000" i="3" s="1"/>
  <c r="L1001" i="3"/>
  <c r="N1001" i="3" s="1"/>
  <c r="R1001" i="3" s="1"/>
  <c r="N397" i="8" l="1"/>
  <c r="R397" i="8" s="1"/>
  <c r="N413" i="8"/>
  <c r="R413" i="8" s="1"/>
  <c r="N525" i="8"/>
  <c r="R525" i="8" s="1"/>
  <c r="N541" i="8"/>
  <c r="R541" i="8" s="1"/>
  <c r="N577" i="8"/>
  <c r="R577" i="8" s="1"/>
  <c r="N641" i="8"/>
  <c r="R641" i="8" s="1"/>
  <c r="N657" i="8"/>
  <c r="R657" i="8" s="1"/>
  <c r="N733" i="8"/>
  <c r="R733" i="8" s="1"/>
  <c r="N779" i="8"/>
  <c r="R779" i="8" s="1"/>
  <c r="N930" i="8"/>
  <c r="R930" i="8" s="1"/>
  <c r="N934" i="8"/>
  <c r="R934" i="8" s="1"/>
  <c r="N946" i="8"/>
  <c r="R946" i="8" s="1"/>
  <c r="N950" i="8"/>
  <c r="R950" i="8" s="1"/>
  <c r="N978" i="8"/>
  <c r="R978" i="8" s="1"/>
  <c r="N982" i="8"/>
  <c r="R982" i="8" s="1"/>
  <c r="N994" i="8"/>
  <c r="R994" i="8" s="1"/>
  <c r="N22" i="8"/>
  <c r="R22" i="8" s="1"/>
  <c r="N30" i="8"/>
  <c r="R30" i="8" s="1"/>
  <c r="N88" i="8"/>
  <c r="R88" i="8" s="1"/>
  <c r="N132" i="8"/>
  <c r="R132" i="8" s="1"/>
  <c r="N144" i="8"/>
  <c r="R144" i="8" s="1"/>
  <c r="N246" i="8"/>
  <c r="R246" i="8" s="1"/>
  <c r="N258" i="8"/>
  <c r="R258" i="8" s="1"/>
  <c r="N434" i="8"/>
  <c r="R434" i="8" s="1"/>
  <c r="N458" i="8"/>
  <c r="R458" i="8" s="1"/>
  <c r="N460" i="8"/>
  <c r="R460" i="8" s="1"/>
  <c r="N462" i="8"/>
  <c r="R462" i="8" s="1"/>
  <c r="N466" i="8"/>
  <c r="R466" i="8" s="1"/>
  <c r="N474" i="8"/>
  <c r="R474" i="8" s="1"/>
  <c r="N476" i="8"/>
  <c r="R476" i="8" s="1"/>
  <c r="N478" i="8"/>
  <c r="R478" i="8" s="1"/>
  <c r="N482" i="8"/>
  <c r="R482" i="8" s="1"/>
  <c r="N498" i="8"/>
  <c r="R498" i="8" s="1"/>
  <c r="N590" i="8"/>
  <c r="R590" i="8" s="1"/>
  <c r="N594" i="8"/>
  <c r="R594" i="8" s="1"/>
  <c r="N602" i="8"/>
  <c r="R602" i="8" s="1"/>
  <c r="N658" i="8"/>
  <c r="R658" i="8" s="1"/>
  <c r="N666" i="8"/>
  <c r="R666" i="8" s="1"/>
  <c r="N674" i="8"/>
  <c r="R674" i="8" s="1"/>
  <c r="N676" i="8"/>
  <c r="R676" i="8" s="1"/>
  <c r="N678" i="8"/>
  <c r="R678" i="8" s="1"/>
  <c r="N718" i="8"/>
  <c r="R718" i="8" s="1"/>
  <c r="N720" i="8"/>
  <c r="R720" i="8" s="1"/>
  <c r="N782" i="8"/>
  <c r="R782" i="8" s="1"/>
  <c r="N784" i="8"/>
  <c r="R784" i="8" s="1"/>
  <c r="N797" i="8"/>
  <c r="R797" i="8" s="1"/>
  <c r="N833" i="8"/>
  <c r="R833" i="8" s="1"/>
  <c r="N861" i="8"/>
  <c r="R861" i="8" s="1"/>
  <c r="N977" i="8"/>
  <c r="R977" i="8" s="1"/>
  <c r="N15" i="8"/>
  <c r="R15" i="8" s="1"/>
  <c r="N19" i="8"/>
  <c r="R19" i="8" s="1"/>
  <c r="N21" i="8"/>
  <c r="R21" i="8" s="1"/>
  <c r="N23" i="8"/>
  <c r="R23" i="8" s="1"/>
  <c r="N25" i="8"/>
  <c r="R25" i="8" s="1"/>
  <c r="N27" i="8"/>
  <c r="R27" i="8" s="1"/>
  <c r="N33" i="8"/>
  <c r="R33" i="8" s="1"/>
  <c r="N35" i="8"/>
  <c r="R35" i="8" s="1"/>
  <c r="N41" i="8"/>
  <c r="R41" i="8" s="1"/>
  <c r="N43" i="8"/>
  <c r="R43" i="8" s="1"/>
  <c r="N47" i="8"/>
  <c r="R47" i="8" s="1"/>
  <c r="N97" i="8"/>
  <c r="R97" i="8" s="1"/>
  <c r="N101" i="8"/>
  <c r="R101" i="8" s="1"/>
  <c r="N117" i="8"/>
  <c r="R117" i="8" s="1"/>
  <c r="N125" i="8"/>
  <c r="R125" i="8" s="1"/>
  <c r="N197" i="8"/>
  <c r="R197" i="8" s="1"/>
  <c r="N205" i="8"/>
  <c r="R205" i="8" s="1"/>
  <c r="N213" i="8"/>
  <c r="R213" i="8" s="1"/>
  <c r="N221" i="8"/>
  <c r="R221" i="8" s="1"/>
  <c r="N239" i="8"/>
  <c r="R239" i="8" s="1"/>
  <c r="N307" i="8"/>
  <c r="R307" i="8" s="1"/>
  <c r="N311" i="8"/>
  <c r="R311" i="8" s="1"/>
  <c r="N319" i="8"/>
  <c r="R319" i="8" s="1"/>
  <c r="N323" i="8"/>
  <c r="R323" i="8" s="1"/>
  <c r="N327" i="8"/>
  <c r="R327" i="8" s="1"/>
  <c r="N335" i="8"/>
  <c r="R335" i="8" s="1"/>
  <c r="N339" i="8"/>
  <c r="R339" i="8" s="1"/>
  <c r="N343" i="8"/>
  <c r="R343" i="8" s="1"/>
  <c r="N351" i="8"/>
  <c r="R351" i="8" s="1"/>
  <c r="N371" i="8"/>
  <c r="R371" i="8" s="1"/>
  <c r="N375" i="8"/>
  <c r="R375" i="8" s="1"/>
  <c r="N383" i="8"/>
  <c r="R383" i="8" s="1"/>
  <c r="N840" i="8"/>
  <c r="R840" i="8" s="1"/>
  <c r="N846" i="8"/>
  <c r="R846" i="8" s="1"/>
  <c r="N904" i="8"/>
  <c r="R904" i="8" s="1"/>
  <c r="N910" i="8"/>
  <c r="R910" i="8" s="1"/>
  <c r="N11" i="8"/>
  <c r="R11" i="8" s="1"/>
  <c r="N65" i="8"/>
  <c r="R65" i="8" s="1"/>
  <c r="N67" i="8"/>
  <c r="R67" i="8" s="1"/>
  <c r="N77" i="8"/>
  <c r="R77" i="8" s="1"/>
  <c r="N12" i="8"/>
  <c r="R12" i="8" s="1"/>
  <c r="N44" i="8"/>
  <c r="R44" i="8" s="1"/>
  <c r="N86" i="8"/>
  <c r="R86" i="8" s="1"/>
  <c r="N129" i="8"/>
  <c r="R129" i="8" s="1"/>
  <c r="N133" i="8"/>
  <c r="R133" i="8" s="1"/>
  <c r="N141" i="8"/>
  <c r="R141" i="8" s="1"/>
  <c r="N145" i="8"/>
  <c r="R145" i="8" s="1"/>
  <c r="N149" i="8"/>
  <c r="R149" i="8" s="1"/>
  <c r="N157" i="8"/>
  <c r="R157" i="8" s="1"/>
  <c r="N181" i="8"/>
  <c r="R181" i="8" s="1"/>
  <c r="N189" i="8"/>
  <c r="R189" i="8" s="1"/>
  <c r="N196" i="8"/>
  <c r="R196" i="8" s="1"/>
  <c r="N206" i="8"/>
  <c r="R206" i="8" s="1"/>
  <c r="N266" i="8"/>
  <c r="R266" i="8" s="1"/>
  <c r="N268" i="8"/>
  <c r="R268" i="8" s="1"/>
  <c r="N270" i="8"/>
  <c r="R270" i="8" s="1"/>
  <c r="N274" i="8"/>
  <c r="R274" i="8" s="1"/>
  <c r="N282" i="8"/>
  <c r="R282" i="8" s="1"/>
  <c r="N284" i="8"/>
  <c r="R284" i="8" s="1"/>
  <c r="N286" i="8"/>
  <c r="R286" i="8" s="1"/>
  <c r="N290" i="8"/>
  <c r="R290" i="8" s="1"/>
  <c r="N298" i="8"/>
  <c r="R298" i="8" s="1"/>
  <c r="N300" i="8"/>
  <c r="R300" i="8" s="1"/>
  <c r="N302" i="8"/>
  <c r="R302" i="8" s="1"/>
  <c r="N365" i="8"/>
  <c r="R365" i="8" s="1"/>
  <c r="N419" i="8"/>
  <c r="R419" i="8" s="1"/>
  <c r="N423" i="8"/>
  <c r="R423" i="8" s="1"/>
  <c r="N431" i="8"/>
  <c r="R431" i="8" s="1"/>
  <c r="N438" i="8"/>
  <c r="R438" i="8" s="1"/>
  <c r="N450" i="8"/>
  <c r="R450" i="8" s="1"/>
  <c r="N486" i="8"/>
  <c r="R486" i="8" s="1"/>
  <c r="N522" i="8"/>
  <c r="R522" i="8" s="1"/>
  <c r="N524" i="8"/>
  <c r="R524" i="8" s="1"/>
  <c r="N526" i="8"/>
  <c r="R526" i="8" s="1"/>
  <c r="N530" i="8"/>
  <c r="R530" i="8" s="1"/>
  <c r="N538" i="8"/>
  <c r="R538" i="8" s="1"/>
  <c r="N574" i="8"/>
  <c r="R574" i="8" s="1"/>
  <c r="N578" i="8"/>
  <c r="R578" i="8" s="1"/>
  <c r="N586" i="8"/>
  <c r="R586" i="8" s="1"/>
  <c r="N593" i="8"/>
  <c r="R593" i="8" s="1"/>
  <c r="N605" i="8"/>
  <c r="R605" i="8" s="1"/>
  <c r="N717" i="8"/>
  <c r="R717" i="8" s="1"/>
  <c r="N747" i="8"/>
  <c r="R747" i="8" s="1"/>
  <c r="N751" i="8"/>
  <c r="R751" i="8" s="1"/>
  <c r="N753" i="8"/>
  <c r="R753" i="8" s="1"/>
  <c r="N759" i="8"/>
  <c r="R759" i="8" s="1"/>
  <c r="N761" i="8"/>
  <c r="R761" i="8" s="1"/>
  <c r="N763" i="8"/>
  <c r="R763" i="8" s="1"/>
  <c r="N767" i="8"/>
  <c r="R767" i="8" s="1"/>
  <c r="N769" i="8"/>
  <c r="R769" i="8" s="1"/>
  <c r="N775" i="8"/>
  <c r="R775" i="8" s="1"/>
  <c r="N792" i="8"/>
  <c r="R792" i="8" s="1"/>
  <c r="N798" i="8"/>
  <c r="R798" i="8" s="1"/>
  <c r="N845" i="8"/>
  <c r="R845" i="8" s="1"/>
  <c r="N865" i="8"/>
  <c r="R865" i="8" s="1"/>
  <c r="N871" i="8"/>
  <c r="R871" i="8" s="1"/>
  <c r="N875" i="8"/>
  <c r="R875" i="8" s="1"/>
  <c r="N879" i="8"/>
  <c r="R879" i="8" s="1"/>
  <c r="N881" i="8"/>
  <c r="R881" i="8" s="1"/>
  <c r="N887" i="8"/>
  <c r="R887" i="8" s="1"/>
  <c r="N891" i="8"/>
  <c r="R891" i="8" s="1"/>
  <c r="N895" i="8"/>
  <c r="R895" i="8" s="1"/>
  <c r="N920" i="8"/>
  <c r="R920" i="8" s="1"/>
  <c r="N973" i="8"/>
  <c r="R973" i="8" s="1"/>
  <c r="N991" i="8"/>
  <c r="R991" i="8" s="1"/>
  <c r="N995" i="8"/>
  <c r="R995" i="8" s="1"/>
  <c r="N997" i="8"/>
  <c r="R997" i="8" s="1"/>
  <c r="N85" i="8"/>
  <c r="R85" i="8" s="1"/>
  <c r="N100" i="8"/>
  <c r="R100" i="8" s="1"/>
  <c r="N150" i="8"/>
  <c r="R150" i="8" s="1"/>
  <c r="N152" i="8"/>
  <c r="R152" i="8" s="1"/>
  <c r="N156" i="8"/>
  <c r="R156" i="8" s="1"/>
  <c r="N158" i="8"/>
  <c r="R158" i="8" s="1"/>
  <c r="N166" i="8"/>
  <c r="R166" i="8" s="1"/>
  <c r="N168" i="8"/>
  <c r="R168" i="8" s="1"/>
  <c r="N172" i="8"/>
  <c r="R172" i="8" s="1"/>
  <c r="N174" i="8"/>
  <c r="R174" i="8" s="1"/>
  <c r="N182" i="8"/>
  <c r="R182" i="8" s="1"/>
  <c r="N184" i="8"/>
  <c r="R184" i="8" s="1"/>
  <c r="N188" i="8"/>
  <c r="R188" i="8" s="1"/>
  <c r="N233" i="8"/>
  <c r="R233" i="8" s="1"/>
  <c r="N243" i="8"/>
  <c r="R243" i="8" s="1"/>
  <c r="N247" i="8"/>
  <c r="R247" i="8" s="1"/>
  <c r="N255" i="8"/>
  <c r="R255" i="8" s="1"/>
  <c r="N259" i="8"/>
  <c r="R259" i="8" s="1"/>
  <c r="N263" i="8"/>
  <c r="R263" i="8" s="1"/>
  <c r="N271" i="8"/>
  <c r="R271" i="8" s="1"/>
  <c r="N291" i="8"/>
  <c r="R291" i="8" s="1"/>
  <c r="N295" i="8"/>
  <c r="R295" i="8" s="1"/>
  <c r="N303" i="8"/>
  <c r="R303" i="8" s="1"/>
  <c r="N310" i="8"/>
  <c r="R310" i="8" s="1"/>
  <c r="N322" i="8"/>
  <c r="R322" i="8" s="1"/>
  <c r="N358" i="8"/>
  <c r="R358" i="8" s="1"/>
  <c r="N370" i="8"/>
  <c r="R370" i="8" s="1"/>
  <c r="N410" i="8"/>
  <c r="R410" i="8" s="1"/>
  <c r="N412" i="8"/>
  <c r="R412" i="8" s="1"/>
  <c r="N414" i="8"/>
  <c r="R414" i="8" s="1"/>
  <c r="N418" i="8"/>
  <c r="R418" i="8" s="1"/>
  <c r="N461" i="8"/>
  <c r="R461" i="8" s="1"/>
  <c r="N477" i="8"/>
  <c r="R477" i="8" s="1"/>
  <c r="N499" i="8"/>
  <c r="R499" i="8" s="1"/>
  <c r="N503" i="8"/>
  <c r="R503" i="8" s="1"/>
  <c r="N511" i="8"/>
  <c r="R511" i="8" s="1"/>
  <c r="N545" i="8"/>
  <c r="R545" i="8" s="1"/>
  <c r="N547" i="8"/>
  <c r="R547" i="8" s="1"/>
  <c r="N549" i="8"/>
  <c r="R549" i="8" s="1"/>
  <c r="N551" i="8"/>
  <c r="R551" i="8" s="1"/>
  <c r="N553" i="8"/>
  <c r="R553" i="8" s="1"/>
  <c r="N555" i="8"/>
  <c r="R555" i="8" s="1"/>
  <c r="N557" i="8"/>
  <c r="R557" i="8" s="1"/>
  <c r="N561" i="8"/>
  <c r="R561" i="8" s="1"/>
  <c r="N563" i="8"/>
  <c r="R563" i="8" s="1"/>
  <c r="N565" i="8"/>
  <c r="R565" i="8" s="1"/>
  <c r="N567" i="8"/>
  <c r="R567" i="8" s="1"/>
  <c r="N569" i="8"/>
  <c r="R569" i="8" s="1"/>
  <c r="N571" i="8"/>
  <c r="R571" i="8" s="1"/>
  <c r="N573" i="8"/>
  <c r="R573" i="8" s="1"/>
  <c r="N616" i="8"/>
  <c r="R616" i="8" s="1"/>
  <c r="N632" i="8"/>
  <c r="R632" i="8" s="1"/>
  <c r="N638" i="8"/>
  <c r="R638" i="8" s="1"/>
  <c r="N642" i="8"/>
  <c r="R642" i="8" s="1"/>
  <c r="N654" i="8"/>
  <c r="R654" i="8" s="1"/>
  <c r="N661" i="8"/>
  <c r="R661" i="8" s="1"/>
  <c r="N683" i="8"/>
  <c r="R683" i="8" s="1"/>
  <c r="N685" i="8"/>
  <c r="R685" i="8" s="1"/>
  <c r="N699" i="8"/>
  <c r="R699" i="8" s="1"/>
  <c r="N701" i="8"/>
  <c r="R701" i="8" s="1"/>
  <c r="N705" i="8"/>
  <c r="R705" i="8" s="1"/>
  <c r="N711" i="8"/>
  <c r="R711" i="8" s="1"/>
  <c r="N728" i="8"/>
  <c r="R728" i="8" s="1"/>
  <c r="N744" i="8"/>
  <c r="R744" i="8" s="1"/>
  <c r="N781" i="8"/>
  <c r="R781" i="8" s="1"/>
  <c r="N807" i="8"/>
  <c r="R807" i="8" s="1"/>
  <c r="N811" i="8"/>
  <c r="R811" i="8" s="1"/>
  <c r="N815" i="8"/>
  <c r="R815" i="8" s="1"/>
  <c r="N817" i="8"/>
  <c r="R817" i="8" s="1"/>
  <c r="N823" i="8"/>
  <c r="R823" i="8" s="1"/>
  <c r="N825" i="8"/>
  <c r="R825" i="8" s="1"/>
  <c r="N827" i="8"/>
  <c r="R827" i="8" s="1"/>
  <c r="N831" i="8"/>
  <c r="R831" i="8" s="1"/>
  <c r="N856" i="8"/>
  <c r="R856" i="8" s="1"/>
  <c r="N862" i="8"/>
  <c r="R862" i="8" s="1"/>
  <c r="N909" i="8"/>
  <c r="R909" i="8" s="1"/>
  <c r="N935" i="8"/>
  <c r="R935" i="8" s="1"/>
  <c r="N939" i="8"/>
  <c r="R939" i="8" s="1"/>
  <c r="N943" i="8"/>
  <c r="R943" i="8" s="1"/>
  <c r="N945" i="8"/>
  <c r="R945" i="8" s="1"/>
  <c r="N42" i="8"/>
  <c r="R42" i="8" s="1"/>
  <c r="N83" i="8"/>
  <c r="R83" i="8" s="1"/>
  <c r="N262" i="8"/>
  <c r="R262" i="8" s="1"/>
  <c r="N301" i="8"/>
  <c r="R301" i="8" s="1"/>
  <c r="N326" i="8"/>
  <c r="R326" i="8" s="1"/>
  <c r="N148" i="8"/>
  <c r="R148" i="8" s="1"/>
  <c r="N187" i="8"/>
  <c r="R187" i="8" s="1"/>
  <c r="N212" i="8"/>
  <c r="R212" i="8" s="1"/>
  <c r="N164" i="8"/>
  <c r="R164" i="8" s="1"/>
  <c r="N253" i="8"/>
  <c r="R253" i="8" s="1"/>
  <c r="N278" i="8"/>
  <c r="R278" i="8" s="1"/>
  <c r="N317" i="8"/>
  <c r="R317" i="8" s="1"/>
  <c r="N38" i="8"/>
  <c r="R38" i="8" s="1"/>
  <c r="N63" i="8"/>
  <c r="R63" i="8" s="1"/>
  <c r="N75" i="8"/>
  <c r="R75" i="8" s="1"/>
  <c r="N123" i="8"/>
  <c r="R123" i="8" s="1"/>
  <c r="N237" i="8"/>
  <c r="R237" i="8" s="1"/>
  <c r="N6" i="8"/>
  <c r="R6" i="8" s="1"/>
  <c r="N10" i="8"/>
  <c r="R10" i="8" s="1"/>
  <c r="N31" i="8"/>
  <c r="R31" i="8" s="1"/>
  <c r="N54" i="8"/>
  <c r="R54" i="8" s="1"/>
  <c r="N91" i="8"/>
  <c r="R91" i="8" s="1"/>
  <c r="N95" i="8"/>
  <c r="R95" i="8" s="1"/>
  <c r="N139" i="8"/>
  <c r="R139" i="8" s="1"/>
  <c r="N203" i="8"/>
  <c r="R203" i="8" s="1"/>
  <c r="N228" i="8"/>
  <c r="R228" i="8" s="1"/>
  <c r="N3" i="8"/>
  <c r="R3" i="8" s="1"/>
  <c r="N9" i="8"/>
  <c r="R9" i="8" s="1"/>
  <c r="N16" i="8"/>
  <c r="R16" i="8" s="1"/>
  <c r="N24" i="8"/>
  <c r="R24" i="8" s="1"/>
  <c r="N32" i="8"/>
  <c r="R32" i="8" s="1"/>
  <c r="N53" i="8"/>
  <c r="R53" i="8" s="1"/>
  <c r="N55" i="8"/>
  <c r="R55" i="8" s="1"/>
  <c r="N57" i="8"/>
  <c r="R57" i="8" s="1"/>
  <c r="N62" i="8"/>
  <c r="R62" i="8" s="1"/>
  <c r="N70" i="8"/>
  <c r="R70" i="8" s="1"/>
  <c r="N84" i="8"/>
  <c r="R84" i="8" s="1"/>
  <c r="N94" i="8"/>
  <c r="R94" i="8" s="1"/>
  <c r="N96" i="8"/>
  <c r="R96" i="8" s="1"/>
  <c r="N107" i="8"/>
  <c r="R107" i="8" s="1"/>
  <c r="N111" i="8"/>
  <c r="R111" i="8" s="1"/>
  <c r="N113" i="8"/>
  <c r="R113" i="8" s="1"/>
  <c r="N134" i="8"/>
  <c r="R134" i="8" s="1"/>
  <c r="N136" i="8"/>
  <c r="R136" i="8" s="1"/>
  <c r="N138" i="8"/>
  <c r="R138" i="8" s="1"/>
  <c r="N140" i="8"/>
  <c r="R140" i="8" s="1"/>
  <c r="N142" i="8"/>
  <c r="R142" i="8" s="1"/>
  <c r="N155" i="8"/>
  <c r="R155" i="8" s="1"/>
  <c r="N165" i="8"/>
  <c r="R165" i="8" s="1"/>
  <c r="N173" i="8"/>
  <c r="R173" i="8" s="1"/>
  <c r="N180" i="8"/>
  <c r="R180" i="8" s="1"/>
  <c r="N198" i="8"/>
  <c r="R198" i="8" s="1"/>
  <c r="N200" i="8"/>
  <c r="R200" i="8" s="1"/>
  <c r="N204" i="8"/>
  <c r="R204" i="8" s="1"/>
  <c r="N219" i="8"/>
  <c r="R219" i="8" s="1"/>
  <c r="N229" i="8"/>
  <c r="R229" i="8" s="1"/>
  <c r="N250" i="8"/>
  <c r="R250" i="8" s="1"/>
  <c r="N252" i="8"/>
  <c r="R252" i="8" s="1"/>
  <c r="N254" i="8"/>
  <c r="R254" i="8" s="1"/>
  <c r="N269" i="8"/>
  <c r="R269" i="8" s="1"/>
  <c r="N275" i="8"/>
  <c r="R275" i="8" s="1"/>
  <c r="N279" i="8"/>
  <c r="R279" i="8" s="1"/>
  <c r="N287" i="8"/>
  <c r="R287" i="8" s="1"/>
  <c r="N294" i="8"/>
  <c r="R294" i="8" s="1"/>
  <c r="N314" i="8"/>
  <c r="R314" i="8" s="1"/>
  <c r="N316" i="8"/>
  <c r="R316" i="8" s="1"/>
  <c r="N318" i="8"/>
  <c r="R318" i="8" s="1"/>
  <c r="N333" i="8"/>
  <c r="R333" i="8" s="1"/>
  <c r="N349" i="8"/>
  <c r="R349" i="8" s="1"/>
  <c r="N355" i="8"/>
  <c r="R355" i="8" s="1"/>
  <c r="N359" i="8"/>
  <c r="R359" i="8" s="1"/>
  <c r="N367" i="8"/>
  <c r="R367" i="8" s="1"/>
  <c r="N374" i="8"/>
  <c r="R374" i="8" s="1"/>
  <c r="N394" i="8"/>
  <c r="R394" i="8" s="1"/>
  <c r="N396" i="8"/>
  <c r="R396" i="8" s="1"/>
  <c r="N398" i="8"/>
  <c r="R398" i="8" s="1"/>
  <c r="N402" i="8"/>
  <c r="R402" i="8" s="1"/>
  <c r="N801" i="8"/>
  <c r="R801" i="8" s="1"/>
  <c r="N929" i="8"/>
  <c r="R929" i="8" s="1"/>
  <c r="N403" i="8"/>
  <c r="R403" i="8" s="1"/>
  <c r="N407" i="8"/>
  <c r="R407" i="8" s="1"/>
  <c r="N415" i="8"/>
  <c r="R415" i="8" s="1"/>
  <c r="N442" i="8"/>
  <c r="R442" i="8" s="1"/>
  <c r="N444" i="8"/>
  <c r="R444" i="8" s="1"/>
  <c r="N446" i="8"/>
  <c r="R446" i="8" s="1"/>
  <c r="N467" i="8"/>
  <c r="R467" i="8" s="1"/>
  <c r="N471" i="8"/>
  <c r="R471" i="8" s="1"/>
  <c r="N479" i="8"/>
  <c r="R479" i="8" s="1"/>
  <c r="N506" i="8"/>
  <c r="R506" i="8" s="1"/>
  <c r="N508" i="8"/>
  <c r="R508" i="8" s="1"/>
  <c r="N510" i="8"/>
  <c r="R510" i="8" s="1"/>
  <c r="N531" i="8"/>
  <c r="R531" i="8" s="1"/>
  <c r="N535" i="8"/>
  <c r="R535" i="8" s="1"/>
  <c r="N539" i="8"/>
  <c r="R539" i="8" s="1"/>
  <c r="N558" i="8"/>
  <c r="R558" i="8" s="1"/>
  <c r="N560" i="8"/>
  <c r="R560" i="8" s="1"/>
  <c r="N562" i="8"/>
  <c r="R562" i="8" s="1"/>
  <c r="N570" i="8"/>
  <c r="R570" i="8" s="1"/>
  <c r="N595" i="8"/>
  <c r="R595" i="8" s="1"/>
  <c r="N597" i="8"/>
  <c r="R597" i="8" s="1"/>
  <c r="N601" i="8"/>
  <c r="R601" i="8" s="1"/>
  <c r="N603" i="8"/>
  <c r="R603" i="8" s="1"/>
  <c r="N622" i="8"/>
  <c r="R622" i="8" s="1"/>
  <c r="N626" i="8"/>
  <c r="R626" i="8" s="1"/>
  <c r="N634" i="8"/>
  <c r="R634" i="8" s="1"/>
  <c r="N665" i="8"/>
  <c r="R665" i="8" s="1"/>
  <c r="N667" i="8"/>
  <c r="R667" i="8" s="1"/>
  <c r="N669" i="8"/>
  <c r="R669" i="8" s="1"/>
  <c r="N688" i="8"/>
  <c r="R688" i="8" s="1"/>
  <c r="N690" i="8"/>
  <c r="R690" i="8" s="1"/>
  <c r="N692" i="8"/>
  <c r="R692" i="8" s="1"/>
  <c r="N694" i="8"/>
  <c r="R694" i="8" s="1"/>
  <c r="N712" i="8"/>
  <c r="R712" i="8" s="1"/>
  <c r="N727" i="8"/>
  <c r="R727" i="8" s="1"/>
  <c r="N729" i="8"/>
  <c r="R729" i="8" s="1"/>
  <c r="N731" i="8"/>
  <c r="R731" i="8" s="1"/>
  <c r="N735" i="8"/>
  <c r="R735" i="8" s="1"/>
  <c r="N737" i="8"/>
  <c r="R737" i="8" s="1"/>
  <c r="N743" i="8"/>
  <c r="R743" i="8" s="1"/>
  <c r="N760" i="8"/>
  <c r="R760" i="8" s="1"/>
  <c r="N776" i="8"/>
  <c r="R776" i="8" s="1"/>
  <c r="N791" i="8"/>
  <c r="R791" i="8" s="1"/>
  <c r="N793" i="8"/>
  <c r="R793" i="8" s="1"/>
  <c r="N795" i="8"/>
  <c r="R795" i="8" s="1"/>
  <c r="N799" i="8"/>
  <c r="R799" i="8" s="1"/>
  <c r="N824" i="8"/>
  <c r="R824" i="8" s="1"/>
  <c r="N830" i="8"/>
  <c r="R830" i="8" s="1"/>
  <c r="N855" i="8"/>
  <c r="R855" i="8" s="1"/>
  <c r="N859" i="8"/>
  <c r="R859" i="8" s="1"/>
  <c r="N863" i="8"/>
  <c r="R863" i="8" s="1"/>
  <c r="N888" i="8"/>
  <c r="R888" i="8" s="1"/>
  <c r="N894" i="8"/>
  <c r="R894" i="8" s="1"/>
  <c r="N919" i="8"/>
  <c r="R919" i="8" s="1"/>
  <c r="N923" i="8"/>
  <c r="R923" i="8" s="1"/>
  <c r="N927" i="8"/>
  <c r="R927" i="8" s="1"/>
  <c r="N952" i="8"/>
  <c r="R952" i="8" s="1"/>
  <c r="N958" i="8"/>
  <c r="R958" i="8" s="1"/>
  <c r="N983" i="8"/>
  <c r="R983" i="8" s="1"/>
  <c r="N985" i="8"/>
  <c r="R985" i="8" s="1"/>
  <c r="N987" i="8"/>
  <c r="R987" i="8" s="1"/>
  <c r="N1000" i="8"/>
  <c r="R1000" i="8" s="1"/>
  <c r="N429" i="8"/>
  <c r="R429" i="8" s="1"/>
  <c r="N454" i="8"/>
  <c r="R454" i="8" s="1"/>
  <c r="N493" i="8"/>
  <c r="R493" i="8" s="1"/>
  <c r="N518" i="8"/>
  <c r="R518" i="8" s="1"/>
  <c r="N543" i="8"/>
  <c r="R543" i="8" s="1"/>
  <c r="N584" i="8"/>
  <c r="R584" i="8" s="1"/>
  <c r="N609" i="8"/>
  <c r="R609" i="8" s="1"/>
  <c r="N648" i="8"/>
  <c r="R648" i="8" s="1"/>
  <c r="N652" i="8"/>
  <c r="R652" i="8" s="1"/>
  <c r="N681" i="8"/>
  <c r="R681" i="8" s="1"/>
  <c r="N749" i="8"/>
  <c r="R749" i="8" s="1"/>
  <c r="N813" i="8"/>
  <c r="R813" i="8" s="1"/>
  <c r="N834" i="8"/>
  <c r="R834" i="8" s="1"/>
  <c r="N838" i="8"/>
  <c r="R838" i="8" s="1"/>
  <c r="N877" i="8"/>
  <c r="R877" i="8" s="1"/>
  <c r="N898" i="8"/>
  <c r="R898" i="8" s="1"/>
  <c r="N902" i="8"/>
  <c r="R902" i="8" s="1"/>
  <c r="N926" i="8"/>
  <c r="R926" i="8" s="1"/>
  <c r="N941" i="8"/>
  <c r="R941" i="8" s="1"/>
  <c r="N951" i="8"/>
  <c r="R951" i="8" s="1"/>
  <c r="N955" i="8"/>
  <c r="R955" i="8" s="1"/>
  <c r="N959" i="8"/>
  <c r="R959" i="8" s="1"/>
  <c r="N962" i="8"/>
  <c r="R962" i="8" s="1"/>
  <c r="N966" i="8"/>
  <c r="R966" i="8" s="1"/>
  <c r="N984" i="8"/>
  <c r="R984" i="8" s="1"/>
  <c r="N990" i="8"/>
  <c r="R990" i="8" s="1"/>
  <c r="N999" i="8"/>
  <c r="R999" i="8" s="1"/>
  <c r="N1001" i="8"/>
  <c r="R1001" i="8" s="1"/>
  <c r="N342" i="8"/>
  <c r="R342" i="8" s="1"/>
  <c r="N362" i="8"/>
  <c r="R362" i="8" s="1"/>
  <c r="N364" i="8"/>
  <c r="R364" i="8" s="1"/>
  <c r="N366" i="8"/>
  <c r="R366" i="8" s="1"/>
  <c r="N381" i="8"/>
  <c r="R381" i="8" s="1"/>
  <c r="N387" i="8"/>
  <c r="R387" i="8" s="1"/>
  <c r="N391" i="8"/>
  <c r="R391" i="8" s="1"/>
  <c r="N399" i="8"/>
  <c r="R399" i="8" s="1"/>
  <c r="N406" i="8"/>
  <c r="R406" i="8" s="1"/>
  <c r="N426" i="8"/>
  <c r="R426" i="8" s="1"/>
  <c r="N428" i="8"/>
  <c r="R428" i="8" s="1"/>
  <c r="N430" i="8"/>
  <c r="R430" i="8" s="1"/>
  <c r="N445" i="8"/>
  <c r="R445" i="8" s="1"/>
  <c r="N451" i="8"/>
  <c r="R451" i="8" s="1"/>
  <c r="N455" i="8"/>
  <c r="R455" i="8" s="1"/>
  <c r="N463" i="8"/>
  <c r="R463" i="8" s="1"/>
  <c r="N470" i="8"/>
  <c r="R470" i="8" s="1"/>
  <c r="N490" i="8"/>
  <c r="R490" i="8" s="1"/>
  <c r="N492" i="8"/>
  <c r="R492" i="8" s="1"/>
  <c r="N494" i="8"/>
  <c r="R494" i="8" s="1"/>
  <c r="N509" i="8"/>
  <c r="R509" i="8" s="1"/>
  <c r="N515" i="8"/>
  <c r="R515" i="8" s="1"/>
  <c r="N519" i="8"/>
  <c r="R519" i="8" s="1"/>
  <c r="N527" i="8"/>
  <c r="R527" i="8" s="1"/>
  <c r="N534" i="8"/>
  <c r="R534" i="8" s="1"/>
  <c r="N542" i="8"/>
  <c r="R542" i="8" s="1"/>
  <c r="N544" i="8"/>
  <c r="R544" i="8" s="1"/>
  <c r="N546" i="8"/>
  <c r="R546" i="8" s="1"/>
  <c r="N554" i="8"/>
  <c r="R554" i="8" s="1"/>
  <c r="N559" i="8"/>
  <c r="R559" i="8" s="1"/>
  <c r="N579" i="8"/>
  <c r="R579" i="8" s="1"/>
  <c r="N581" i="8"/>
  <c r="R581" i="8" s="1"/>
  <c r="N585" i="8"/>
  <c r="R585" i="8" s="1"/>
  <c r="N587" i="8"/>
  <c r="R587" i="8" s="1"/>
  <c r="N600" i="8"/>
  <c r="R600" i="8" s="1"/>
  <c r="N606" i="8"/>
  <c r="R606" i="8" s="1"/>
  <c r="N610" i="8"/>
  <c r="R610" i="8" s="1"/>
  <c r="N618" i="8"/>
  <c r="R618" i="8" s="1"/>
  <c r="N625" i="8"/>
  <c r="R625" i="8" s="1"/>
  <c r="N643" i="8"/>
  <c r="R643" i="8" s="1"/>
  <c r="N645" i="8"/>
  <c r="R645" i="8" s="1"/>
  <c r="N649" i="8"/>
  <c r="R649" i="8" s="1"/>
  <c r="N651" i="8"/>
  <c r="R651" i="8" s="1"/>
  <c r="N653" i="8"/>
  <c r="R653" i="8" s="1"/>
  <c r="N664" i="8"/>
  <c r="R664" i="8" s="1"/>
  <c r="N697" i="8"/>
  <c r="R697" i="8" s="1"/>
  <c r="N719" i="8"/>
  <c r="R719" i="8" s="1"/>
  <c r="N722" i="8"/>
  <c r="R722" i="8" s="1"/>
  <c r="N726" i="8"/>
  <c r="R726" i="8" s="1"/>
  <c r="N738" i="8"/>
  <c r="R738" i="8" s="1"/>
  <c r="N742" i="8"/>
  <c r="R742" i="8" s="1"/>
  <c r="N750" i="8"/>
  <c r="R750" i="8" s="1"/>
  <c r="N752" i="8"/>
  <c r="R752" i="8" s="1"/>
  <c r="N765" i="8"/>
  <c r="R765" i="8" s="1"/>
  <c r="N783" i="8"/>
  <c r="R783" i="8" s="1"/>
  <c r="N786" i="8"/>
  <c r="R786" i="8" s="1"/>
  <c r="N790" i="8"/>
  <c r="R790" i="8" s="1"/>
  <c r="N808" i="8"/>
  <c r="R808" i="8" s="1"/>
  <c r="N816" i="8"/>
  <c r="R816" i="8" s="1"/>
  <c r="N829" i="8"/>
  <c r="R829" i="8" s="1"/>
  <c r="N843" i="8"/>
  <c r="R843" i="8" s="1"/>
  <c r="N847" i="8"/>
  <c r="R847" i="8" s="1"/>
  <c r="N850" i="8"/>
  <c r="R850" i="8" s="1"/>
  <c r="N854" i="8"/>
  <c r="R854" i="8" s="1"/>
  <c r="N872" i="8"/>
  <c r="R872" i="8" s="1"/>
  <c r="N893" i="8"/>
  <c r="R893" i="8" s="1"/>
  <c r="N907" i="8"/>
  <c r="R907" i="8" s="1"/>
  <c r="N911" i="8"/>
  <c r="R911" i="8" s="1"/>
  <c r="N914" i="8"/>
  <c r="R914" i="8" s="1"/>
  <c r="N918" i="8"/>
  <c r="R918" i="8" s="1"/>
  <c r="N936" i="8"/>
  <c r="R936" i="8" s="1"/>
  <c r="N971" i="8"/>
  <c r="R971" i="8" s="1"/>
  <c r="N975" i="8"/>
  <c r="R975" i="8" s="1"/>
  <c r="N996" i="8"/>
  <c r="R996" i="8" s="1"/>
  <c r="N5" i="8"/>
  <c r="R5" i="8" s="1"/>
  <c r="N7" i="8"/>
  <c r="R7" i="8" s="1"/>
  <c r="N14" i="8"/>
  <c r="R14" i="8" s="1"/>
  <c r="N40" i="8"/>
  <c r="R40" i="8" s="1"/>
  <c r="N49" i="8"/>
  <c r="R49" i="8" s="1"/>
  <c r="N58" i="8"/>
  <c r="R58" i="8" s="1"/>
  <c r="N60" i="8"/>
  <c r="R60" i="8" s="1"/>
  <c r="N69" i="8"/>
  <c r="R69" i="8" s="1"/>
  <c r="N71" i="8"/>
  <c r="R71" i="8" s="1"/>
  <c r="N93" i="8"/>
  <c r="R93" i="8" s="1"/>
  <c r="N102" i="8"/>
  <c r="R102" i="8" s="1"/>
  <c r="N104" i="8"/>
  <c r="R104" i="8" s="1"/>
  <c r="N8" i="8"/>
  <c r="R8" i="8" s="1"/>
  <c r="N17" i="8"/>
  <c r="R17" i="8" s="1"/>
  <c r="N26" i="8"/>
  <c r="R26" i="8" s="1"/>
  <c r="N28" i="8"/>
  <c r="R28" i="8" s="1"/>
  <c r="N37" i="8"/>
  <c r="R37" i="8" s="1"/>
  <c r="N39" i="8"/>
  <c r="R39" i="8" s="1"/>
  <c r="N46" i="8"/>
  <c r="R46" i="8" s="1"/>
  <c r="N79" i="8"/>
  <c r="R79" i="8" s="1"/>
  <c r="N81" i="8"/>
  <c r="R81" i="8" s="1"/>
  <c r="N90" i="8"/>
  <c r="R90" i="8" s="1"/>
  <c r="N92" i="8"/>
  <c r="R92" i="8" s="1"/>
  <c r="N99" i="8"/>
  <c r="R99" i="8" s="1"/>
  <c r="N109" i="8"/>
  <c r="R109" i="8" s="1"/>
  <c r="N118" i="8"/>
  <c r="R118" i="8" s="1"/>
  <c r="N120" i="8"/>
  <c r="R120" i="8" s="1"/>
  <c r="N127" i="8"/>
  <c r="R127" i="8" s="1"/>
  <c r="N143" i="8"/>
  <c r="R143" i="8" s="1"/>
  <c r="N232" i="8"/>
  <c r="R232" i="8" s="1"/>
  <c r="N241" i="8"/>
  <c r="R241" i="8" s="1"/>
  <c r="N257" i="8"/>
  <c r="R257" i="8" s="1"/>
  <c r="N273" i="8"/>
  <c r="R273" i="8" s="1"/>
  <c r="N289" i="8"/>
  <c r="R289" i="8" s="1"/>
  <c r="N305" i="8"/>
  <c r="R305" i="8" s="1"/>
  <c r="N321" i="8"/>
  <c r="R321" i="8" s="1"/>
  <c r="N337" i="8"/>
  <c r="R337" i="8" s="1"/>
  <c r="N353" i="8"/>
  <c r="R353" i="8" s="1"/>
  <c r="N369" i="8"/>
  <c r="R369" i="8" s="1"/>
  <c r="N385" i="8"/>
  <c r="R385" i="8" s="1"/>
  <c r="N401" i="8"/>
  <c r="R401" i="8" s="1"/>
  <c r="N417" i="8"/>
  <c r="R417" i="8" s="1"/>
  <c r="N433" i="8"/>
  <c r="R433" i="8" s="1"/>
  <c r="N449" i="8"/>
  <c r="R449" i="8" s="1"/>
  <c r="N465" i="8"/>
  <c r="R465" i="8" s="1"/>
  <c r="N481" i="8"/>
  <c r="R481" i="8" s="1"/>
  <c r="N497" i="8"/>
  <c r="R497" i="8" s="1"/>
  <c r="N513" i="8"/>
  <c r="R513" i="8" s="1"/>
  <c r="N529" i="8"/>
  <c r="R529" i="8" s="1"/>
  <c r="N540" i="8"/>
  <c r="R540" i="8" s="1"/>
  <c r="N556" i="8"/>
  <c r="R556" i="8" s="1"/>
  <c r="N572" i="8"/>
  <c r="R572" i="8" s="1"/>
  <c r="N588" i="8"/>
  <c r="R588" i="8" s="1"/>
  <c r="N604" i="8"/>
  <c r="R604" i="8" s="1"/>
  <c r="N620" i="8"/>
  <c r="R620" i="8" s="1"/>
  <c r="N636" i="8"/>
  <c r="R636" i="8" s="1"/>
  <c r="N656" i="8"/>
  <c r="R656" i="8" s="1"/>
  <c r="N115" i="8"/>
  <c r="R115" i="8" s="1"/>
  <c r="N131" i="8"/>
  <c r="R131" i="8" s="1"/>
  <c r="N147" i="8"/>
  <c r="R147" i="8" s="1"/>
  <c r="N154" i="8"/>
  <c r="R154" i="8" s="1"/>
  <c r="N159" i="8"/>
  <c r="R159" i="8" s="1"/>
  <c r="N163" i="8"/>
  <c r="R163" i="8" s="1"/>
  <c r="N170" i="8"/>
  <c r="R170" i="8" s="1"/>
  <c r="N175" i="8"/>
  <c r="R175" i="8" s="1"/>
  <c r="N179" i="8"/>
  <c r="R179" i="8" s="1"/>
  <c r="N186" i="8"/>
  <c r="R186" i="8" s="1"/>
  <c r="N191" i="8"/>
  <c r="R191" i="8" s="1"/>
  <c r="N195" i="8"/>
  <c r="R195" i="8" s="1"/>
  <c r="N202" i="8"/>
  <c r="R202" i="8" s="1"/>
  <c r="N207" i="8"/>
  <c r="R207" i="8" s="1"/>
  <c r="N211" i="8"/>
  <c r="R211" i="8" s="1"/>
  <c r="N218" i="8"/>
  <c r="R218" i="8" s="1"/>
  <c r="N223" i="8"/>
  <c r="R223" i="8" s="1"/>
  <c r="N227" i="8"/>
  <c r="R227" i="8" s="1"/>
  <c r="N245" i="8"/>
  <c r="R245" i="8" s="1"/>
  <c r="N261" i="8"/>
  <c r="R261" i="8" s="1"/>
  <c r="N277" i="8"/>
  <c r="R277" i="8" s="1"/>
  <c r="N293" i="8"/>
  <c r="R293" i="8" s="1"/>
  <c r="N309" i="8"/>
  <c r="R309" i="8" s="1"/>
  <c r="N325" i="8"/>
  <c r="R325" i="8" s="1"/>
  <c r="N341" i="8"/>
  <c r="R341" i="8" s="1"/>
  <c r="N357" i="8"/>
  <c r="R357" i="8" s="1"/>
  <c r="N373" i="8"/>
  <c r="R373" i="8" s="1"/>
  <c r="N389" i="8"/>
  <c r="R389" i="8" s="1"/>
  <c r="N405" i="8"/>
  <c r="R405" i="8" s="1"/>
  <c r="N421" i="8"/>
  <c r="R421" i="8" s="1"/>
  <c r="N437" i="8"/>
  <c r="R437" i="8" s="1"/>
  <c r="N453" i="8"/>
  <c r="R453" i="8" s="1"/>
  <c r="N469" i="8"/>
  <c r="R469" i="8" s="1"/>
  <c r="N485" i="8"/>
  <c r="R485" i="8" s="1"/>
  <c r="N501" i="8"/>
  <c r="R501" i="8" s="1"/>
  <c r="N517" i="8"/>
  <c r="R517" i="8" s="1"/>
  <c r="N533" i="8"/>
  <c r="R533" i="8" s="1"/>
  <c r="N576" i="8"/>
  <c r="R576" i="8" s="1"/>
  <c r="N592" i="8"/>
  <c r="R592" i="8" s="1"/>
  <c r="N608" i="8"/>
  <c r="R608" i="8" s="1"/>
  <c r="N624" i="8"/>
  <c r="R624" i="8" s="1"/>
  <c r="N640" i="8"/>
  <c r="R640" i="8" s="1"/>
  <c r="N673" i="8"/>
  <c r="R673" i="8" s="1"/>
  <c r="N2" i="8"/>
  <c r="R2" i="8" s="1"/>
  <c r="N4" i="8"/>
  <c r="R4" i="8" s="1"/>
  <c r="N13" i="8"/>
  <c r="R13" i="8" s="1"/>
  <c r="N18" i="8"/>
  <c r="R18" i="8" s="1"/>
  <c r="N20" i="8"/>
  <c r="R20" i="8" s="1"/>
  <c r="N29" i="8"/>
  <c r="R29" i="8" s="1"/>
  <c r="N34" i="8"/>
  <c r="R34" i="8" s="1"/>
  <c r="N36" i="8"/>
  <c r="R36" i="8" s="1"/>
  <c r="N45" i="8"/>
  <c r="R45" i="8" s="1"/>
  <c r="N50" i="8"/>
  <c r="R50" i="8" s="1"/>
  <c r="N52" i="8"/>
  <c r="R52" i="8" s="1"/>
  <c r="N61" i="8"/>
  <c r="R61" i="8" s="1"/>
  <c r="N66" i="8"/>
  <c r="R66" i="8" s="1"/>
  <c r="N68" i="8"/>
  <c r="R68" i="8" s="1"/>
  <c r="N73" i="8"/>
  <c r="R73" i="8" s="1"/>
  <c r="N82" i="8"/>
  <c r="R82" i="8" s="1"/>
  <c r="N87" i="8"/>
  <c r="R87" i="8" s="1"/>
  <c r="N89" i="8"/>
  <c r="R89" i="8" s="1"/>
  <c r="N98" i="8"/>
  <c r="R98" i="8" s="1"/>
  <c r="N103" i="8"/>
  <c r="R103" i="8" s="1"/>
  <c r="N105" i="8"/>
  <c r="R105" i="8" s="1"/>
  <c r="N114" i="8"/>
  <c r="R114" i="8" s="1"/>
  <c r="N119" i="8"/>
  <c r="R119" i="8" s="1"/>
  <c r="N121" i="8"/>
  <c r="R121" i="8" s="1"/>
  <c r="N130" i="8"/>
  <c r="R130" i="8" s="1"/>
  <c r="N135" i="8"/>
  <c r="R135" i="8" s="1"/>
  <c r="N137" i="8"/>
  <c r="R137" i="8" s="1"/>
  <c r="N146" i="8"/>
  <c r="R146" i="8" s="1"/>
  <c r="N151" i="8"/>
  <c r="R151" i="8" s="1"/>
  <c r="N153" i="8"/>
  <c r="R153" i="8" s="1"/>
  <c r="N160" i="8"/>
  <c r="R160" i="8" s="1"/>
  <c r="N162" i="8"/>
  <c r="R162" i="8" s="1"/>
  <c r="N167" i="8"/>
  <c r="R167" i="8" s="1"/>
  <c r="N169" i="8"/>
  <c r="R169" i="8" s="1"/>
  <c r="N176" i="8"/>
  <c r="R176" i="8" s="1"/>
  <c r="N178" i="8"/>
  <c r="R178" i="8" s="1"/>
  <c r="N183" i="8"/>
  <c r="R183" i="8" s="1"/>
  <c r="N185" i="8"/>
  <c r="R185" i="8" s="1"/>
  <c r="N192" i="8"/>
  <c r="R192" i="8" s="1"/>
  <c r="N194" i="8"/>
  <c r="R194" i="8" s="1"/>
  <c r="N199" i="8"/>
  <c r="R199" i="8" s="1"/>
  <c r="N201" i="8"/>
  <c r="R201" i="8" s="1"/>
  <c r="N208" i="8"/>
  <c r="R208" i="8" s="1"/>
  <c r="N210" i="8"/>
  <c r="R210" i="8" s="1"/>
  <c r="N215" i="8"/>
  <c r="R215" i="8" s="1"/>
  <c r="N217" i="8"/>
  <c r="R217" i="8" s="1"/>
  <c r="N224" i="8"/>
  <c r="R224" i="8" s="1"/>
  <c r="N226" i="8"/>
  <c r="R226" i="8" s="1"/>
  <c r="N231" i="8"/>
  <c r="R231" i="8" s="1"/>
  <c r="N235" i="8"/>
  <c r="R235" i="8" s="1"/>
  <c r="N244" i="8"/>
  <c r="R244" i="8" s="1"/>
  <c r="N249" i="8"/>
  <c r="R249" i="8" s="1"/>
  <c r="N251" i="8"/>
  <c r="R251" i="8" s="1"/>
  <c r="N260" i="8"/>
  <c r="R260" i="8" s="1"/>
  <c r="N265" i="8"/>
  <c r="R265" i="8" s="1"/>
  <c r="N267" i="8"/>
  <c r="R267" i="8" s="1"/>
  <c r="N276" i="8"/>
  <c r="R276" i="8" s="1"/>
  <c r="N281" i="8"/>
  <c r="R281" i="8" s="1"/>
  <c r="N283" i="8"/>
  <c r="R283" i="8" s="1"/>
  <c r="N292" i="8"/>
  <c r="R292" i="8" s="1"/>
  <c r="N297" i="8"/>
  <c r="R297" i="8" s="1"/>
  <c r="N299" i="8"/>
  <c r="R299" i="8" s="1"/>
  <c r="N308" i="8"/>
  <c r="R308" i="8" s="1"/>
  <c r="N313" i="8"/>
  <c r="R313" i="8" s="1"/>
  <c r="N315" i="8"/>
  <c r="R315" i="8" s="1"/>
  <c r="N324" i="8"/>
  <c r="R324" i="8" s="1"/>
  <c r="N329" i="8"/>
  <c r="R329" i="8" s="1"/>
  <c r="N331" i="8"/>
  <c r="R331" i="8" s="1"/>
  <c r="N340" i="8"/>
  <c r="R340" i="8" s="1"/>
  <c r="N345" i="8"/>
  <c r="R345" i="8" s="1"/>
  <c r="N347" i="8"/>
  <c r="R347" i="8" s="1"/>
  <c r="N356" i="8"/>
  <c r="R356" i="8" s="1"/>
  <c r="N361" i="8"/>
  <c r="R361" i="8" s="1"/>
  <c r="N363" i="8"/>
  <c r="R363" i="8" s="1"/>
  <c r="N372" i="8"/>
  <c r="R372" i="8" s="1"/>
  <c r="N377" i="8"/>
  <c r="R377" i="8" s="1"/>
  <c r="N379" i="8"/>
  <c r="R379" i="8" s="1"/>
  <c r="N388" i="8"/>
  <c r="R388" i="8" s="1"/>
  <c r="N393" i="8"/>
  <c r="R393" i="8" s="1"/>
  <c r="N395" i="8"/>
  <c r="R395" i="8" s="1"/>
  <c r="N404" i="8"/>
  <c r="R404" i="8" s="1"/>
  <c r="N409" i="8"/>
  <c r="R409" i="8" s="1"/>
  <c r="N411" i="8"/>
  <c r="R411" i="8" s="1"/>
  <c r="N420" i="8"/>
  <c r="R420" i="8" s="1"/>
  <c r="N425" i="8"/>
  <c r="R425" i="8" s="1"/>
  <c r="N427" i="8"/>
  <c r="R427" i="8" s="1"/>
  <c r="N436" i="8"/>
  <c r="R436" i="8" s="1"/>
  <c r="N441" i="8"/>
  <c r="R441" i="8" s="1"/>
  <c r="N443" i="8"/>
  <c r="R443" i="8" s="1"/>
  <c r="N452" i="8"/>
  <c r="R452" i="8" s="1"/>
  <c r="N457" i="8"/>
  <c r="R457" i="8" s="1"/>
  <c r="N459" i="8"/>
  <c r="R459" i="8" s="1"/>
  <c r="N468" i="8"/>
  <c r="R468" i="8" s="1"/>
  <c r="N473" i="8"/>
  <c r="R473" i="8" s="1"/>
  <c r="N475" i="8"/>
  <c r="R475" i="8" s="1"/>
  <c r="N484" i="8"/>
  <c r="R484" i="8" s="1"/>
  <c r="N489" i="8"/>
  <c r="R489" i="8" s="1"/>
  <c r="N491" i="8"/>
  <c r="R491" i="8" s="1"/>
  <c r="N500" i="8"/>
  <c r="R500" i="8" s="1"/>
  <c r="N505" i="8"/>
  <c r="R505" i="8" s="1"/>
  <c r="N507" i="8"/>
  <c r="R507" i="8" s="1"/>
  <c r="N516" i="8"/>
  <c r="R516" i="8" s="1"/>
  <c r="N521" i="8"/>
  <c r="R521" i="8" s="1"/>
  <c r="N523" i="8"/>
  <c r="R523" i="8" s="1"/>
  <c r="N532" i="8"/>
  <c r="R532" i="8" s="1"/>
  <c r="N537" i="8"/>
  <c r="R537" i="8" s="1"/>
  <c r="N580" i="8"/>
  <c r="R580" i="8" s="1"/>
  <c r="N582" i="8"/>
  <c r="R582" i="8" s="1"/>
  <c r="N596" i="8"/>
  <c r="R596" i="8" s="1"/>
  <c r="N598" i="8"/>
  <c r="R598" i="8" s="1"/>
  <c r="N612" i="8"/>
  <c r="R612" i="8" s="1"/>
  <c r="N614" i="8"/>
  <c r="R614" i="8" s="1"/>
  <c r="N628" i="8"/>
  <c r="R628" i="8" s="1"/>
  <c r="N630" i="8"/>
  <c r="R630" i="8" s="1"/>
  <c r="N650" i="8"/>
  <c r="R650" i="8" s="1"/>
  <c r="N659" i="8"/>
  <c r="R659" i="8" s="1"/>
  <c r="N668" i="8"/>
  <c r="R668" i="8" s="1"/>
  <c r="N670" i="8"/>
  <c r="R670" i="8" s="1"/>
  <c r="N672" i="8"/>
  <c r="R672" i="8" s="1"/>
  <c r="N704" i="8"/>
  <c r="R704" i="8" s="1"/>
  <c r="N734" i="8"/>
  <c r="R734" i="8" s="1"/>
  <c r="N766" i="8"/>
  <c r="R766" i="8" s="1"/>
  <c r="N814" i="8"/>
  <c r="R814" i="8" s="1"/>
  <c r="N839" i="8"/>
  <c r="R839" i="8" s="1"/>
  <c r="N878" i="8"/>
  <c r="R878" i="8" s="1"/>
  <c r="N903" i="8"/>
  <c r="R903" i="8" s="1"/>
  <c r="N942" i="8"/>
  <c r="R942" i="8" s="1"/>
  <c r="N967" i="8"/>
  <c r="R967" i="8" s="1"/>
  <c r="N644" i="8"/>
  <c r="R644" i="8" s="1"/>
  <c r="N646" i="8"/>
  <c r="R646" i="8" s="1"/>
  <c r="N660" i="8"/>
  <c r="R660" i="8" s="1"/>
  <c r="N662" i="8"/>
  <c r="R662" i="8" s="1"/>
  <c r="N687" i="8"/>
  <c r="R687" i="8" s="1"/>
  <c r="N696" i="8"/>
  <c r="R696" i="8" s="1"/>
  <c r="N992" i="8"/>
  <c r="R992" i="8" s="1"/>
  <c r="N677" i="8"/>
  <c r="R677" i="8" s="1"/>
  <c r="N679" i="8"/>
  <c r="R679" i="8" s="1"/>
  <c r="N684" i="8"/>
  <c r="R684" i="8" s="1"/>
  <c r="N686" i="8"/>
  <c r="R686" i="8" s="1"/>
  <c r="N689" i="8"/>
  <c r="R689" i="8" s="1"/>
  <c r="N693" i="8"/>
  <c r="R693" i="8" s="1"/>
  <c r="N695" i="8"/>
  <c r="R695" i="8" s="1"/>
  <c r="N700" i="8"/>
  <c r="R700" i="8" s="1"/>
  <c r="N702" i="8"/>
  <c r="R702" i="8" s="1"/>
  <c r="N707" i="8"/>
  <c r="R707" i="8" s="1"/>
  <c r="N709" i="8"/>
  <c r="R709" i="8" s="1"/>
  <c r="N714" i="8"/>
  <c r="R714" i="8" s="1"/>
  <c r="N716" i="8"/>
  <c r="R716" i="8" s="1"/>
  <c r="N723" i="8"/>
  <c r="R723" i="8" s="1"/>
  <c r="N725" i="8"/>
  <c r="R725" i="8" s="1"/>
  <c r="N730" i="8"/>
  <c r="R730" i="8" s="1"/>
  <c r="N732" i="8"/>
  <c r="R732" i="8" s="1"/>
  <c r="N739" i="8"/>
  <c r="R739" i="8" s="1"/>
  <c r="N741" i="8"/>
  <c r="R741" i="8" s="1"/>
  <c r="N746" i="8"/>
  <c r="R746" i="8" s="1"/>
  <c r="N748" i="8"/>
  <c r="R748" i="8" s="1"/>
  <c r="N755" i="8"/>
  <c r="R755" i="8" s="1"/>
  <c r="N757" i="8"/>
  <c r="R757" i="8" s="1"/>
  <c r="N762" i="8"/>
  <c r="R762" i="8" s="1"/>
  <c r="N764" i="8"/>
  <c r="R764" i="8" s="1"/>
  <c r="N771" i="8"/>
  <c r="R771" i="8" s="1"/>
  <c r="N773" i="8"/>
  <c r="R773" i="8" s="1"/>
  <c r="N778" i="8"/>
  <c r="R778" i="8" s="1"/>
  <c r="N780" i="8"/>
  <c r="R780" i="8" s="1"/>
  <c r="N787" i="8"/>
  <c r="R787" i="8" s="1"/>
  <c r="N789" i="8"/>
  <c r="R789" i="8" s="1"/>
  <c r="N794" i="8"/>
  <c r="R794" i="8" s="1"/>
  <c r="N796" i="8"/>
  <c r="R796" i="8" s="1"/>
  <c r="N803" i="8"/>
  <c r="R803" i="8" s="1"/>
  <c r="N805" i="8"/>
  <c r="R805" i="8" s="1"/>
  <c r="N810" i="8"/>
  <c r="R810" i="8" s="1"/>
  <c r="N812" i="8"/>
  <c r="R812" i="8" s="1"/>
  <c r="N819" i="8"/>
  <c r="R819" i="8" s="1"/>
  <c r="N821" i="8"/>
  <c r="R821" i="8" s="1"/>
  <c r="N826" i="8"/>
  <c r="R826" i="8" s="1"/>
  <c r="N828" i="8"/>
  <c r="R828" i="8" s="1"/>
  <c r="N835" i="8"/>
  <c r="R835" i="8" s="1"/>
  <c r="N837" i="8"/>
  <c r="R837" i="8" s="1"/>
  <c r="N842" i="8"/>
  <c r="R842" i="8" s="1"/>
  <c r="N844" i="8"/>
  <c r="R844" i="8" s="1"/>
  <c r="N851" i="8"/>
  <c r="R851" i="8" s="1"/>
  <c r="N853" i="8"/>
  <c r="R853" i="8" s="1"/>
  <c r="N858" i="8"/>
  <c r="R858" i="8" s="1"/>
  <c r="N860" i="8"/>
  <c r="R860" i="8" s="1"/>
  <c r="N867" i="8"/>
  <c r="R867" i="8" s="1"/>
  <c r="N869" i="8"/>
  <c r="R869" i="8" s="1"/>
  <c r="N874" i="8"/>
  <c r="R874" i="8" s="1"/>
  <c r="N876" i="8"/>
  <c r="R876" i="8" s="1"/>
  <c r="N883" i="8"/>
  <c r="R883" i="8" s="1"/>
  <c r="N885" i="8"/>
  <c r="R885" i="8" s="1"/>
  <c r="N890" i="8"/>
  <c r="R890" i="8" s="1"/>
  <c r="N892" i="8"/>
  <c r="R892" i="8" s="1"/>
  <c r="N899" i="8"/>
  <c r="R899" i="8" s="1"/>
  <c r="N901" i="8"/>
  <c r="R901" i="8" s="1"/>
  <c r="N906" i="8"/>
  <c r="R906" i="8" s="1"/>
  <c r="N908" i="8"/>
  <c r="R908" i="8" s="1"/>
  <c r="N915" i="8"/>
  <c r="R915" i="8" s="1"/>
  <c r="N917" i="8"/>
  <c r="R917" i="8" s="1"/>
  <c r="N922" i="8"/>
  <c r="R922" i="8" s="1"/>
  <c r="N924" i="8"/>
  <c r="R924" i="8" s="1"/>
  <c r="N931" i="8"/>
  <c r="R931" i="8" s="1"/>
  <c r="N933" i="8"/>
  <c r="R933" i="8" s="1"/>
  <c r="N938" i="8"/>
  <c r="R938" i="8" s="1"/>
  <c r="N940" i="8"/>
  <c r="R940" i="8" s="1"/>
  <c r="N947" i="8"/>
  <c r="R947" i="8" s="1"/>
  <c r="N949" i="8"/>
  <c r="R949" i="8" s="1"/>
  <c r="N954" i="8"/>
  <c r="R954" i="8" s="1"/>
  <c r="N956" i="8"/>
  <c r="R956" i="8" s="1"/>
  <c r="N963" i="8"/>
  <c r="R963" i="8" s="1"/>
  <c r="N965" i="8"/>
  <c r="R965" i="8" s="1"/>
  <c r="N970" i="8"/>
  <c r="R970" i="8" s="1"/>
  <c r="N972" i="8"/>
  <c r="R972" i="8" s="1"/>
  <c r="N979" i="8"/>
  <c r="R979" i="8" s="1"/>
  <c r="N981" i="8"/>
  <c r="R981" i="8" s="1"/>
  <c r="N986" i="8"/>
  <c r="R986" i="8" s="1"/>
  <c r="N988" i="8"/>
  <c r="R988" i="8" s="1"/>
  <c r="N993" i="8"/>
  <c r="R993" i="8" s="1"/>
  <c r="N161" i="8"/>
  <c r="R161" i="8" s="1"/>
  <c r="N177" i="8"/>
  <c r="R177" i="8" s="1"/>
  <c r="N193" i="8"/>
  <c r="R193" i="8" s="1"/>
  <c r="N209" i="8"/>
  <c r="R209" i="8" s="1"/>
  <c r="N225" i="8"/>
  <c r="R225" i="8" s="1"/>
  <c r="N240" i="8"/>
  <c r="R240" i="8" s="1"/>
  <c r="N248" i="8"/>
  <c r="R248" i="8" s="1"/>
  <c r="N256" i="8"/>
  <c r="R256" i="8" s="1"/>
  <c r="N264" i="8"/>
  <c r="R264" i="8" s="1"/>
  <c r="N272" i="8"/>
  <c r="R272" i="8" s="1"/>
  <c r="N280" i="8"/>
  <c r="R280" i="8" s="1"/>
  <c r="N288" i="8"/>
  <c r="R288" i="8" s="1"/>
  <c r="N296" i="8"/>
  <c r="R296" i="8" s="1"/>
  <c r="N304" i="8"/>
  <c r="R304" i="8" s="1"/>
  <c r="N312" i="8"/>
  <c r="R312" i="8" s="1"/>
  <c r="N320" i="8"/>
  <c r="R320" i="8" s="1"/>
  <c r="N328" i="8"/>
  <c r="R328" i="8" s="1"/>
  <c r="N336" i="8"/>
  <c r="R336" i="8" s="1"/>
  <c r="N344" i="8"/>
  <c r="R344" i="8" s="1"/>
  <c r="N352" i="8"/>
  <c r="R352" i="8" s="1"/>
  <c r="N360" i="8"/>
  <c r="R360" i="8" s="1"/>
  <c r="N368" i="8"/>
  <c r="R368" i="8" s="1"/>
  <c r="N376" i="8"/>
  <c r="R376" i="8" s="1"/>
  <c r="N384" i="8"/>
  <c r="R384" i="8" s="1"/>
  <c r="N392" i="8"/>
  <c r="R392" i="8" s="1"/>
  <c r="N400" i="8"/>
  <c r="R400" i="8" s="1"/>
  <c r="N408" i="8"/>
  <c r="R408" i="8" s="1"/>
  <c r="N416" i="8"/>
  <c r="R416" i="8" s="1"/>
  <c r="N424" i="8"/>
  <c r="R424" i="8" s="1"/>
  <c r="N432" i="8"/>
  <c r="R432" i="8" s="1"/>
  <c r="N440" i="8"/>
  <c r="R440" i="8" s="1"/>
  <c r="N448" i="8"/>
  <c r="R448" i="8" s="1"/>
  <c r="N456" i="8"/>
  <c r="R456" i="8" s="1"/>
  <c r="N464" i="8"/>
  <c r="R464" i="8" s="1"/>
  <c r="N472" i="8"/>
  <c r="R472" i="8" s="1"/>
  <c r="N480" i="8"/>
  <c r="R480" i="8" s="1"/>
  <c r="N488" i="8"/>
  <c r="R488" i="8" s="1"/>
  <c r="N496" i="8"/>
  <c r="R496" i="8" s="1"/>
  <c r="N504" i="8"/>
  <c r="R504" i="8" s="1"/>
  <c r="N512" i="8"/>
  <c r="R512" i="8" s="1"/>
  <c r="N520" i="8"/>
  <c r="R520" i="8" s="1"/>
  <c r="N528" i="8"/>
  <c r="R528" i="8" s="1"/>
  <c r="N536" i="8"/>
  <c r="R536" i="8" s="1"/>
  <c r="N848" i="8"/>
  <c r="R848" i="8" s="1"/>
  <c r="N857" i="8"/>
  <c r="R857" i="8" s="1"/>
  <c r="N880" i="8"/>
  <c r="R880" i="8" s="1"/>
  <c r="N889" i="8"/>
  <c r="R889" i="8" s="1"/>
  <c r="N912" i="8"/>
  <c r="R912" i="8" s="1"/>
  <c r="N921" i="8"/>
  <c r="R921" i="8" s="1"/>
  <c r="N944" i="8"/>
  <c r="R944" i="8" s="1"/>
  <c r="N953" i="8"/>
  <c r="R953" i="8" s="1"/>
  <c r="N550" i="8"/>
  <c r="R550" i="8" s="1"/>
  <c r="N566" i="8"/>
  <c r="R566" i="8" s="1"/>
  <c r="N575" i="8"/>
  <c r="R575" i="8" s="1"/>
  <c r="N583" i="8"/>
  <c r="R583" i="8" s="1"/>
  <c r="N591" i="8"/>
  <c r="R591" i="8" s="1"/>
  <c r="N599" i="8"/>
  <c r="R599" i="8" s="1"/>
  <c r="N607" i="8"/>
  <c r="R607" i="8" s="1"/>
  <c r="N615" i="8"/>
  <c r="R615" i="8" s="1"/>
  <c r="N623" i="8"/>
  <c r="R623" i="8" s="1"/>
  <c r="N631" i="8"/>
  <c r="R631" i="8" s="1"/>
  <c r="N639" i="8"/>
  <c r="R639" i="8" s="1"/>
  <c r="N647" i="8"/>
  <c r="R647" i="8" s="1"/>
  <c r="N655" i="8"/>
  <c r="R655" i="8" s="1"/>
  <c r="N663" i="8"/>
  <c r="R663" i="8" s="1"/>
  <c r="N671" i="8"/>
  <c r="R671" i="8" s="1"/>
  <c r="N680" i="8"/>
  <c r="R680" i="8" s="1"/>
  <c r="N703" i="8"/>
  <c r="R703" i="8" s="1"/>
  <c r="N713" i="8"/>
  <c r="R713" i="8" s="1"/>
  <c r="N736" i="8"/>
  <c r="R736" i="8" s="1"/>
  <c r="N745" i="8"/>
  <c r="R745" i="8" s="1"/>
  <c r="N768" i="8"/>
  <c r="R768" i="8" s="1"/>
  <c r="N777" i="8"/>
  <c r="R777" i="8" s="1"/>
  <c r="N800" i="8"/>
  <c r="R800" i="8" s="1"/>
  <c r="N809" i="8"/>
  <c r="R809" i="8" s="1"/>
  <c r="N832" i="8"/>
  <c r="R832" i="8" s="1"/>
  <c r="N841" i="8"/>
  <c r="R841" i="8" s="1"/>
  <c r="N864" i="8"/>
  <c r="R864" i="8" s="1"/>
  <c r="N873" i="8"/>
  <c r="R873" i="8" s="1"/>
  <c r="N896" i="8"/>
  <c r="R896" i="8" s="1"/>
  <c r="N905" i="8"/>
  <c r="R905" i="8" s="1"/>
  <c r="N928" i="8"/>
  <c r="R928" i="8" s="1"/>
  <c r="N937" i="8"/>
  <c r="R937" i="8" s="1"/>
  <c r="N960" i="8"/>
  <c r="R960" i="8" s="1"/>
  <c r="N969" i="8"/>
  <c r="R969" i="8" s="1"/>
  <c r="N675" i="8"/>
  <c r="R675" i="8" s="1"/>
  <c r="N691" i="8"/>
  <c r="R691" i="8" s="1"/>
  <c r="N708" i="8"/>
  <c r="R708" i="8" s="1"/>
  <c r="N724" i="8"/>
  <c r="R724" i="8" s="1"/>
  <c r="N740" i="8"/>
  <c r="R740" i="8" s="1"/>
  <c r="N756" i="8"/>
  <c r="R756" i="8" s="1"/>
  <c r="N772" i="8"/>
  <c r="R772" i="8" s="1"/>
  <c r="N788" i="8"/>
  <c r="R788" i="8" s="1"/>
  <c r="N804" i="8"/>
  <c r="R804" i="8" s="1"/>
  <c r="N820" i="8"/>
  <c r="R820" i="8" s="1"/>
  <c r="N836" i="8"/>
  <c r="R836" i="8" s="1"/>
  <c r="N852" i="8"/>
  <c r="R852" i="8" s="1"/>
  <c r="N868" i="8"/>
  <c r="R868" i="8" s="1"/>
  <c r="N884" i="8"/>
  <c r="R884" i="8" s="1"/>
  <c r="N900" i="8"/>
  <c r="R900" i="8" s="1"/>
  <c r="N916" i="8"/>
  <c r="R916" i="8" s="1"/>
  <c r="N932" i="8"/>
  <c r="R932" i="8" s="1"/>
  <c r="N948" i="8"/>
  <c r="R948" i="8" s="1"/>
  <c r="N964" i="8"/>
  <c r="R964" i="8" s="1"/>
  <c r="N980" i="8"/>
  <c r="R980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4B4175-DBE8-4D59-AD7D-FC60C834DC5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E55B9C9B-6A32-45C8-ACCA-FA54046872A7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3988B84B-A5DA-464C-8708-1CE8C616A2B1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<sst xmlns="http://schemas.openxmlformats.org/spreadsheetml/2006/main" count="19194" uniqueCount="1589">
  <si>
    <t>PO_Number</t>
  </si>
  <si>
    <t>Vendor_Name</t>
  </si>
  <si>
    <t>Category</t>
  </si>
  <si>
    <t>SKU</t>
  </si>
  <si>
    <t>Ordered_Qty</t>
  </si>
  <si>
    <t>PO_Date</t>
  </si>
  <si>
    <t>Promised_Date</t>
  </si>
  <si>
    <t>Received_Date</t>
  </si>
  <si>
    <t>Received_Qty</t>
  </si>
  <si>
    <t>Rejected_Qty</t>
  </si>
  <si>
    <t>PO-1723</t>
  </si>
  <si>
    <t>Vendor H</t>
  </si>
  <si>
    <t>Raw Material</t>
  </si>
  <si>
    <t>RM-236</t>
  </si>
  <si>
    <t>PO-1668</t>
  </si>
  <si>
    <t xml:space="preserve">  Vendor B</t>
  </si>
  <si>
    <t>Packaging</t>
  </si>
  <si>
    <t>PK-262</t>
  </si>
  <si>
    <t>PO-1171</t>
  </si>
  <si>
    <t>Vendor F</t>
  </si>
  <si>
    <t>RM-271</t>
  </si>
  <si>
    <t>PO-1551</t>
  </si>
  <si>
    <t>Vendor R</t>
  </si>
  <si>
    <t>Imported</t>
  </si>
  <si>
    <t>IM-104</t>
  </si>
  <si>
    <t>PO-1334</t>
  </si>
  <si>
    <t>Vendor O</t>
  </si>
  <si>
    <t>PK-146</t>
  </si>
  <si>
    <t>PO-1673</t>
  </si>
  <si>
    <t>Vendor J</t>
  </si>
  <si>
    <t>RM-177</t>
  </si>
  <si>
    <t>PO-1653</t>
  </si>
  <si>
    <t>Vendor A</t>
  </si>
  <si>
    <t>IM-281</t>
  </si>
  <si>
    <t>PO-1544</t>
  </si>
  <si>
    <t>Vendor G</t>
  </si>
  <si>
    <t>IM-186</t>
  </si>
  <si>
    <t>PO-1881</t>
  </si>
  <si>
    <t>RM-283</t>
  </si>
  <si>
    <t>PO-1397</t>
  </si>
  <si>
    <t>Vendor D</t>
  </si>
  <si>
    <t>IM-151</t>
  </si>
  <si>
    <t>PO-1409</t>
  </si>
  <si>
    <t>Vendor M</t>
  </si>
  <si>
    <t>RM-180</t>
  </si>
  <si>
    <t>PO-1618</t>
  </si>
  <si>
    <t>Vendor Q</t>
  </si>
  <si>
    <t>IM-258</t>
  </si>
  <si>
    <t>PO-1305</t>
  </si>
  <si>
    <t>Vendor K</t>
  </si>
  <si>
    <t>PK-232</t>
  </si>
  <si>
    <t>PO-1420</t>
  </si>
  <si>
    <t>Vendor I</t>
  </si>
  <si>
    <t>PO-1125</t>
  </si>
  <si>
    <t>Vendor B</t>
  </si>
  <si>
    <t>RM-128</t>
  </si>
  <si>
    <t>PO-1277</t>
  </si>
  <si>
    <t>RM-107</t>
  </si>
  <si>
    <t>PO-1510</t>
  </si>
  <si>
    <t>RM-138</t>
  </si>
  <si>
    <t>PO-1597</t>
  </si>
  <si>
    <t>IM-253</t>
  </si>
  <si>
    <t>PO-1567</t>
  </si>
  <si>
    <t>PO-1094</t>
  </si>
  <si>
    <t>Vendor L</t>
  </si>
  <si>
    <t>IM-136</t>
  </si>
  <si>
    <t>PO-1108</t>
  </si>
  <si>
    <t>Vendor P</t>
  </si>
  <si>
    <t>RM-207</t>
  </si>
  <si>
    <t>PO-1442</t>
  </si>
  <si>
    <t>Vendor E</t>
  </si>
  <si>
    <t>PK-203</t>
  </si>
  <si>
    <t>PO-1971</t>
  </si>
  <si>
    <t>RM-257</t>
  </si>
  <si>
    <t>PO-1403</t>
  </si>
  <si>
    <t>RM-242</t>
  </si>
  <si>
    <t>PO-1786</t>
  </si>
  <si>
    <t>RM-269</t>
  </si>
  <si>
    <t>PO-1024</t>
  </si>
  <si>
    <t>PK-243</t>
  </si>
  <si>
    <t>PO-1862</t>
  </si>
  <si>
    <t>Vendor S</t>
  </si>
  <si>
    <t>IM-214</t>
  </si>
  <si>
    <t>PO-1882</t>
  </si>
  <si>
    <t>RM-173</t>
  </si>
  <si>
    <t>PO-1849</t>
  </si>
  <si>
    <t>IM-245</t>
  </si>
  <si>
    <t>PO-1009</t>
  </si>
  <si>
    <t>RM-229</t>
  </si>
  <si>
    <t>PO-1299</t>
  </si>
  <si>
    <t>PK-142</t>
  </si>
  <si>
    <t>PO-1744</t>
  </si>
  <si>
    <t>PK-130</t>
  </si>
  <si>
    <t>PO-1262</t>
  </si>
  <si>
    <t>IM-278</t>
  </si>
  <si>
    <t>PO-1138</t>
  </si>
  <si>
    <t>RM-240</t>
  </si>
  <si>
    <t>PO-1060</t>
  </si>
  <si>
    <t>RM-125</t>
  </si>
  <si>
    <t>PO-1411</t>
  </si>
  <si>
    <t>Vendor T</t>
  </si>
  <si>
    <t>RM-158</t>
  </si>
  <si>
    <t>PO-1788</t>
  </si>
  <si>
    <t>IM-233</t>
  </si>
  <si>
    <t>PO-1025</t>
  </si>
  <si>
    <t>RM-169</t>
  </si>
  <si>
    <t>PO-1800</t>
  </si>
  <si>
    <t>PK-111</t>
  </si>
  <si>
    <t>PO-1901</t>
  </si>
  <si>
    <t>PK-251</t>
  </si>
  <si>
    <t>PO-1503</t>
  </si>
  <si>
    <t>IM-289</t>
  </si>
  <si>
    <t>PO-1761</t>
  </si>
  <si>
    <t>RM-286</t>
  </si>
  <si>
    <t>PO-1580</t>
  </si>
  <si>
    <t>RM-245</t>
  </si>
  <si>
    <t>PO-1707</t>
  </si>
  <si>
    <t xml:space="preserve">Vendor D  </t>
  </si>
  <si>
    <t>IM-152</t>
  </si>
  <si>
    <t>PO-1140</t>
  </si>
  <si>
    <t>Vendor C</t>
  </si>
  <si>
    <t>RM-281</t>
  </si>
  <si>
    <t>PO-1920</t>
  </si>
  <si>
    <t>RM-178</t>
  </si>
  <si>
    <t>PO-1641</t>
  </si>
  <si>
    <t>PK-214</t>
  </si>
  <si>
    <t>PO-1556</t>
  </si>
  <si>
    <t xml:space="preserve">  Vendor D</t>
  </si>
  <si>
    <t>PO-1610</t>
  </si>
  <si>
    <t>RM-136</t>
  </si>
  <si>
    <t>PO-1729</t>
  </si>
  <si>
    <t>RM-268</t>
  </si>
  <si>
    <t>PO-1013</t>
  </si>
  <si>
    <t>PO-1271</t>
  </si>
  <si>
    <t>PK-263</t>
  </si>
  <si>
    <t>PO-1244</t>
  </si>
  <si>
    <t>RM-289</t>
  </si>
  <si>
    <t>PO-1792</t>
  </si>
  <si>
    <t>PO-1270</t>
  </si>
  <si>
    <t xml:space="preserve">  Vendor H</t>
  </si>
  <si>
    <t>RM-234</t>
  </si>
  <si>
    <t>PO-1426</t>
  </si>
  <si>
    <t>IM-224</t>
  </si>
  <si>
    <t>PO-1993</t>
  </si>
  <si>
    <t>RM-123</t>
  </si>
  <si>
    <t>PO-1222</t>
  </si>
  <si>
    <t>PK-105</t>
  </si>
  <si>
    <t>PO-1952</t>
  </si>
  <si>
    <t>RM-210</t>
  </si>
  <si>
    <t>PO-1760</t>
  </si>
  <si>
    <t>PK-110</t>
  </si>
  <si>
    <t>PO-1742</t>
  </si>
  <si>
    <t>RM-195</t>
  </si>
  <si>
    <t>PO-1695</t>
  </si>
  <si>
    <t>RM-153</t>
  </si>
  <si>
    <t>PO-1601</t>
  </si>
  <si>
    <t>RM-263</t>
  </si>
  <si>
    <t>PO-1652</t>
  </si>
  <si>
    <t>PK-280</t>
  </si>
  <si>
    <t>PO-1384</t>
  </si>
  <si>
    <t>RM-161</t>
  </si>
  <si>
    <t>PO-1204</t>
  </si>
  <si>
    <t>PK-103</t>
  </si>
  <si>
    <t>PO-1684</t>
  </si>
  <si>
    <t>PK-157</t>
  </si>
  <si>
    <t>PO-1734</t>
  </si>
  <si>
    <t>raw material</t>
  </si>
  <si>
    <t>RM-248</t>
  </si>
  <si>
    <t>PO-1666</t>
  </si>
  <si>
    <t>PK-180</t>
  </si>
  <si>
    <t>PO-1724</t>
  </si>
  <si>
    <t>RM-296</t>
  </si>
  <si>
    <t>PO-1651</t>
  </si>
  <si>
    <t>PK-113</t>
  </si>
  <si>
    <t>PO-1830</t>
  </si>
  <si>
    <t>RM-176</t>
  </si>
  <si>
    <t>PO-1034</t>
  </si>
  <si>
    <t>Vendor N</t>
  </si>
  <si>
    <t>RM-134</t>
  </si>
  <si>
    <t>PO-1053</t>
  </si>
  <si>
    <t>PO-1659</t>
  </si>
  <si>
    <t>PK-163</t>
  </si>
  <si>
    <t>PO-1308</t>
  </si>
  <si>
    <t>RM-167</t>
  </si>
  <si>
    <t>PO-1743</t>
  </si>
  <si>
    <t>RM-144</t>
  </si>
  <si>
    <t>PO-1664</t>
  </si>
  <si>
    <t>RM-149</t>
  </si>
  <si>
    <t>PO-1572</t>
  </si>
  <si>
    <t>RM-292</t>
  </si>
  <si>
    <t>PO-1355</t>
  </si>
  <si>
    <t>RM-206</t>
  </si>
  <si>
    <t>PO-1339</t>
  </si>
  <si>
    <t xml:space="preserve">Vendor M  </t>
  </si>
  <si>
    <t>PO-1728</t>
  </si>
  <si>
    <t>RM-204</t>
  </si>
  <si>
    <t>PO-1321</t>
  </si>
  <si>
    <t>PO-1655</t>
  </si>
  <si>
    <t>PO-1685</t>
  </si>
  <si>
    <t>IM-197</t>
  </si>
  <si>
    <t>PO-1571</t>
  </si>
  <si>
    <t>IM-215</t>
  </si>
  <si>
    <t>PO-1099</t>
  </si>
  <si>
    <t>VENDOR S</t>
  </si>
  <si>
    <t>RM-214</t>
  </si>
  <si>
    <t>PO-1682</t>
  </si>
  <si>
    <t xml:space="preserve">  Vendor K</t>
  </si>
  <si>
    <t>PK-252</t>
  </si>
  <si>
    <t>PO-1471</t>
  </si>
  <si>
    <t>PK-299</t>
  </si>
  <si>
    <t>PO-1491</t>
  </si>
  <si>
    <t>PO-1663</t>
  </si>
  <si>
    <t>RM-255</t>
  </si>
  <si>
    <t>PO-1318</t>
  </si>
  <si>
    <t>RM-182</t>
  </si>
  <si>
    <t>PO-1900</t>
  </si>
  <si>
    <t>IM-157</t>
  </si>
  <si>
    <t>PO-1324</t>
  </si>
  <si>
    <t>vendor d</t>
  </si>
  <si>
    <t>IM-183</t>
  </si>
  <si>
    <t>PO-1417</t>
  </si>
  <si>
    <t>RM-192</t>
  </si>
  <si>
    <t>PO-1113</t>
  </si>
  <si>
    <t>PK-173</t>
  </si>
  <si>
    <t>PO-1720</t>
  </si>
  <si>
    <t>IM-174</t>
  </si>
  <si>
    <t>PO-1872</t>
  </si>
  <si>
    <t>RM-274</t>
  </si>
  <si>
    <t>PO-1407</t>
  </si>
  <si>
    <t>RM-285</t>
  </si>
  <si>
    <t>PO-1921</t>
  </si>
  <si>
    <t>RM-277</t>
  </si>
  <si>
    <t>PO-1898</t>
  </si>
  <si>
    <t>PK-277</t>
  </si>
  <si>
    <t>PO-1752</t>
  </si>
  <si>
    <t>PK-298</t>
  </si>
  <si>
    <t>PO-1675</t>
  </si>
  <si>
    <t>PO-1228</t>
  </si>
  <si>
    <t>PK-159</t>
  </si>
  <si>
    <t>PO-1237</t>
  </si>
  <si>
    <t>RM-152</t>
  </si>
  <si>
    <t>PO-1768</t>
  </si>
  <si>
    <t>PK-136</t>
  </si>
  <si>
    <t>PO-1602</t>
  </si>
  <si>
    <t>PK-125</t>
  </si>
  <si>
    <t>PO-1357</t>
  </si>
  <si>
    <t>RM-291</t>
  </si>
  <si>
    <t>PO-1739</t>
  </si>
  <si>
    <t>IM-244</t>
  </si>
  <si>
    <t>PO-1482</t>
  </si>
  <si>
    <t>PK-293</t>
  </si>
  <si>
    <t>PO-1928</t>
  </si>
  <si>
    <t xml:space="preserve">  Vendor R</t>
  </si>
  <si>
    <t>PK-172</t>
  </si>
  <si>
    <t>PO-1110</t>
  </si>
  <si>
    <t>PK-164</t>
  </si>
  <si>
    <t>PO-1026</t>
  </si>
  <si>
    <t>PO-1057</t>
  </si>
  <si>
    <t>RM-217</t>
  </si>
  <si>
    <t>PO-1046</t>
  </si>
  <si>
    <t>RM-115</t>
  </si>
  <si>
    <t>PO-1360</t>
  </si>
  <si>
    <t>IM-212</t>
  </si>
  <si>
    <t>PO-1990</t>
  </si>
  <si>
    <t>RM-194</t>
  </si>
  <si>
    <t>PO-1748</t>
  </si>
  <si>
    <t>PK-138</t>
  </si>
  <si>
    <t>PO-1098</t>
  </si>
  <si>
    <t>PK-152</t>
  </si>
  <si>
    <t>PO-1489</t>
  </si>
  <si>
    <t>RM-209</t>
  </si>
  <si>
    <t>PO-1540</t>
  </si>
  <si>
    <t>PK-137</t>
  </si>
  <si>
    <t>PO-1408</t>
  </si>
  <si>
    <t>PO-1330</t>
  </si>
  <si>
    <t>IM-222</t>
  </si>
  <si>
    <t>PO-1153</t>
  </si>
  <si>
    <t>PK-171</t>
  </si>
  <si>
    <t>PO-1794</t>
  </si>
  <si>
    <t>PK-257</t>
  </si>
  <si>
    <t>PO-1043</t>
  </si>
  <si>
    <t>RM-225</t>
  </si>
  <si>
    <t>PO-1964</t>
  </si>
  <si>
    <t>PK-177</t>
  </si>
  <si>
    <t>PO-1493</t>
  </si>
  <si>
    <t>IM-227</t>
  </si>
  <si>
    <t>PO-1063</t>
  </si>
  <si>
    <t>PO-1557</t>
  </si>
  <si>
    <t>PO-1071</t>
  </si>
  <si>
    <t xml:space="preserve">Vendor K  </t>
  </si>
  <si>
    <t>PO-1038</t>
  </si>
  <si>
    <t>IM-108</t>
  </si>
  <si>
    <t>PO-1916</t>
  </si>
  <si>
    <t>PO-1163</t>
  </si>
  <si>
    <t>PK-106</t>
  </si>
  <si>
    <t>PO-1942</t>
  </si>
  <si>
    <t>IM-291</t>
  </si>
  <si>
    <t>PO-1933</t>
  </si>
  <si>
    <t>PK-188</t>
  </si>
  <si>
    <t>PO-1351</t>
  </si>
  <si>
    <t>PO-1205</t>
  </si>
  <si>
    <t>PK-123</t>
  </si>
  <si>
    <t>PO-1466</t>
  </si>
  <si>
    <t xml:space="preserve">Vendor B  </t>
  </si>
  <si>
    <t>PO-1642</t>
  </si>
  <si>
    <t>RM-186</t>
  </si>
  <si>
    <t>PO-1974</t>
  </si>
  <si>
    <t>RM-160</t>
  </si>
  <si>
    <t>PO-1969</t>
  </si>
  <si>
    <t>PO-1146</t>
  </si>
  <si>
    <t>RM-109</t>
  </si>
  <si>
    <t>PO-1344</t>
  </si>
  <si>
    <t>RM-226</t>
  </si>
  <si>
    <t>PO-1596</t>
  </si>
  <si>
    <t>IM-123</t>
  </si>
  <si>
    <t>PO-1828</t>
  </si>
  <si>
    <t>PK-219</t>
  </si>
  <si>
    <t>PO-1164</t>
  </si>
  <si>
    <t>PK-221</t>
  </si>
  <si>
    <t>PO-1813</t>
  </si>
  <si>
    <t>PK-230</t>
  </si>
  <si>
    <t>PO-1316</t>
  </si>
  <si>
    <t>imported</t>
  </si>
  <si>
    <t>IM-156</t>
  </si>
  <si>
    <t>PO-1061</t>
  </si>
  <si>
    <t>vendor n</t>
  </si>
  <si>
    <t>PO-1591</t>
  </si>
  <si>
    <t xml:space="preserve">Vendor T  </t>
  </si>
  <si>
    <t>PO-1740</t>
  </si>
  <si>
    <t xml:space="preserve">  Vendor G</t>
  </si>
  <si>
    <t>RM-121</t>
  </si>
  <si>
    <t>PO-1511</t>
  </si>
  <si>
    <t>IM-139</t>
  </si>
  <si>
    <t>PO-1513</t>
  </si>
  <si>
    <t>PO-1924</t>
  </si>
  <si>
    <t>PO-1419</t>
  </si>
  <si>
    <t>RM-211</t>
  </si>
  <si>
    <t>PO-1562</t>
  </si>
  <si>
    <t xml:space="preserve">  Vendor Q</t>
  </si>
  <si>
    <t>RM-190</t>
  </si>
  <si>
    <t>PO-1186</t>
  </si>
  <si>
    <t>RM-259</t>
  </si>
  <si>
    <t>PO-1168</t>
  </si>
  <si>
    <t>IM-287</t>
  </si>
  <si>
    <t>PO-1220</t>
  </si>
  <si>
    <t>PO-1365</t>
  </si>
  <si>
    <t>PO-1683</t>
  </si>
  <si>
    <t>IM-111</t>
  </si>
  <si>
    <t>PO-1109</t>
  </si>
  <si>
    <t>RM-145</t>
  </si>
  <si>
    <t>PO-1216</t>
  </si>
  <si>
    <t>vendor s</t>
  </si>
  <si>
    <t>RM-184</t>
  </si>
  <si>
    <t>PO-1256</t>
  </si>
  <si>
    <t>RM-137</t>
  </si>
  <si>
    <t>PO-1785</t>
  </si>
  <si>
    <t>RM-130</t>
  </si>
  <si>
    <t>PO-1412</t>
  </si>
  <si>
    <t>PO-1170</t>
  </si>
  <si>
    <t>PO-1148</t>
  </si>
  <si>
    <t>PO-1418</t>
  </si>
  <si>
    <t>IM-142</t>
  </si>
  <si>
    <t>PO-1775</t>
  </si>
  <si>
    <t>VENDOR K</t>
  </si>
  <si>
    <t>IM-118</t>
  </si>
  <si>
    <t>PO-1985</t>
  </si>
  <si>
    <t>PK-169</t>
  </si>
  <si>
    <t>PO-1732</t>
  </si>
  <si>
    <t>RM-164</t>
  </si>
  <si>
    <t>PO-1912</t>
  </si>
  <si>
    <t>PO-1737</t>
  </si>
  <si>
    <t xml:space="preserve">Vendor L  </t>
  </si>
  <si>
    <t>IM-145</t>
  </si>
  <si>
    <t>PO-1137</t>
  </si>
  <si>
    <t>PO-1128</t>
  </si>
  <si>
    <t>vendor c</t>
  </si>
  <si>
    <t>RM-124</t>
  </si>
  <si>
    <t>PO-1624</t>
  </si>
  <si>
    <t xml:space="preserve">Vendor I  </t>
  </si>
  <si>
    <t>RM-132</t>
  </si>
  <si>
    <t>PO-1718</t>
  </si>
  <si>
    <t>PK-248</t>
  </si>
  <si>
    <t>PO-1756</t>
  </si>
  <si>
    <t>PK-156</t>
  </si>
  <si>
    <t>PO-1587</t>
  </si>
  <si>
    <t>RM-155</t>
  </si>
  <si>
    <t>PO-1947</t>
  </si>
  <si>
    <t>PO-1874</t>
  </si>
  <si>
    <t>IM-284</t>
  </si>
  <si>
    <t>PO-1232</t>
  </si>
  <si>
    <t xml:space="preserve">Vendor O  </t>
  </si>
  <si>
    <t>RM-156</t>
  </si>
  <si>
    <t>PO-1859</t>
  </si>
  <si>
    <t>PK-297</t>
  </si>
  <si>
    <t>PO-1677</t>
  </si>
  <si>
    <t>PK-132</t>
  </si>
  <si>
    <t>PO-1972</t>
  </si>
  <si>
    <t>PO-1362</t>
  </si>
  <si>
    <t>PK-183</t>
  </si>
  <si>
    <t>PO-1894</t>
  </si>
  <si>
    <t>PO-1967</t>
  </si>
  <si>
    <t>PK-139</t>
  </si>
  <si>
    <t>PO-1134</t>
  </si>
  <si>
    <t>RM-260</t>
  </si>
  <si>
    <t>PO-1326</t>
  </si>
  <si>
    <t>PK-268</t>
  </si>
  <si>
    <t>PO-1015</t>
  </si>
  <si>
    <t>RM-246</t>
  </si>
  <si>
    <t>PO-1451</t>
  </si>
  <si>
    <t>RM-141</t>
  </si>
  <si>
    <t>PO-1159</t>
  </si>
  <si>
    <t>PO-1817</t>
  </si>
  <si>
    <t>IM-264</t>
  </si>
  <si>
    <t>PO-1796</t>
  </si>
  <si>
    <t>PK-270</t>
  </si>
  <si>
    <t>PO-1500</t>
  </si>
  <si>
    <t>PO-1048</t>
  </si>
  <si>
    <t>VENDOR R</t>
  </si>
  <si>
    <t>PO-1074</t>
  </si>
  <si>
    <t>RM-113</t>
  </si>
  <si>
    <t>PO-1253</t>
  </si>
  <si>
    <t>RM-172</t>
  </si>
  <si>
    <t>PO-1499</t>
  </si>
  <si>
    <t>IM-271</t>
  </si>
  <si>
    <t>PO-1613</t>
  </si>
  <si>
    <t>PO-1515</t>
  </si>
  <si>
    <t>PK-121</t>
  </si>
  <si>
    <t>PO-1598</t>
  </si>
  <si>
    <t>PK-128</t>
  </si>
  <si>
    <t>PO-1595</t>
  </si>
  <si>
    <t>vendor r</t>
  </si>
  <si>
    <t>PO-1716</t>
  </si>
  <si>
    <t>PK-265</t>
  </si>
  <si>
    <t>PO-1623</t>
  </si>
  <si>
    <t>RM-218</t>
  </si>
  <si>
    <t>PO-1781</t>
  </si>
  <si>
    <t xml:space="preserve">Vendor Q  </t>
  </si>
  <si>
    <t>IM-117</t>
  </si>
  <si>
    <t>PO-1885</t>
  </si>
  <si>
    <t>PO-1054</t>
  </si>
  <si>
    <t>PO-1804</t>
  </si>
  <si>
    <t>PO-1097</t>
  </si>
  <si>
    <t>RM-264</t>
  </si>
  <si>
    <t>PO-1294</t>
  </si>
  <si>
    <t>RM-213</t>
  </si>
  <si>
    <t>PO-1242</t>
  </si>
  <si>
    <t>PK-186</t>
  </si>
  <si>
    <t>PO-1284</t>
  </si>
  <si>
    <t>PK-283</t>
  </si>
  <si>
    <t>PO-1498</t>
  </si>
  <si>
    <t>PO-1127</t>
  </si>
  <si>
    <t>PO-1454</t>
  </si>
  <si>
    <t>PK-174</t>
  </si>
  <si>
    <t>PO-1485</t>
  </si>
  <si>
    <t>PO-1336</t>
  </si>
  <si>
    <t xml:space="preserve">  Vendor N</t>
  </si>
  <si>
    <t>RM-201</t>
  </si>
  <si>
    <t>PO-1842</t>
  </si>
  <si>
    <t>IM-273</t>
  </si>
  <si>
    <t>PO-1726</t>
  </si>
  <si>
    <t>PO-1880</t>
  </si>
  <si>
    <t>RM-108</t>
  </si>
  <si>
    <t>PO-1484</t>
  </si>
  <si>
    <t>IM-252</t>
  </si>
  <si>
    <t>PO-1080</t>
  </si>
  <si>
    <t>PO-1158</t>
  </si>
  <si>
    <t>PO-1463</t>
  </si>
  <si>
    <t>PK-200</t>
  </si>
  <si>
    <t>PO-1619</t>
  </si>
  <si>
    <t>RM-140</t>
  </si>
  <si>
    <t>PO-1259</t>
  </si>
  <si>
    <t>PO-1843</t>
  </si>
  <si>
    <t>PK-151</t>
  </si>
  <si>
    <t>PO-1890</t>
  </si>
  <si>
    <t xml:space="preserve">Vendor A  </t>
  </si>
  <si>
    <t>PO-1674</t>
  </si>
  <si>
    <t xml:space="preserve">Vendor S  </t>
  </si>
  <si>
    <t>PO-1467</t>
  </si>
  <si>
    <t>RM-249</t>
  </si>
  <si>
    <t>PO-1285</t>
  </si>
  <si>
    <t>PO-1635</t>
  </si>
  <si>
    <t>PO-1699</t>
  </si>
  <si>
    <t>PO-1504</t>
  </si>
  <si>
    <t>PO-1319</t>
  </si>
  <si>
    <t>PK-276</t>
  </si>
  <si>
    <t>PO-1179</t>
  </si>
  <si>
    <t>RM-230</t>
  </si>
  <si>
    <t>PO-1643</t>
  </si>
  <si>
    <t>IM-267</t>
  </si>
  <si>
    <t>PO-1702</t>
  </si>
  <si>
    <t>PK-227</t>
  </si>
  <si>
    <t>PO-1694</t>
  </si>
  <si>
    <t>PO-1122</t>
  </si>
  <si>
    <t>RM-159</t>
  </si>
  <si>
    <t>PO-1526</t>
  </si>
  <si>
    <t>IM-195</t>
  </si>
  <si>
    <t>PO-1805</t>
  </si>
  <si>
    <t>PO-1777</t>
  </si>
  <si>
    <t>PO-1888</t>
  </si>
  <si>
    <t>RM-133</t>
  </si>
  <si>
    <t>PO-1478</t>
  </si>
  <si>
    <t>PO-1457</t>
  </si>
  <si>
    <t>PO-1603</t>
  </si>
  <si>
    <t>RM-154</t>
  </si>
  <si>
    <t>PO-1447</t>
  </si>
  <si>
    <t>RM-293</t>
  </si>
  <si>
    <t>PO-1422</t>
  </si>
  <si>
    <t>IM-272</t>
  </si>
  <si>
    <t>PO-1172</t>
  </si>
  <si>
    <t>IM-130</t>
  </si>
  <si>
    <t>PO-1431</t>
  </si>
  <si>
    <t>PO-1908</t>
  </si>
  <si>
    <t>IM-208</t>
  </si>
  <si>
    <t>PO-1689</t>
  </si>
  <si>
    <t>PO-1991</t>
  </si>
  <si>
    <t>PO-1297</t>
  </si>
  <si>
    <t>IM-115</t>
  </si>
  <si>
    <t>PO-1981</t>
  </si>
  <si>
    <t>PO-1861</t>
  </si>
  <si>
    <t>PO-1389</t>
  </si>
  <si>
    <t>RM-251</t>
  </si>
  <si>
    <t>PO-1395</t>
  </si>
  <si>
    <t>PO-1147</t>
  </si>
  <si>
    <t>PO-1375</t>
  </si>
  <si>
    <t>RM-187</t>
  </si>
  <si>
    <t>PO-1854</t>
  </si>
  <si>
    <t>PO-1396</t>
  </si>
  <si>
    <t>PO-1051</t>
  </si>
  <si>
    <t>VENDOR E</t>
  </si>
  <si>
    <t>PK-182</t>
  </si>
  <si>
    <t>PO-1833</t>
  </si>
  <si>
    <t>RM-183</t>
  </si>
  <si>
    <t>PO-1361</t>
  </si>
  <si>
    <t>RM-199</t>
  </si>
  <si>
    <t>PO-1022</t>
  </si>
  <si>
    <t>IM-293</t>
  </si>
  <si>
    <t>PO-1399</t>
  </si>
  <si>
    <t>PO-1453</t>
  </si>
  <si>
    <t>RM-150</t>
  </si>
  <si>
    <t>PO-1209</t>
  </si>
  <si>
    <t>RM-212</t>
  </si>
  <si>
    <t>PO-1736</t>
  </si>
  <si>
    <t>vendor f</t>
  </si>
  <si>
    <t>RM-193</t>
  </si>
  <si>
    <t>PO-1142</t>
  </si>
  <si>
    <t>IM-261</t>
  </si>
  <si>
    <t>PO-1050</t>
  </si>
  <si>
    <t>RM-228</t>
  </si>
  <si>
    <t>PO-1166</t>
  </si>
  <si>
    <t>IM-218</t>
  </si>
  <si>
    <t>PO-1630</t>
  </si>
  <si>
    <t>PO-1534</t>
  </si>
  <si>
    <t>IM-143</t>
  </si>
  <si>
    <t>PO-1081</t>
  </si>
  <si>
    <t>vendor l</t>
  </si>
  <si>
    <t>PO-1367</t>
  </si>
  <si>
    <t>PK-160</t>
  </si>
  <si>
    <t>PO-1926</t>
  </si>
  <si>
    <t>PO-1915</t>
  </si>
  <si>
    <t>PO-1066</t>
  </si>
  <si>
    <t>PO-1611</t>
  </si>
  <si>
    <t>PO-1790</t>
  </si>
  <si>
    <t>PO-1289</t>
  </si>
  <si>
    <t>PO-1542</t>
  </si>
  <si>
    <t>PO-1283</t>
  </si>
  <si>
    <t>PO-1701</t>
  </si>
  <si>
    <t>PO-1712</t>
  </si>
  <si>
    <t>RM-223</t>
  </si>
  <si>
    <t>PO-1064</t>
  </si>
  <si>
    <t>PK-133</t>
  </si>
  <si>
    <t>PO-1656</t>
  </si>
  <si>
    <t>PK-236</t>
  </si>
  <si>
    <t>PO-1264</t>
  </si>
  <si>
    <t>VENDOR O</t>
  </si>
  <si>
    <t>IM-248</t>
  </si>
  <si>
    <t>PO-1866</t>
  </si>
  <si>
    <t>vendor m</t>
  </si>
  <si>
    <t>PO-1480</t>
  </si>
  <si>
    <t>PK-144</t>
  </si>
  <si>
    <t>PO-1514</t>
  </si>
  <si>
    <t>IM-256</t>
  </si>
  <si>
    <t>PO-1020</t>
  </si>
  <si>
    <t>PO-1525</t>
  </si>
  <si>
    <t>IM-124</t>
  </si>
  <si>
    <t>PO-1778</t>
  </si>
  <si>
    <t>IM-213</t>
  </si>
  <si>
    <t>PO-1705</t>
  </si>
  <si>
    <t>PO-1296</t>
  </si>
  <si>
    <t>PO-1037</t>
  </si>
  <si>
    <t>RM-116</t>
  </si>
  <si>
    <t>PO-1780</t>
  </si>
  <si>
    <t>VENDOR G</t>
  </si>
  <si>
    <t>IM-178</t>
  </si>
  <si>
    <t>PO-1261</t>
  </si>
  <si>
    <t>PK-226</t>
  </si>
  <si>
    <t>PO-1625</t>
  </si>
  <si>
    <t>PO-1820</t>
  </si>
  <si>
    <t>PK-118</t>
  </si>
  <si>
    <t>PO-1507</t>
  </si>
  <si>
    <t>PO-1328</t>
  </si>
  <si>
    <t>RM-165</t>
  </si>
  <si>
    <t>PO-1577</t>
  </si>
  <si>
    <t>PO-1508</t>
  </si>
  <si>
    <t>RM-100</t>
  </si>
  <si>
    <t>PO-1836</t>
  </si>
  <si>
    <t>RM-282</t>
  </si>
  <si>
    <t>PO-1188</t>
  </si>
  <si>
    <t>PO-1251</t>
  </si>
  <si>
    <t>IM-193</t>
  </si>
  <si>
    <t>PO-1563</t>
  </si>
  <si>
    <t>PK-167</t>
  </si>
  <si>
    <t>PO-1530</t>
  </si>
  <si>
    <t>PO-1347</t>
  </si>
  <si>
    <t>PO-1722</t>
  </si>
  <si>
    <t>vendor g</t>
  </si>
  <si>
    <t>PO-1649</t>
  </si>
  <si>
    <t>IM-236</t>
  </si>
  <si>
    <t>PO-1917</t>
  </si>
  <si>
    <t>PO-1945</t>
  </si>
  <si>
    <t>IM-127</t>
  </si>
  <si>
    <t>PO-1518</t>
  </si>
  <si>
    <t>PO-1946</t>
  </si>
  <si>
    <t>PO-1564</t>
  </si>
  <si>
    <t>PK-179</t>
  </si>
  <si>
    <t>PO-1693</t>
  </si>
  <si>
    <t>RM-220</t>
  </si>
  <si>
    <t>PO-1662</t>
  </si>
  <si>
    <t>PK-282</t>
  </si>
  <si>
    <t>PO-1821</t>
  </si>
  <si>
    <t>IM-132</t>
  </si>
  <si>
    <t>PO-1455</t>
  </si>
  <si>
    <t>IM-125</t>
  </si>
  <si>
    <t>PO-1686</t>
  </si>
  <si>
    <t>PK-254</t>
  </si>
  <si>
    <t>PO-1452</t>
  </si>
  <si>
    <t xml:space="preserve">  Vendor A</t>
  </si>
  <si>
    <t>IM-171</t>
  </si>
  <si>
    <t>PO-1789</t>
  </si>
  <si>
    <t>PO-1446</t>
  </si>
  <si>
    <t>IM-153</t>
  </si>
  <si>
    <t>PO-1218</t>
  </si>
  <si>
    <t>PO-1239</t>
  </si>
  <si>
    <t xml:space="preserve">Vendor E  </t>
  </si>
  <si>
    <t>PK-260</t>
  </si>
  <si>
    <t>PO-1528</t>
  </si>
  <si>
    <t>RM-231</t>
  </si>
  <si>
    <t>PO-1585</t>
  </si>
  <si>
    <t>RM-175</t>
  </si>
  <si>
    <t>PO-1192</t>
  </si>
  <si>
    <t>PO-1492</t>
  </si>
  <si>
    <t>PK-294</t>
  </si>
  <si>
    <t>PO-1191</t>
  </si>
  <si>
    <t>PO-1350</t>
  </si>
  <si>
    <t>PO-1879</t>
  </si>
  <si>
    <t>PO-1377</t>
  </si>
  <si>
    <t>PO-1132</t>
  </si>
  <si>
    <t>PO-1372</t>
  </si>
  <si>
    <t>PO-1252</t>
  </si>
  <si>
    <t>RM-148</t>
  </si>
  <si>
    <t>PO-1680</t>
  </si>
  <si>
    <t>IM-209</t>
  </si>
  <si>
    <t>PO-1770</t>
  </si>
  <si>
    <t>PO-1263</t>
  </si>
  <si>
    <t>vendor h</t>
  </si>
  <si>
    <t>RM-244</t>
  </si>
  <si>
    <t>PO-1070</t>
  </si>
  <si>
    <t>PK-104</t>
  </si>
  <si>
    <t>PO-1272</t>
  </si>
  <si>
    <t>RM-171</t>
  </si>
  <si>
    <t>PO-1980</t>
  </si>
  <si>
    <t>RM-267</t>
  </si>
  <si>
    <t>PO-1327</t>
  </si>
  <si>
    <t>IM-270</t>
  </si>
  <si>
    <t>PO-1115</t>
  </si>
  <si>
    <t>IM-112</t>
  </si>
  <si>
    <t>PO-1323</t>
  </si>
  <si>
    <t>PO-1975</t>
  </si>
  <si>
    <t>PK-201</t>
  </si>
  <si>
    <t>PO-1672</t>
  </si>
  <si>
    <t>PO-1747</t>
  </si>
  <si>
    <t>RM-279</t>
  </si>
  <si>
    <t>PO-1423</t>
  </si>
  <si>
    <t>RM-117</t>
  </si>
  <si>
    <t>PO-1810</t>
  </si>
  <si>
    <t>RM-129</t>
  </si>
  <si>
    <t>PO-1783</t>
  </si>
  <si>
    <t xml:space="preserve">  Vendor F</t>
  </si>
  <si>
    <t>RM-266</t>
  </si>
  <si>
    <t>PO-1449</t>
  </si>
  <si>
    <t xml:space="preserve">  Vendor M</t>
  </si>
  <si>
    <t>RM-185</t>
  </si>
  <si>
    <t>PO-1973</t>
  </si>
  <si>
    <t>PO-1568</t>
  </si>
  <si>
    <t>IM-237</t>
  </si>
  <si>
    <t>PO-1846</t>
  </si>
  <si>
    <t>PK-117</t>
  </si>
  <si>
    <t>PO-1845</t>
  </si>
  <si>
    <t>PO-1278</t>
  </si>
  <si>
    <t>PK-253</t>
  </si>
  <si>
    <t>PO-1795</t>
  </si>
  <si>
    <t>RM-253</t>
  </si>
  <si>
    <t>PO-1657</t>
  </si>
  <si>
    <t>IM-274</t>
  </si>
  <si>
    <t>PO-1002</t>
  </si>
  <si>
    <t>PO-1229</t>
  </si>
  <si>
    <t>RM-120</t>
  </si>
  <si>
    <t>PO-1435</t>
  </si>
  <si>
    <t>IM-294</t>
  </si>
  <si>
    <t>PO-1956</t>
  </si>
  <si>
    <t>PO-1465</t>
  </si>
  <si>
    <t>PO-1868</t>
  </si>
  <si>
    <t>RM-200</t>
  </si>
  <si>
    <t>PO-1199</t>
  </si>
  <si>
    <t xml:space="preserve">  Vendor C</t>
  </si>
  <si>
    <t>RM-118</t>
  </si>
  <si>
    <t>PO-1371</t>
  </si>
  <si>
    <t>PK-242</t>
  </si>
  <si>
    <t>PO-1870</t>
  </si>
  <si>
    <t>PO-1951</t>
  </si>
  <si>
    <t>PO-1065</t>
  </si>
  <si>
    <t>PO-1691</t>
  </si>
  <si>
    <t>PO-1040</t>
  </si>
  <si>
    <t>PK-175</t>
  </si>
  <si>
    <t>PO-1751</t>
  </si>
  <si>
    <t>PO-1487</t>
  </si>
  <si>
    <t>PO-1909</t>
  </si>
  <si>
    <t>IM-280</t>
  </si>
  <si>
    <t>PO-1509</t>
  </si>
  <si>
    <t>IM-161</t>
  </si>
  <si>
    <t>PO-1959</t>
  </si>
  <si>
    <t>PO-1569</t>
  </si>
  <si>
    <t>RM-168</t>
  </si>
  <si>
    <t>PO-1273</t>
  </si>
  <si>
    <t>PO-1986</t>
  </si>
  <si>
    <t>RM-208</t>
  </si>
  <si>
    <t>PO-1903</t>
  </si>
  <si>
    <t>vendor p</t>
  </si>
  <si>
    <t>PK-216</t>
  </si>
  <si>
    <t>PO-1715</t>
  </si>
  <si>
    <t>IM-154</t>
  </si>
  <si>
    <t>PO-1773</t>
  </si>
  <si>
    <t>PO-1177</t>
  </si>
  <si>
    <t>IM-134</t>
  </si>
  <si>
    <t>PO-1300</t>
  </si>
  <si>
    <t>PO-1925</t>
  </si>
  <si>
    <t>IM-242</t>
  </si>
  <si>
    <t>PO-1202</t>
  </si>
  <si>
    <t>PO-1236</t>
  </si>
  <si>
    <t>IM-241</t>
  </si>
  <si>
    <t>PO-1149</t>
  </si>
  <si>
    <t>RM-297</t>
  </si>
  <si>
    <t>PO-1217</t>
  </si>
  <si>
    <t>PO-1714</t>
  </si>
  <si>
    <t>RM-265</t>
  </si>
  <si>
    <t>PO-1553</t>
  </si>
  <si>
    <t>PO-1616</t>
  </si>
  <si>
    <t>PO-1922</t>
  </si>
  <si>
    <t>PK-168</t>
  </si>
  <si>
    <t>PO-1302</t>
  </si>
  <si>
    <t>PK-109</t>
  </si>
  <si>
    <t>PO-1867</t>
  </si>
  <si>
    <t>PO-1958</t>
  </si>
  <si>
    <t>VENDOR J</t>
  </si>
  <si>
    <t>IM-185</t>
  </si>
  <si>
    <t>PO-1676</t>
  </si>
  <si>
    <t>IM-299</t>
  </si>
  <si>
    <t>PO-1935</t>
  </si>
  <si>
    <t>PK-284</t>
  </si>
  <si>
    <t>PO-1388</t>
  </si>
  <si>
    <t>PK-231</t>
  </si>
  <si>
    <t>PO-1565</t>
  </si>
  <si>
    <t>IM-223</t>
  </si>
  <si>
    <t>PO-1387</t>
  </si>
  <si>
    <t>IM-175</t>
  </si>
  <si>
    <t>PO-1541</t>
  </si>
  <si>
    <t>PK-202</t>
  </si>
  <si>
    <t>PO-1390</t>
  </si>
  <si>
    <t>PO-1437</t>
  </si>
  <si>
    <t>PO-1352</t>
  </si>
  <si>
    <t>IM-268</t>
  </si>
  <si>
    <t>PO-1193</t>
  </si>
  <si>
    <t>VENDOR Q</t>
  </si>
  <si>
    <t>PO-1235</t>
  </si>
  <si>
    <t>PK-209</t>
  </si>
  <si>
    <t>PO-1445</t>
  </si>
  <si>
    <t>IM-194</t>
  </si>
  <si>
    <t>PO-1907</t>
  </si>
  <si>
    <t>PO-1055</t>
  </si>
  <si>
    <t>PK-178</t>
  </si>
  <si>
    <t>PO-1473</t>
  </si>
  <si>
    <t>PO-1096</t>
  </si>
  <si>
    <t>PO-1141</t>
  </si>
  <si>
    <t>PK-225</t>
  </si>
  <si>
    <t>PO-1961</t>
  </si>
  <si>
    <t>PO-1871</t>
  </si>
  <si>
    <t>PK-191</t>
  </si>
  <si>
    <t>PO-1547</t>
  </si>
  <si>
    <t>PO-1806</t>
  </si>
  <si>
    <t>PO-1120</t>
  </si>
  <si>
    <t>PO-1955</t>
  </si>
  <si>
    <t>VENDOR H</t>
  </si>
  <si>
    <t>PO-1570</t>
  </si>
  <si>
    <t>PO-1062</t>
  </si>
  <si>
    <t>PO-1765</t>
  </si>
  <si>
    <t>PO-1459</t>
  </si>
  <si>
    <t>PK-288</t>
  </si>
  <si>
    <t>PO-1414</t>
  </si>
  <si>
    <t>RM-139</t>
  </si>
  <si>
    <t>PO-1003</t>
  </si>
  <si>
    <t>PO-1058</t>
  </si>
  <si>
    <t>PK-150</t>
  </si>
  <si>
    <t>PO-1223</t>
  </si>
  <si>
    <t>PO-1856</t>
  </si>
  <si>
    <t>PK-100</t>
  </si>
  <si>
    <t>PO-1101</t>
  </si>
  <si>
    <t>PK-208</t>
  </si>
  <si>
    <t>PO-1863</t>
  </si>
  <si>
    <t>PO-1221</t>
  </si>
  <si>
    <t>PO-1472</t>
  </si>
  <si>
    <t>RM-270</t>
  </si>
  <si>
    <t>PO-1004</t>
  </si>
  <si>
    <t>RM-278</t>
  </si>
  <si>
    <t>PO-1052</t>
  </si>
  <si>
    <t>PO-1017</t>
  </si>
  <si>
    <t>IM-260</t>
  </si>
  <si>
    <t>PO-1750</t>
  </si>
  <si>
    <t>PO-1306</t>
  </si>
  <si>
    <t>PO-1669</t>
  </si>
  <si>
    <t>PO-1155</t>
  </si>
  <si>
    <t>PO-1853</t>
  </si>
  <si>
    <t>PO-1860</t>
  </si>
  <si>
    <t>PK-154</t>
  </si>
  <si>
    <t>PO-1248</t>
  </si>
  <si>
    <t>IM-276</t>
  </si>
  <si>
    <t>PO-1249</t>
  </si>
  <si>
    <t>PO-1358</t>
  </si>
  <si>
    <t>RM-189</t>
  </si>
  <si>
    <t>PO-1776</t>
  </si>
  <si>
    <t>PO-1430</t>
  </si>
  <si>
    <t>PO-1441</t>
  </si>
  <si>
    <t>IM-283</t>
  </si>
  <si>
    <t>PO-1992</t>
  </si>
  <si>
    <t>PO-1857</t>
  </si>
  <si>
    <t>PK-259</t>
  </si>
  <si>
    <t>PO-1030</t>
  </si>
  <si>
    <t>PO-1281</t>
  </si>
  <si>
    <t>PO-1681</t>
  </si>
  <si>
    <t>PO-1978</t>
  </si>
  <si>
    <t>PK-149</t>
  </si>
  <si>
    <t>PO-1117</t>
  </si>
  <si>
    <t>PO-1531</t>
  </si>
  <si>
    <t>PO-1116</t>
  </si>
  <si>
    <t>PO-1523</t>
  </si>
  <si>
    <t>PO-1671</t>
  </si>
  <si>
    <t>RM-252</t>
  </si>
  <si>
    <t>PO-1291</t>
  </si>
  <si>
    <t>PK-271</t>
  </si>
  <si>
    <t>PO-1027</t>
  </si>
  <si>
    <t>PO-1381</t>
  </si>
  <si>
    <t>PO-1307</t>
  </si>
  <si>
    <t>PO-1706</t>
  </si>
  <si>
    <t>PO-1600</t>
  </si>
  <si>
    <t>RM-294</t>
  </si>
  <si>
    <t>PO-1200</t>
  </si>
  <si>
    <t>RM-104</t>
  </si>
  <si>
    <t>PO-1815</t>
  </si>
  <si>
    <t>PO-1385</t>
  </si>
  <si>
    <t>PO-1719</t>
  </si>
  <si>
    <t>PO-1667</t>
  </si>
  <si>
    <t>PO-1914</t>
  </si>
  <si>
    <t>VENDOR N</t>
  </si>
  <si>
    <t>PO-1802</t>
  </si>
  <si>
    <t>RM-163</t>
  </si>
  <si>
    <t>PO-1953</t>
  </si>
  <si>
    <t>PK-119</t>
  </si>
  <si>
    <t>PO-1314</t>
  </si>
  <si>
    <t>PK-116</t>
  </si>
  <si>
    <t>PO-1505</t>
  </si>
  <si>
    <t>IM-149</t>
  </si>
  <si>
    <t>PO-1280</t>
  </si>
  <si>
    <t>PO-1962</t>
  </si>
  <si>
    <t>RM-103</t>
  </si>
  <si>
    <t>PO-1979</t>
  </si>
  <si>
    <t>PO-1353</t>
  </si>
  <si>
    <t>PO-1650</t>
  </si>
  <si>
    <t>PO-1207</t>
  </si>
  <si>
    <t>PO-1379</t>
  </si>
  <si>
    <t>RM-112</t>
  </si>
  <si>
    <t>PO-1771</t>
  </si>
  <si>
    <t>vendor j</t>
  </si>
  <si>
    <t>PO-1799</t>
  </si>
  <si>
    <t>RM-227</t>
  </si>
  <si>
    <t>PO-1023</t>
  </si>
  <si>
    <t>PO-1340</t>
  </si>
  <si>
    <t>IM-184</t>
  </si>
  <si>
    <t>PO-1700</t>
  </si>
  <si>
    <t>PO-1644</t>
  </si>
  <si>
    <t>PO-1154</t>
  </si>
  <si>
    <t>IM-297</t>
  </si>
  <si>
    <t>PO-1869</t>
  </si>
  <si>
    <t>packaging</t>
  </si>
  <si>
    <t>PK-187</t>
  </si>
  <si>
    <t>PO-1791</t>
  </si>
  <si>
    <t>PO-1733</t>
  </si>
  <si>
    <t>PK-240</t>
  </si>
  <si>
    <t>PO-1552</t>
  </si>
  <si>
    <t>PK-181</t>
  </si>
  <si>
    <t>PO-1793</t>
  </si>
  <si>
    <t>PO-1322</t>
  </si>
  <si>
    <t>PO-1878</t>
  </si>
  <si>
    <t>PO-1812</t>
  </si>
  <si>
    <t>IM-119</t>
  </si>
  <si>
    <t>PO-1082</t>
  </si>
  <si>
    <t>PO-1586</t>
  </si>
  <si>
    <t>PO-1464</t>
  </si>
  <si>
    <t>PO-1333</t>
  </si>
  <si>
    <t>PO-1010</t>
  </si>
  <si>
    <t>PO-1470</t>
  </si>
  <si>
    <t>RM-170</t>
  </si>
  <si>
    <t>PO-1032</t>
  </si>
  <si>
    <t>PO-1578</t>
  </si>
  <si>
    <t>PO-1886</t>
  </si>
  <si>
    <t>PO-1382</t>
  </si>
  <si>
    <t>PK-205</t>
  </si>
  <si>
    <t>PO-1609</t>
  </si>
  <si>
    <t>PO-1558</t>
  </si>
  <si>
    <t>PO-1910</t>
  </si>
  <si>
    <t>PO-1918</t>
  </si>
  <si>
    <t>PO-1378</t>
  </si>
  <si>
    <t xml:space="preserve">Vendor H  </t>
  </si>
  <si>
    <t>PO-1089</t>
  </si>
  <si>
    <t>RM-256</t>
  </si>
  <si>
    <t>PO-1213</t>
  </si>
  <si>
    <t>PO-1133</t>
  </si>
  <si>
    <t>PK-185</t>
  </si>
  <si>
    <t>PO-1346</t>
  </si>
  <si>
    <t>RM-237</t>
  </si>
  <si>
    <t>PO-1007</t>
  </si>
  <si>
    <t>RM-126</t>
  </si>
  <si>
    <t>PO-1621</t>
  </si>
  <si>
    <t>PO-1320</t>
  </si>
  <si>
    <t>RM-222</t>
  </si>
  <si>
    <t>PO-1930</t>
  </si>
  <si>
    <t>PO-1187</t>
  </si>
  <si>
    <t>PK-279</t>
  </si>
  <si>
    <t>PO-1304</t>
  </si>
  <si>
    <t xml:space="preserve">  Vendor T</t>
  </si>
  <si>
    <t>PO-1031</t>
  </si>
  <si>
    <t>IM-199</t>
  </si>
  <si>
    <t>PO-1240</t>
  </si>
  <si>
    <t>PO-1731</t>
  </si>
  <si>
    <t>PK-287</t>
  </si>
  <si>
    <t>PO-1174</t>
  </si>
  <si>
    <t>PO-1245</t>
  </si>
  <si>
    <t>PO-1056</t>
  </si>
  <si>
    <t>PO-1755</t>
  </si>
  <si>
    <t>IM-204</t>
  </si>
  <si>
    <t>PO-1145</t>
  </si>
  <si>
    <t>RM-127</t>
  </si>
  <si>
    <t>PO-1090</t>
  </si>
  <si>
    <t>IM-107</t>
  </si>
  <si>
    <t>PO-1392</t>
  </si>
  <si>
    <t>PO-1310</t>
  </si>
  <si>
    <t>RM-287</t>
  </si>
  <si>
    <t>PO-1359</t>
  </si>
  <si>
    <t xml:space="preserve">Vendor P  </t>
  </si>
  <si>
    <t>PO-1093</t>
  </si>
  <si>
    <t>PO-1696</t>
  </si>
  <si>
    <t>RM-261</t>
  </si>
  <si>
    <t>PO-1754</t>
  </si>
  <si>
    <t>RM-188</t>
  </si>
  <si>
    <t>PO-1376</t>
  </si>
  <si>
    <t>PO-1243</t>
  </si>
  <si>
    <t>PO-1829</t>
  </si>
  <si>
    <t>PO-1087</t>
  </si>
  <si>
    <t>PO-1214</t>
  </si>
  <si>
    <t>PO-1988</t>
  </si>
  <si>
    <t>PO-1173</t>
  </si>
  <si>
    <t>PK-102</t>
  </si>
  <si>
    <t>PO-1425</t>
  </si>
  <si>
    <t>IM-135</t>
  </si>
  <si>
    <t>PO-1779</t>
  </si>
  <si>
    <t>PO-1118</t>
  </si>
  <si>
    <t>RM-105</t>
  </si>
  <si>
    <t>PO-1119</t>
  </si>
  <si>
    <t>RM-254</t>
  </si>
  <si>
    <t>PO-1767</t>
  </si>
  <si>
    <t>IM-203</t>
  </si>
  <si>
    <t>PO-1000</t>
  </si>
  <si>
    <t>PK-210</t>
  </si>
  <si>
    <t>PO-1394</t>
  </si>
  <si>
    <t>PO-1401</t>
  </si>
  <si>
    <t>RM-280</t>
  </si>
  <si>
    <t>PO-1404</t>
  </si>
  <si>
    <t>RM-295</t>
  </si>
  <si>
    <t>PO-1620</t>
  </si>
  <si>
    <t>PO-1627</t>
  </si>
  <si>
    <t>PO-1162</t>
  </si>
  <si>
    <t>PO-1114</t>
  </si>
  <si>
    <t>PO-1150</t>
  </si>
  <si>
    <t>PO-1590</t>
  </si>
  <si>
    <t>PO-1582</t>
  </si>
  <si>
    <t>PO-1295</t>
  </si>
  <si>
    <t>RM-221</t>
  </si>
  <si>
    <t>PO-1368</t>
  </si>
  <si>
    <t>IM-282</t>
  </si>
  <si>
    <t>PO-1543</t>
  </si>
  <si>
    <t>PO-1477</t>
  </si>
  <si>
    <t>PO-1532</t>
  </si>
  <si>
    <t>RM-243</t>
  </si>
  <si>
    <t>PO-1994</t>
  </si>
  <si>
    <t>PO-1594</t>
  </si>
  <si>
    <t>IM-217</t>
  </si>
  <si>
    <t>PO-1965</t>
  </si>
  <si>
    <t>RM-203</t>
  </si>
  <si>
    <t>PO-1258</t>
  </si>
  <si>
    <t>PO-1852</t>
  </si>
  <si>
    <t>PO-1135</t>
  </si>
  <si>
    <t>PO-1939</t>
  </si>
  <si>
    <t>PK-255</t>
  </si>
  <si>
    <t>PO-1758</t>
  </si>
  <si>
    <t>PO-1592</t>
  </si>
  <si>
    <t>PO-1801</t>
  </si>
  <si>
    <t>PO-1501</t>
  </si>
  <si>
    <t>RM-215</t>
  </si>
  <si>
    <t>PO-1538</t>
  </si>
  <si>
    <t>PO-1658</t>
  </si>
  <si>
    <t>RM-241</t>
  </si>
  <si>
    <t>PO-1581</t>
  </si>
  <si>
    <t>PO-1343</t>
  </si>
  <si>
    <t>PO-1679</t>
  </si>
  <si>
    <t>PO-1626</t>
  </si>
  <si>
    <t>PO-1293</t>
  </si>
  <si>
    <t>PO-1364</t>
  </si>
  <si>
    <t>PO-1632</t>
  </si>
  <si>
    <t>IM-234</t>
  </si>
  <si>
    <t>PO-1014</t>
  </si>
  <si>
    <t>PO-1086</t>
  </si>
  <si>
    <t>PO-1370</t>
  </si>
  <si>
    <t>RM-232</t>
  </si>
  <si>
    <t>PO-1165</t>
  </si>
  <si>
    <t>IM-266</t>
  </si>
  <si>
    <t>PO-1887</t>
  </si>
  <si>
    <t>RM-233</t>
  </si>
  <si>
    <t>PO-1335</t>
  </si>
  <si>
    <t>PO-1059</t>
  </si>
  <si>
    <t>PO-1354</t>
  </si>
  <si>
    <t>PO-1424</t>
  </si>
  <si>
    <t>RM-106</t>
  </si>
  <si>
    <t>PO-1292</t>
  </si>
  <si>
    <t>PO-1041</t>
  </si>
  <si>
    <t>PO-1329</t>
  </si>
  <si>
    <t>PO-1614</t>
  </si>
  <si>
    <t>PO-1429</t>
  </si>
  <si>
    <t>PO-1079</t>
  </si>
  <si>
    <t>PO-1028</t>
  </si>
  <si>
    <t>PO-1254</t>
  </si>
  <si>
    <t>PO-1769</t>
  </si>
  <si>
    <t>RM-224</t>
  </si>
  <si>
    <t>PO-1458</t>
  </si>
  <si>
    <t>PO-1383</t>
  </si>
  <si>
    <t>PK-290</t>
  </si>
  <si>
    <t>PO-1313</t>
  </si>
  <si>
    <t>PK-158</t>
  </si>
  <si>
    <t>PO-1084</t>
  </si>
  <si>
    <t>PO-1574</t>
  </si>
  <si>
    <t>PO-1136</t>
  </si>
  <si>
    <t>PK-107</t>
  </si>
  <si>
    <t>PO-1111</t>
  </si>
  <si>
    <t>PO-1194</t>
  </si>
  <si>
    <t>PK-101</t>
  </si>
  <si>
    <t>PO-1178</t>
  </si>
  <si>
    <t>RM-119</t>
  </si>
  <si>
    <t>PO-1936</t>
  </si>
  <si>
    <t>PO-1496</t>
  </si>
  <si>
    <t>PO-1129</t>
  </si>
  <si>
    <t>PK-273</t>
  </si>
  <si>
    <t>PO-1337</t>
  </si>
  <si>
    <t>PO-1608</t>
  </si>
  <si>
    <t>PO-1124</t>
  </si>
  <si>
    <t>PO-1966</t>
  </si>
  <si>
    <t>PO-1226</t>
  </si>
  <si>
    <t>PO-1268</t>
  </si>
  <si>
    <t>PO-1983</t>
  </si>
  <si>
    <t>PO-1286</t>
  </si>
  <si>
    <t>PO-1103</t>
  </si>
  <si>
    <t>PO-1593</t>
  </si>
  <si>
    <t>PO-1858</t>
  </si>
  <si>
    <t>PO-1660</t>
  </si>
  <si>
    <t>PO-1227</t>
  </si>
  <si>
    <t>PK-196</t>
  </si>
  <si>
    <t>PO-1889</t>
  </si>
  <si>
    <t>PK-211</t>
  </si>
  <si>
    <t>PO-1301</t>
  </si>
  <si>
    <t>IM-269</t>
  </si>
  <si>
    <t>PO-1275</t>
  </si>
  <si>
    <t>PO-1126</t>
  </si>
  <si>
    <t>PO-1405</t>
  </si>
  <si>
    <t>RM-299</t>
  </si>
  <si>
    <t>PO-1932</t>
  </si>
  <si>
    <t>IM-239</t>
  </si>
  <si>
    <t>PO-1036</t>
  </si>
  <si>
    <t>PO-1139</t>
  </si>
  <si>
    <t>PO-1303</t>
  </si>
  <si>
    <t>PK-247</t>
  </si>
  <si>
    <t>PO-1267</t>
  </si>
  <si>
    <t>IM-180</t>
  </si>
  <si>
    <t>PO-1533</t>
  </si>
  <si>
    <t>PK-220</t>
  </si>
  <si>
    <t>PO-1545</t>
  </si>
  <si>
    <t>PO-1212</t>
  </si>
  <si>
    <t>PO-1468</t>
  </si>
  <si>
    <t>PO-1198</t>
  </si>
  <si>
    <t>PO-1527</t>
  </si>
  <si>
    <t>PO-1883</t>
  </si>
  <si>
    <t>PK-274</t>
  </si>
  <si>
    <t>PO-1241</t>
  </si>
  <si>
    <t>RM-298</t>
  </si>
  <si>
    <t>PO-1342</t>
  </si>
  <si>
    <t>RM-131</t>
  </si>
  <si>
    <t>PO-1549</t>
  </si>
  <si>
    <t>PO-1386</t>
  </si>
  <si>
    <t>VENDOR M</t>
  </si>
  <si>
    <t>PO-1864</t>
  </si>
  <si>
    <t>IM-140</t>
  </si>
  <si>
    <t>PO-1206</t>
  </si>
  <si>
    <t>PO-1834</t>
  </si>
  <si>
    <t>PO-1073</t>
  </si>
  <si>
    <t>PO-1749</t>
  </si>
  <si>
    <t>PO-1104</t>
  </si>
  <si>
    <t>PO-1822</t>
  </si>
  <si>
    <t>PO-1713</t>
  </si>
  <si>
    <t>PO-1970</t>
  </si>
  <si>
    <t>PO-1016</t>
  </si>
  <si>
    <t>PO-1439</t>
  </si>
  <si>
    <t>VENDOR B</t>
  </si>
  <si>
    <t>PO-1091</t>
  </si>
  <si>
    <t>PO-1088</t>
  </si>
  <si>
    <t>PO-1450</t>
  </si>
  <si>
    <t>PO-1102</t>
  </si>
  <si>
    <t>IM-207</t>
  </si>
  <si>
    <t>PO-1238</t>
  </si>
  <si>
    <t>PO-1725</t>
  </si>
  <si>
    <t>PO-1246</t>
  </si>
  <si>
    <t xml:space="preserve">Vendor G  </t>
  </si>
  <si>
    <t>PO-1717</t>
  </si>
  <si>
    <t>PO-1157</t>
  </si>
  <si>
    <t>vendor a</t>
  </si>
  <si>
    <t>PO-1479</t>
  </si>
  <si>
    <t>PO-1645</t>
  </si>
  <si>
    <t>PO-1850</t>
  </si>
  <si>
    <t xml:space="preserve">  Vendor E</t>
  </si>
  <si>
    <t>PO-1826</t>
  </si>
  <si>
    <t>PK-145</t>
  </si>
  <si>
    <t>PO-1018</t>
  </si>
  <si>
    <t>PK-286</t>
  </si>
  <si>
    <t>PO-1709</t>
  </si>
  <si>
    <t>PO-1121</t>
  </si>
  <si>
    <t>vendor q</t>
  </si>
  <si>
    <t>PO-1840</t>
  </si>
  <si>
    <t>PK-131</t>
  </si>
  <si>
    <t>PO-1708</t>
  </si>
  <si>
    <t>PO-1274</t>
  </si>
  <si>
    <t>RM-219</t>
  </si>
  <si>
    <t>PO-1433</t>
  </si>
  <si>
    <t>PO-1902</t>
  </si>
  <si>
    <t>PO-1311</t>
  </si>
  <si>
    <t>PO-1893</t>
  </si>
  <si>
    <t>IM-147</t>
  </si>
  <si>
    <t>PO-1839</t>
  </si>
  <si>
    <t xml:space="preserve">Vendor F  </t>
  </si>
  <si>
    <t>PO-1546</t>
  </si>
  <si>
    <t>PO-1181</t>
  </si>
  <si>
    <t>PO-1184</t>
  </si>
  <si>
    <t>RM-191</t>
  </si>
  <si>
    <t>PO-1406</t>
  </si>
  <si>
    <t>RM-101</t>
  </si>
  <si>
    <t>PO-1606</t>
  </si>
  <si>
    <t>PO-1692</t>
  </si>
  <si>
    <t>PO-1520</t>
  </si>
  <si>
    <t>PO-1380</t>
  </si>
  <si>
    <t>IM-110</t>
  </si>
  <si>
    <t>PO-1410</t>
  </si>
  <si>
    <t>PO-1634</t>
  </si>
  <si>
    <t>PO-1369</t>
  </si>
  <si>
    <t>PO-1814</t>
  </si>
  <si>
    <t>PO-1837</t>
  </si>
  <si>
    <t>PO-1757</t>
  </si>
  <si>
    <t>PO-1078</t>
  </si>
  <si>
    <t>PO-1573</t>
  </si>
  <si>
    <t>PO-1637</t>
  </si>
  <si>
    <t>IM-285</t>
  </si>
  <si>
    <t>PO-1607</t>
  </si>
  <si>
    <t>RM-216</t>
  </si>
  <si>
    <t>PO-1798</t>
  </si>
  <si>
    <t>PO-1999</t>
  </si>
  <si>
    <t>VENDOR A</t>
  </si>
  <si>
    <t>PO-1906</t>
  </si>
  <si>
    <t>PO-1929</t>
  </si>
  <si>
    <t>IM-102</t>
  </si>
  <si>
    <t>PO-1416</t>
  </si>
  <si>
    <t>PO-1746</t>
  </si>
  <si>
    <t>PO-1561</t>
  </si>
  <si>
    <t>PK-272</t>
  </si>
  <si>
    <t>PO-1067</t>
  </si>
  <si>
    <t>RM-174</t>
  </si>
  <si>
    <t>PO-1536</t>
  </si>
  <si>
    <t>PK-199</t>
  </si>
  <si>
    <t>PO-1077</t>
  </si>
  <si>
    <t>PO-1105</t>
  </si>
  <si>
    <t>PO-1913</t>
  </si>
  <si>
    <t>PO-1638</t>
  </si>
  <si>
    <t>PO-1559</t>
  </si>
  <si>
    <t>PO-1865</t>
  </si>
  <si>
    <t>PO-1690</t>
  </si>
  <si>
    <t>PO-1873</t>
  </si>
  <si>
    <t>vendor b</t>
  </si>
  <si>
    <t>PO-1963</t>
  </si>
  <si>
    <t>PO-1875</t>
  </si>
  <si>
    <t>PO-1735</t>
  </si>
  <si>
    <t>PO-1782</t>
  </si>
  <si>
    <t>PO-1490</t>
  </si>
  <si>
    <t>PO-1848</t>
  </si>
  <si>
    <t>PK-204</t>
  </si>
  <si>
    <t>PO-1605</t>
  </si>
  <si>
    <t>PO-1363</t>
  </si>
  <si>
    <t>PO-1069</t>
  </si>
  <si>
    <t>PK-241</t>
  </si>
  <si>
    <t>PO-1548</t>
  </si>
  <si>
    <t>PO-1160</t>
  </si>
  <si>
    <t>PO-1011</t>
  </si>
  <si>
    <t>PO-1144</t>
  </si>
  <si>
    <t>PO-1517</t>
  </si>
  <si>
    <t>PO-1427</t>
  </si>
  <si>
    <t>PO-1639</t>
  </si>
  <si>
    <t xml:space="preserve">Vendor R  </t>
  </si>
  <si>
    <t>PO-1176</t>
  </si>
  <si>
    <t>PO-1440</t>
  </si>
  <si>
    <t>PO-1521</t>
  </si>
  <si>
    <t>PO-1876</t>
  </si>
  <si>
    <t>PO-1948</t>
  </si>
  <si>
    <t>PO-1688</t>
  </si>
  <si>
    <t>IM-170</t>
  </si>
  <si>
    <t>PO-1231</t>
  </si>
  <si>
    <t>RM-247</t>
  </si>
  <si>
    <t>PO-1210</t>
  </si>
  <si>
    <t>PO-1640</t>
  </si>
  <si>
    <t>PO-1143</t>
  </si>
  <si>
    <t>PO-1753</t>
  </si>
  <si>
    <t>PO-1519</t>
  </si>
  <si>
    <t>PK-281</t>
  </si>
  <si>
    <t>PO-1954</t>
  </si>
  <si>
    <t>PO-1298</t>
  </si>
  <si>
    <t>PO-1766</t>
  </si>
  <si>
    <t>PO-1428</t>
  </si>
  <si>
    <t>PO-1612</t>
  </si>
  <si>
    <t>PK-127</t>
  </si>
  <si>
    <t>PO-1934</t>
  </si>
  <si>
    <t>PO-1943</t>
  </si>
  <si>
    <t>PO-1008</t>
  </si>
  <si>
    <t>PO-1156</t>
  </si>
  <si>
    <t>PO-1539</t>
  </si>
  <si>
    <t>PO-1506</t>
  </si>
  <si>
    <t>PO-1436</t>
  </si>
  <si>
    <t>PO-1266</t>
  </si>
  <si>
    <t>PK-291</t>
  </si>
  <si>
    <t>PO-1461</t>
  </si>
  <si>
    <t>PO-1576</t>
  </si>
  <si>
    <t>PO-1338</t>
  </si>
  <si>
    <t>PK-267</t>
  </si>
  <si>
    <t>PO-1255</t>
  </si>
  <si>
    <t>IM-292</t>
  </si>
  <si>
    <t>PO-1808</t>
  </si>
  <si>
    <t>RM-179</t>
  </si>
  <si>
    <t>PO-1968</t>
  </si>
  <si>
    <t>PO-1665</t>
  </si>
  <si>
    <t>PO-1560</t>
  </si>
  <si>
    <t>PO-1208</t>
  </si>
  <si>
    <t>PO-1287</t>
  </si>
  <si>
    <t>PO-1001</t>
  </si>
  <si>
    <t>PK-235</t>
  </si>
  <si>
    <t>PO-1341</t>
  </si>
  <si>
    <t>IM-228</t>
  </si>
  <si>
    <t>PO-1269</t>
  </si>
  <si>
    <t>VENDOR P</t>
  </si>
  <si>
    <t>PO-1265</t>
  </si>
  <si>
    <t>PO-1818</t>
  </si>
  <si>
    <t>vendor e</t>
  </si>
  <si>
    <t>PO-1825</t>
  </si>
  <si>
    <t>PO-1095</t>
  </si>
  <si>
    <t>PK-213</t>
  </si>
  <si>
    <t>PO-1976</t>
  </si>
  <si>
    <t>PK-250</t>
  </si>
  <si>
    <t>PO-1042</t>
  </si>
  <si>
    <t>IM-231</t>
  </si>
  <si>
    <t>PO-1807</t>
  </si>
  <si>
    <t>PK-222</t>
  </si>
  <si>
    <t>PO-1838</t>
  </si>
  <si>
    <t>PO-1628</t>
  </si>
  <si>
    <t>PK-285</t>
  </si>
  <si>
    <t>PO-1045</t>
  </si>
  <si>
    <t>PO-1161</t>
  </si>
  <si>
    <t>PK-256</t>
  </si>
  <si>
    <t>PO-1727</t>
  </si>
  <si>
    <t>PO-1629</t>
  </si>
  <si>
    <t>PO-1288</t>
  </si>
  <si>
    <t>PK-218</t>
  </si>
  <si>
    <t>PO-1589</t>
  </si>
  <si>
    <t>PO-1899</t>
  </si>
  <si>
    <t>PO-1977</t>
  </si>
  <si>
    <t>PO-1575</t>
  </si>
  <si>
    <t>PO-1315</t>
  </si>
  <si>
    <t>PO-1896</t>
  </si>
  <si>
    <t>PO-1230</t>
  </si>
  <si>
    <t>PK-114</t>
  </si>
  <si>
    <t>PO-1809</t>
  </si>
  <si>
    <t>RM-151</t>
  </si>
  <si>
    <t>PO-1698</t>
  </si>
  <si>
    <t>PO-1831</t>
  </si>
  <si>
    <t>PO-1711</t>
  </si>
  <si>
    <t>PO-1076</t>
  </si>
  <si>
    <t>PO-1633</t>
  </si>
  <si>
    <t>PO-1982</t>
  </si>
  <si>
    <t>PO-1247</t>
  </si>
  <si>
    <t>PO-1819</t>
  </si>
  <si>
    <t>PO-1984</t>
  </si>
  <si>
    <t>PO-1476</t>
  </si>
  <si>
    <t>PO-1670</t>
  </si>
  <si>
    <t>PO-1085</t>
  </si>
  <si>
    <t>PO-1469</t>
  </si>
  <si>
    <t>vendor t</t>
  </si>
  <si>
    <t>PK-278</t>
  </si>
  <si>
    <t>PO-1225</t>
  </si>
  <si>
    <t>PO-1774</t>
  </si>
  <si>
    <t>PO-1331</t>
  </si>
  <si>
    <t>PO-1233</t>
  </si>
  <si>
    <t>PO-1588</t>
  </si>
  <si>
    <t>IM-176</t>
  </si>
  <si>
    <t>PO-1475</t>
  </si>
  <si>
    <t>PO-1897</t>
  </si>
  <si>
    <t>PO-1877</t>
  </si>
  <si>
    <t>PO-1599</t>
  </si>
  <si>
    <t>PO-1421</t>
  </si>
  <si>
    <t>PO-1687</t>
  </si>
  <si>
    <t>PO-1182</t>
  </si>
  <si>
    <t>PO-1617</t>
  </si>
  <si>
    <t>PO-1332</t>
  </si>
  <si>
    <t>PK-126</t>
  </si>
  <si>
    <t>PO-1438</t>
  </si>
  <si>
    <t>PO-1049</t>
  </si>
  <si>
    <t>PO-1884</t>
  </si>
  <si>
    <t>PO-1005</t>
  </si>
  <si>
    <t>PK-135</t>
  </si>
  <si>
    <t>PO-1529</t>
  </si>
  <si>
    <t xml:space="preserve">  Vendor O</t>
  </si>
  <si>
    <t>PO-1234</t>
  </si>
  <si>
    <t>PO-1486</t>
  </si>
  <si>
    <t>PK-147</t>
  </si>
  <si>
    <t>PO-1911</t>
  </si>
  <si>
    <t>PK-296</t>
  </si>
  <si>
    <t>PO-1497</t>
  </si>
  <si>
    <t>PO-1905</t>
  </si>
  <si>
    <t>PO-1106</t>
  </si>
  <si>
    <t>PO-1443</t>
  </si>
  <si>
    <t>PO-1488</t>
  </si>
  <si>
    <t>PK-245</t>
  </si>
  <si>
    <t>PO-1646</t>
  </si>
  <si>
    <t>PO-1012</t>
  </si>
  <si>
    <t>PO-1738</t>
  </si>
  <si>
    <t>PO-1190</t>
  </si>
  <si>
    <t>RM-142</t>
  </si>
  <si>
    <t>PO-1832</t>
  </si>
  <si>
    <t>PO-1282</t>
  </si>
  <si>
    <t>PK-239</t>
  </si>
  <si>
    <t>PO-1029</t>
  </si>
  <si>
    <t>PO-1169</t>
  </si>
  <si>
    <t>IM-230</t>
  </si>
  <si>
    <t>PO-1180</t>
  </si>
  <si>
    <t>PO-1100</t>
  </si>
  <si>
    <t>PO-1197</t>
  </si>
  <si>
    <t>PK-234</t>
  </si>
  <si>
    <t>PO-1495</t>
  </si>
  <si>
    <t>IM-254</t>
  </si>
  <si>
    <t>PO-1721</t>
  </si>
  <si>
    <t>PO-1647</t>
  </si>
  <si>
    <t>PO-1987</t>
  </si>
  <si>
    <t xml:space="preserve">  Vendor L</t>
  </si>
  <si>
    <t>IM-235</t>
  </si>
  <si>
    <t>PO-1941</t>
  </si>
  <si>
    <t>PO-1710</t>
  </si>
  <si>
    <t>PO-1373</t>
  </si>
  <si>
    <t>PO-1678</t>
  </si>
  <si>
    <t>PO-1892</t>
  </si>
  <si>
    <t>PO-1648</t>
  </si>
  <si>
    <t>PO-1797</t>
  </si>
  <si>
    <t>PO-1847</t>
  </si>
  <si>
    <t>PK-124</t>
  </si>
  <si>
    <t>PO-1460</t>
  </si>
  <si>
    <t>PO-1413</t>
  </si>
  <si>
    <t>PO-1131</t>
  </si>
  <si>
    <t>PK-238</t>
  </si>
  <si>
    <t>PO-1039</t>
  </si>
  <si>
    <t>IM-243</t>
  </si>
  <si>
    <t>PO-1434</t>
  </si>
  <si>
    <t>PO-1215</t>
  </si>
  <si>
    <t>PO-1555</t>
  </si>
  <si>
    <t>PO-1566</t>
  </si>
  <si>
    <t>PK-244</t>
  </si>
  <si>
    <t>PO-1762</t>
  </si>
  <si>
    <t>PO-1474</t>
  </si>
  <si>
    <t>PO-1456</t>
  </si>
  <si>
    <t>PO-1811</t>
  </si>
  <si>
    <t>PO-1260</t>
  </si>
  <si>
    <t>PO-1816</t>
  </si>
  <si>
    <t>IM-116</t>
  </si>
  <si>
    <t>PO-1035</t>
  </si>
  <si>
    <t>PO-1827</t>
  </si>
  <si>
    <t>PK-115</t>
  </si>
  <si>
    <t>PO-1309</t>
  </si>
  <si>
    <t>PO-1276</t>
  </si>
  <si>
    <t>PO-1636</t>
  </si>
  <si>
    <t xml:space="preserve">  Vendor P</t>
  </si>
  <si>
    <t>PO-1654</t>
  </si>
  <si>
    <t>PO-1622</t>
  </si>
  <si>
    <t>PO-1835</t>
  </si>
  <si>
    <t>PO-1844</t>
  </si>
  <si>
    <t>PO-1393</t>
  </si>
  <si>
    <t>PO-1950</t>
  </si>
  <si>
    <t>PO-1107</t>
  </si>
  <si>
    <t>PO-1957</t>
  </si>
  <si>
    <t>PK-224</t>
  </si>
  <si>
    <t>PO-1524</t>
  </si>
  <si>
    <t>PO-1784</t>
  </si>
  <si>
    <t>PO-1047</t>
  </si>
  <si>
    <t>PO-1203</t>
  </si>
  <si>
    <t>PO-1937</t>
  </si>
  <si>
    <t>PK-233</t>
  </si>
  <si>
    <t>PO-1631</t>
  </si>
  <si>
    <t>PO-1021</t>
  </si>
  <si>
    <t>PO-1402</t>
  </si>
  <si>
    <t>PK-228</t>
  </si>
  <si>
    <t>PO-1083</t>
  </si>
  <si>
    <t>PO-1130</t>
  </si>
  <si>
    <t>PO-1415</t>
  </si>
  <si>
    <t>PO-1997</t>
  </si>
  <si>
    <t>PO-1841</t>
  </si>
  <si>
    <t>IM-262</t>
  </si>
  <si>
    <t>PO-1741</t>
  </si>
  <si>
    <t>PO-1697</t>
  </si>
  <si>
    <t>PO-1123</t>
  </si>
  <si>
    <t>PO-1033</t>
  </si>
  <si>
    <t>PO-1989</t>
  </si>
  <si>
    <t>PO-1516</t>
  </si>
  <si>
    <t>PO-1923</t>
  </si>
  <si>
    <t>PO-1019</t>
  </si>
  <si>
    <t>RM-196</t>
  </si>
  <si>
    <t>PO-1938</t>
  </si>
  <si>
    <t>PO-1219</t>
  </si>
  <si>
    <t>PO-1891</t>
  </si>
  <si>
    <t>PO-1481</t>
  </si>
  <si>
    <t>PO-1931</t>
  </si>
  <si>
    <t>PO-1356</t>
  </si>
  <si>
    <t>PO-1661</t>
  </si>
  <si>
    <t>RM-114</t>
  </si>
  <si>
    <t>PO-1224</t>
  </si>
  <si>
    <t>PK-229</t>
  </si>
  <si>
    <t>PO-1759</t>
  </si>
  <si>
    <t>PO-1092</t>
  </si>
  <si>
    <t>VENDOR D</t>
  </si>
  <si>
    <t>PO-1151</t>
  </si>
  <si>
    <t>PO-1996</t>
  </si>
  <si>
    <t>PK-275</t>
  </si>
  <si>
    <t>PO-1317</t>
  </si>
  <si>
    <t>PO-1448</t>
  </si>
  <si>
    <t>PO-1803</t>
  </si>
  <si>
    <t>PO-1745</t>
  </si>
  <si>
    <t>PO-1522</t>
  </si>
  <si>
    <t>IM-131</t>
  </si>
  <si>
    <t>PO-1279</t>
  </si>
  <si>
    <t>IM-206</t>
  </si>
  <si>
    <t>PO-1583</t>
  </si>
  <si>
    <t>RM-239</t>
  </si>
  <si>
    <t>PO-1764</t>
  </si>
  <si>
    <t>RM-205</t>
  </si>
  <si>
    <t>PO-1604</t>
  </si>
  <si>
    <t>PO-1995</t>
  </si>
  <si>
    <t>PO-1349</t>
  </si>
  <si>
    <t>PO-1927</t>
  </si>
  <si>
    <t>PO-1374</t>
  </si>
  <si>
    <t>PO-1400</t>
  </si>
  <si>
    <t xml:space="preserve">  Vendor J</t>
  </si>
  <si>
    <t>IM-247</t>
  </si>
  <si>
    <t>PO-1704</t>
  </si>
  <si>
    <t>IM-160</t>
  </si>
  <si>
    <t>PO-1257</t>
  </si>
  <si>
    <t>PO-1944</t>
  </si>
  <si>
    <t>IM-150</t>
  </si>
  <si>
    <t>PO-1851</t>
  </si>
  <si>
    <t>PO-1072</t>
  </si>
  <si>
    <t>PO-1195</t>
  </si>
  <si>
    <t>PO-1483</t>
  </si>
  <si>
    <t>RM-102</t>
  </si>
  <si>
    <t>PO-1855</t>
  </si>
  <si>
    <t>PK-292</t>
  </si>
  <si>
    <t>PO-1494</t>
  </si>
  <si>
    <t>PO-1772</t>
  </si>
  <si>
    <t>PO-1550</t>
  </si>
  <si>
    <t>PK-193</t>
  </si>
  <si>
    <t>PO-1462</t>
  </si>
  <si>
    <t>PO-1201</t>
  </si>
  <si>
    <t>PK-165</t>
  </si>
  <si>
    <t>PO-1312</t>
  </si>
  <si>
    <t>IM-200</t>
  </si>
  <si>
    <t>PO-1290</t>
  </si>
  <si>
    <t>PO-1960</t>
  </si>
  <si>
    <t>PO-1189</t>
  </si>
  <si>
    <t>PO-1763</t>
  </si>
  <si>
    <t>PO-1112</t>
  </si>
  <si>
    <t>PK-161</t>
  </si>
  <si>
    <t>PO-1949</t>
  </si>
  <si>
    <t>PO-1183</t>
  </si>
  <si>
    <t>PO-1152</t>
  </si>
  <si>
    <t>PO-1824</t>
  </si>
  <si>
    <t>PO-1325</t>
  </si>
  <si>
    <t>PO-1703</t>
  </si>
  <si>
    <t>PO-1044</t>
  </si>
  <si>
    <t>PO-1444</t>
  </si>
  <si>
    <t>PO-1787</t>
  </si>
  <si>
    <t>PO-1006</t>
  </si>
  <si>
    <t>PK-207</t>
  </si>
  <si>
    <t>PO-1250</t>
  </si>
  <si>
    <t>PO-1823</t>
  </si>
  <si>
    <t>PO-1075</t>
  </si>
  <si>
    <t>PO-1512</t>
  </si>
  <si>
    <t>PO-1940</t>
  </si>
  <si>
    <t>PO-1391</t>
  </si>
  <si>
    <t>PO-1895</t>
  </si>
  <si>
    <t>PO-1432</t>
  </si>
  <si>
    <t>PO-1068</t>
  </si>
  <si>
    <t>PO-1998</t>
  </si>
  <si>
    <t>PO-1167</t>
  </si>
  <si>
    <t>PO-1904</t>
  </si>
  <si>
    <t>PO-1730</t>
  </si>
  <si>
    <t>PO-1554</t>
  </si>
  <si>
    <t>PO-1366</t>
  </si>
  <si>
    <t>PO-1345</t>
  </si>
  <si>
    <t>PO-1584</t>
  </si>
  <si>
    <t>PO-1535</t>
  </si>
  <si>
    <t>PO-1398</t>
  </si>
  <si>
    <t>RM-147</t>
  </si>
  <si>
    <t>PO-1185</t>
  </si>
  <si>
    <t>PO-1348</t>
  </si>
  <si>
    <t>PO-1615</t>
  </si>
  <si>
    <t>PO-1919</t>
  </si>
  <si>
    <t>PO-1211</t>
  </si>
  <si>
    <t>PO-1579</t>
  </si>
  <si>
    <t>PO-1502</t>
  </si>
  <si>
    <t>PK-289</t>
  </si>
  <si>
    <t>PO-1537</t>
  </si>
  <si>
    <t>IM-216</t>
  </si>
  <si>
    <t>PO-1196</t>
  </si>
  <si>
    <t>PO-1175</t>
  </si>
  <si>
    <t>PO_Status</t>
  </si>
  <si>
    <t>Delivered</t>
  </si>
  <si>
    <t>unknown_SKU</t>
  </si>
  <si>
    <t>Pending</t>
  </si>
  <si>
    <t>On_Time_Flag</t>
  </si>
  <si>
    <t>In_Full_Flag</t>
  </si>
  <si>
    <t>OTIF</t>
  </si>
  <si>
    <t>Lead_Time_Days</t>
  </si>
  <si>
    <t>Fill_Rate_%</t>
  </si>
  <si>
    <t>Rejection_Rate_%</t>
  </si>
  <si>
    <t>Row Labels</t>
  </si>
  <si>
    <t>Grand Total</t>
  </si>
  <si>
    <t>(All)</t>
  </si>
  <si>
    <t>OTIF_Numeric</t>
  </si>
  <si>
    <t>OTIF%</t>
  </si>
  <si>
    <t>Vendor_Rank</t>
  </si>
  <si>
    <t>OTIF %</t>
  </si>
  <si>
    <t>Delay_Days</t>
  </si>
  <si>
    <t>Penalty_Amount</t>
  </si>
  <si>
    <t>Sum of Penalty_Amount</t>
  </si>
  <si>
    <t>Average Delay_Days</t>
  </si>
  <si>
    <t>Overall OTIF %</t>
  </si>
  <si>
    <t>Avg Fill Rate %</t>
  </si>
  <si>
    <t>Avg Lead Time (Days)</t>
  </si>
  <si>
    <t>Total Penalty ₹</t>
  </si>
  <si>
    <t>Supply Chain OTIF &amp; Vendor Scorecard Dashboard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</si>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</sst>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"/>
  </numFmts>
  <fonts count="9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22" fontId="0" fillId="0" borderId="0" xfId="0" applyNumberFormat="1"/>
    <xf numFmtId="0" fontId="4" fillId="0" borderId="0" xfId="0" applyFont="1"/>
    <xf numFmtId="9" fontId="0" fillId="0" borderId="0" xfId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4" borderId="0" xfId="0" applyFill="1"/>
    <xf numFmtId="0" fontId="5" fillId="5" borderId="0" xfId="0" applyFont="1" applyFill="1"/>
    <xf numFmtId="165" fontId="6" fillId="3" borderId="0" xfId="0" applyNumberFormat="1" applyFont="1" applyFill="1"/>
    <xf numFmtId="9" fontId="6" fillId="3" borderId="0" xfId="0" applyNumberFormat="1" applyFont="1" applyFill="1"/>
    <xf numFmtId="0" fontId="6" fillId="3" borderId="0" xfId="0" applyFont="1" applyFill="1"/>
    <xf numFmtId="166" fontId="6" fillId="3" borderId="0" xfId="0" applyNumberFormat="1" applyFont="1" applyFill="1"/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57"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[OTIF_calc.xlsx]Vendor_Scorecard.!PivotTable2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Vendor OTIF % Ranking (Best to Worst)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Vendor_Scorecard.!$B$3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Vendor_Scorecard.!$A$4:$A$24</c:f>
              <c:strCache>
                <c:ptCount val="20"/>
                <c:pt idx="0">
                  <c:v>Vendor A</c:v>
                </c:pt>
                <c:pt idx="1">
                  <c:v>Vendor B</c:v>
                </c:pt>
                <c:pt idx="2">
                  <c:v>Vendor C</c:v>
                </c:pt>
                <c:pt idx="3">
                  <c:v>Vendor D</c:v>
                </c:pt>
                <c:pt idx="4">
                  <c:v>Vendor E</c:v>
                </c:pt>
                <c:pt idx="5">
                  <c:v>Vendor F</c:v>
                </c:pt>
                <c:pt idx="6">
                  <c:v>Vendor G</c:v>
                </c:pt>
                <c:pt idx="7">
                  <c:v>Vendor H</c:v>
                </c:pt>
                <c:pt idx="8">
                  <c:v>Vendor I</c:v>
                </c:pt>
                <c:pt idx="9">
                  <c:v>Vendor J</c:v>
                </c:pt>
                <c:pt idx="10">
                  <c:v>Vendor K</c:v>
                </c:pt>
                <c:pt idx="11">
                  <c:v>Vendor L</c:v>
                </c:pt>
                <c:pt idx="12">
                  <c:v>Vendor M</c:v>
                </c:pt>
                <c:pt idx="13">
                  <c:v>Vendor N</c:v>
                </c:pt>
                <c:pt idx="14">
                  <c:v>Vendor O</c:v>
                </c:pt>
                <c:pt idx="15">
                  <c:v>Vendor P</c:v>
                </c:pt>
                <c:pt idx="16">
                  <c:v>Vendor Q</c:v>
                </c:pt>
                <c:pt idx="17">
                  <c:v>Vendor R</c:v>
                </c:pt>
                <c:pt idx="18">
                  <c:v>Vendor S</c:v>
                </c:pt>
                <c:pt idx="19">
                  <c:v>Vendor T</c:v>
                </c:pt>
              </c:strCache>
            </c:strRef>
          </c:cat>
          <c:val>
            <c:numRef>
              <c:f>Vendor_Scorecard.!$B$4:$B$24</c:f>
              <c:numCache>
                <c:formatCode>0.0%</c:formatCode>
                <c:ptCount val="20"/>
                <c:pt idx="0">
                  <c:v>0.58181818181818179</c:v>
                </c:pt>
                <c:pt idx="1">
                  <c:v>0.6</c:v>
                </c:pt>
                <c:pt idx="2">
                  <c:v>0.57446808510638303</c:v>
                </c:pt>
                <c:pt idx="3">
                  <c:v>0.52500000000000002</c:v>
                </c:pt>
                <c:pt idx="4">
                  <c:v>0.44</c:v>
                </c:pt>
                <c:pt idx="5">
                  <c:v>0.72916666666666663</c:v>
                </c:pt>
                <c:pt idx="6">
                  <c:v>0.51063829787234039</c:v>
                </c:pt>
                <c:pt idx="7">
                  <c:v>0.65306122448979587</c:v>
                </c:pt>
                <c:pt idx="8">
                  <c:v>0.55319148936170215</c:v>
                </c:pt>
                <c:pt idx="9">
                  <c:v>0.47619047619047616</c:v>
                </c:pt>
                <c:pt idx="10">
                  <c:v>0.60784313725490191</c:v>
                </c:pt>
                <c:pt idx="11">
                  <c:v>0.30232558139534882</c:v>
                </c:pt>
                <c:pt idx="12">
                  <c:v>0.69230769230769229</c:v>
                </c:pt>
                <c:pt idx="13">
                  <c:v>0.65306122448979587</c:v>
                </c:pt>
                <c:pt idx="14">
                  <c:v>0.62068965517241381</c:v>
                </c:pt>
                <c:pt idx="15">
                  <c:v>0.57407407407407407</c:v>
                </c:pt>
                <c:pt idx="16">
                  <c:v>0.7407407407407407</c:v>
                </c:pt>
                <c:pt idx="17">
                  <c:v>0.3125</c:v>
                </c:pt>
                <c:pt idx="18">
                  <c:v>0.34782608695652173</c:v>
                </c:pt>
                <c:pt idx="19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1-47B7-B288-41869664E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854608"/>
        <c:axId val="522855328"/>
      </c:barChart>
      <c:catAx>
        <c:axId val="52285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55328"/>
        <c:crosses val="autoZero"/>
        <c:auto val="1"/>
        <c:lblAlgn val="ctr"/>
        <c:lblOffset val="100"/>
        <c:noMultiLvlLbl val="0"/>
      </c:catAx>
      <c:valAx>
        <c:axId val="5228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5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[OTIF_calc.xlsx]Category_View.!PivotTable3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OTIF % by Category.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'Category_View.'!$B$3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'Category_View.'!$A$4:$A$7</c:f>
              <c:strCache>
                <c:ptCount val="3"/>
                <c:pt idx="0">
                  <c:v>Imported</c:v>
                </c:pt>
                <c:pt idx="1">
                  <c:v>Packaging</c:v>
                </c:pt>
                <c:pt idx="2">
                  <c:v>Raw Material</c:v>
                </c:pt>
              </c:strCache>
            </c:strRef>
          </c:cat>
          <c:val>
            <c:numRef>
              <c:f>'Category_View.'!$B$4:$B$7</c:f>
              <c:numCache>
                <c:formatCode>0.0%</c:formatCode>
                <c:ptCount val="3"/>
                <c:pt idx="0">
                  <c:v>0.49740932642487046</c:v>
                </c:pt>
                <c:pt idx="1">
                  <c:v>0.59598853868194845</c:v>
                </c:pt>
                <c:pt idx="2">
                  <c:v>0.57242990654205606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9-4438-9416-1BCDB6CC6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234800"/>
        <c:axId val="529236960"/>
      </c:barChart>
      <c:catAx>
        <c:axId val="52923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236960"/>
        <c:crosses val="autoZero"/>
        <c:auto val="1"/>
        <c:lblAlgn val="ctr"/>
        <c:lblOffset val="100"/>
        <c:noMultiLvlLbl val="0"/>
      </c:catAx>
      <c:valAx>
        <c:axId val="52923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23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[OTIF_calc.xlsx]Category_View.!PivotTable3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OTIF % by Category.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'Category_View.'!$B$3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'Category_View.'!$A$4:$A$7</c:f>
              <c:strCache>
                <c:ptCount val="3"/>
                <c:pt idx="0">
                  <c:v>Imported</c:v>
                </c:pt>
                <c:pt idx="1">
                  <c:v>Packaging</c:v>
                </c:pt>
                <c:pt idx="2">
                  <c:v>Raw Material</c:v>
                </c:pt>
              </c:strCache>
            </c:strRef>
          </c:cat>
          <c:val>
            <c:numRef>
              <c:f>'Category_View.'!$B$4:$B$7</c:f>
              <c:numCache>
                <c:formatCode>0.0%</c:formatCode>
                <c:ptCount val="3"/>
                <c:pt idx="0">
                  <c:v>0.49740932642487046</c:v>
                </c:pt>
                <c:pt idx="1">
                  <c:v>0.59598853868194845</c:v>
                </c:pt>
                <c:pt idx="2">
                  <c:v>0.57242990654205606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1-4A63-BE6D-B0FDF35B0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234800"/>
        <c:axId val="529236960"/>
      </c:barChart>
      <c:catAx>
        <c:axId val="52923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236960"/>
        <c:crosses val="autoZero"/>
        <c:auto val="1"/>
        <c:lblAlgn val="ctr"/>
        <c:lblOffset val="100"/>
        <c:noMultiLvlLbl val="0"/>
      </c:catAx>
      <c:valAx>
        <c:axId val="52923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23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[OTIF_calc.xlsx]Vendor_Scorecard.!PivotTable2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Vendor OTIF % Ranking (Best to Worst)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Vendor_Scorecard.!$B$3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Vendor_Scorecard.!$A$4:$A$24</c:f>
              <c:strCache>
                <c:ptCount val="20"/>
                <c:pt idx="0">
                  <c:v>Vendor A</c:v>
                </c:pt>
                <c:pt idx="1">
                  <c:v>Vendor B</c:v>
                </c:pt>
                <c:pt idx="2">
                  <c:v>Vendor C</c:v>
                </c:pt>
                <c:pt idx="3">
                  <c:v>Vendor D</c:v>
                </c:pt>
                <c:pt idx="4">
                  <c:v>Vendor E</c:v>
                </c:pt>
                <c:pt idx="5">
                  <c:v>Vendor F</c:v>
                </c:pt>
                <c:pt idx="6">
                  <c:v>Vendor G</c:v>
                </c:pt>
                <c:pt idx="7">
                  <c:v>Vendor H</c:v>
                </c:pt>
                <c:pt idx="8">
                  <c:v>Vendor I</c:v>
                </c:pt>
                <c:pt idx="9">
                  <c:v>Vendor J</c:v>
                </c:pt>
                <c:pt idx="10">
                  <c:v>Vendor K</c:v>
                </c:pt>
                <c:pt idx="11">
                  <c:v>Vendor L</c:v>
                </c:pt>
                <c:pt idx="12">
                  <c:v>Vendor M</c:v>
                </c:pt>
                <c:pt idx="13">
                  <c:v>Vendor N</c:v>
                </c:pt>
                <c:pt idx="14">
                  <c:v>Vendor O</c:v>
                </c:pt>
                <c:pt idx="15">
                  <c:v>Vendor P</c:v>
                </c:pt>
                <c:pt idx="16">
                  <c:v>Vendor Q</c:v>
                </c:pt>
                <c:pt idx="17">
                  <c:v>Vendor R</c:v>
                </c:pt>
                <c:pt idx="18">
                  <c:v>Vendor S</c:v>
                </c:pt>
                <c:pt idx="19">
                  <c:v>Vendor T</c:v>
                </c:pt>
              </c:strCache>
            </c:strRef>
          </c:cat>
          <c:val>
            <c:numRef>
              <c:f>Vendor_Scorecard.!$B$4:$B$24</c:f>
              <c:numCache>
                <c:formatCode>0.0%</c:formatCode>
                <c:ptCount val="20"/>
                <c:pt idx="0">
                  <c:v>0.58181818181818179</c:v>
                </c:pt>
                <c:pt idx="1">
                  <c:v>0.6</c:v>
                </c:pt>
                <c:pt idx="2">
                  <c:v>0.57446808510638303</c:v>
                </c:pt>
                <c:pt idx="3">
                  <c:v>0.52500000000000002</c:v>
                </c:pt>
                <c:pt idx="4">
                  <c:v>0.44</c:v>
                </c:pt>
                <c:pt idx="5">
                  <c:v>0.72916666666666663</c:v>
                </c:pt>
                <c:pt idx="6">
                  <c:v>0.51063829787234039</c:v>
                </c:pt>
                <c:pt idx="7">
                  <c:v>0.65306122448979587</c:v>
                </c:pt>
                <c:pt idx="8">
                  <c:v>0.55319148936170215</c:v>
                </c:pt>
                <c:pt idx="9">
                  <c:v>0.47619047619047616</c:v>
                </c:pt>
                <c:pt idx="10">
                  <c:v>0.60784313725490191</c:v>
                </c:pt>
                <c:pt idx="11">
                  <c:v>0.30232558139534882</c:v>
                </c:pt>
                <c:pt idx="12">
                  <c:v>0.69230769230769229</c:v>
                </c:pt>
                <c:pt idx="13">
                  <c:v>0.65306122448979587</c:v>
                </c:pt>
                <c:pt idx="14">
                  <c:v>0.62068965517241381</c:v>
                </c:pt>
                <c:pt idx="15">
                  <c:v>0.57407407407407407</c:v>
                </c:pt>
                <c:pt idx="16">
                  <c:v>0.7407407407407407</c:v>
                </c:pt>
                <c:pt idx="17">
                  <c:v>0.3125</c:v>
                </c:pt>
                <c:pt idx="18">
                  <c:v>0.34782608695652173</c:v>
                </c:pt>
                <c:pt idx="19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C-4FF1-8A79-B4B80B173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854608"/>
        <c:axId val="522855328"/>
      </c:barChart>
      <c:catAx>
        <c:axId val="52285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55328"/>
        <c:crosses val="autoZero"/>
        <c:auto val="1"/>
        <c:lblAlgn val="ctr"/>
        <c:lblOffset val="100"/>
        <c:noMultiLvlLbl val="0"/>
      </c:catAx>
      <c:valAx>
        <c:axId val="5228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5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5</xdr:row>
      <xdr:rowOff>7620</xdr:rowOff>
    </xdr:from>
    <xdr:to>
      <xdr:col>10</xdr:col>
      <xdr:colOff>108959</xdr:colOff>
      <xdr:row>20</xdr:row>
      <xdr:rowOff>171803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F0B27-F110-471D-B3D4-46247D265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510540</xdr:colOff>
      <xdr:row>4</xdr:row>
      <xdr:rowOff>144780</xdr:rowOff>
    </xdr:from>
    <xdr:to>
      <xdr:col>20</xdr:col>
      <xdr:colOff>462476</xdr:colOff>
      <xdr:row>21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11FBA7-A584-4D3D-8017-2E44C2132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527538</xdr:colOff>
      <xdr:row>8</xdr:row>
      <xdr:rowOff>35169</xdr:rowOff>
    </xdr:from>
    <xdr:to>
      <xdr:col>12</xdr:col>
      <xdr:colOff>427055</xdr:colOff>
      <xdr:row>26</xdr:row>
      <xdr:rowOff>66989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C3DA48-E489-95C9-6BBA-7CD3BB717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274947</xdr:colOff>
      <xdr:row>7</xdr:row>
      <xdr:rowOff>62059</xdr:rowOff>
    </xdr:from>
    <xdr:to>
      <xdr:col>13</xdr:col>
      <xdr:colOff>424206</xdr:colOff>
      <xdr:row>23</xdr:row>
      <xdr:rowOff>78556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80938D-B355-2463-4CA1-135FD31E6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JANI" refreshedDate="46211.719731365738" createdVersion="8" refreshedVersion="8" minRefreshableVersion="3" recordCount="1000" xr:uid="{FF2DAD6E-A106-4EB8-A68A-D15FCFDD8271}">
  <cacheSource type="worksheet">
    <worksheetSource name="Table1_14"/>
  </cacheSource>
  <cacheFields count="18">
    <cacheField name="PO_Number" numFmtId="0">
      <sharedItems count="1000">
        <s v="PO-1723"/>
        <s v="PO-1668"/>
        <s v="PO-1171"/>
        <s v="PO-1551"/>
        <s v="PO-1334"/>
        <s v="PO-1673"/>
        <s v="PO-1653"/>
        <s v="PO-1544"/>
        <s v="PO-1881"/>
        <s v="PO-1397"/>
        <s v="PO-1409"/>
        <s v="PO-1618"/>
        <s v="PO-1305"/>
        <s v="PO-1420"/>
        <s v="PO-1125"/>
        <s v="PO-1277"/>
        <s v="PO-1510"/>
        <s v="PO-1597"/>
        <s v="PO-1567"/>
        <s v="PO-1094"/>
        <s v="PO-1108"/>
        <s v="PO-1442"/>
        <s v="PO-1971"/>
        <s v="PO-1403"/>
        <s v="PO-1786"/>
        <s v="PO-1024"/>
        <s v="PO-1862"/>
        <s v="PO-1882"/>
        <s v="PO-1849"/>
        <s v="PO-1009"/>
        <s v="PO-1299"/>
        <s v="PO-1744"/>
        <s v="PO-1262"/>
        <s v="PO-1138"/>
        <s v="PO-1060"/>
        <s v="PO-1411"/>
        <s v="PO-1788"/>
        <s v="PO-1025"/>
        <s v="PO-1800"/>
        <s v="PO-1901"/>
        <s v="PO-1503"/>
        <s v="PO-1761"/>
        <s v="PO-1580"/>
        <s v="PO-1707"/>
        <s v="PO-1140"/>
        <s v="PO-1920"/>
        <s v="PO-1641"/>
        <s v="PO-1556"/>
        <s v="PO-1610"/>
        <s v="PO-1729"/>
        <s v="PO-1013"/>
        <s v="PO-1271"/>
        <s v="PO-1244"/>
        <s v="PO-1792"/>
        <s v="PO-1270"/>
        <s v="PO-1426"/>
        <s v="PO-1993"/>
        <s v="PO-1222"/>
        <s v="PO-1952"/>
        <s v="PO-1760"/>
        <s v="PO-1742"/>
        <s v="PO-1695"/>
        <s v="PO-1601"/>
        <s v="PO-1652"/>
        <s v="PO-1384"/>
        <s v="PO-1204"/>
        <s v="PO-1684"/>
        <s v="PO-1734"/>
        <s v="PO-1666"/>
        <s v="PO-1724"/>
        <s v="PO-1651"/>
        <s v="PO-1830"/>
        <s v="PO-1034"/>
        <s v="PO-1053"/>
        <s v="PO-1659"/>
        <s v="PO-1308"/>
        <s v="PO-1743"/>
        <s v="PO-1664"/>
        <s v="PO-1572"/>
        <s v="PO-1355"/>
        <s v="PO-1339"/>
        <s v="PO-1728"/>
        <s v="PO-1321"/>
        <s v="PO-1655"/>
        <s v="PO-1685"/>
        <s v="PO-1571"/>
        <s v="PO-1099"/>
        <s v="PO-1682"/>
        <s v="PO-1471"/>
        <s v="PO-1491"/>
        <s v="PO-1663"/>
        <s v="PO-1318"/>
        <s v="PO-1900"/>
        <s v="PO-1324"/>
        <s v="PO-1417"/>
        <s v="PO-1113"/>
        <s v="PO-1720"/>
        <s v="PO-1872"/>
        <s v="PO-1407"/>
        <s v="PO-1921"/>
        <s v="PO-1898"/>
        <s v="PO-1752"/>
        <s v="PO-1675"/>
        <s v="PO-1228"/>
        <s v="PO-1237"/>
        <s v="PO-1768"/>
        <s v="PO-1602"/>
        <s v="PO-1357"/>
        <s v="PO-1739"/>
        <s v="PO-1482"/>
        <s v="PO-1928"/>
        <s v="PO-1110"/>
        <s v="PO-1026"/>
        <s v="PO-1057"/>
        <s v="PO-1046"/>
        <s v="PO-1360"/>
        <s v="PO-1990"/>
        <s v="PO-1748"/>
        <s v="PO-1098"/>
        <s v="PO-1489"/>
        <s v="PO-1540"/>
        <s v="PO-1408"/>
        <s v="PO-1330"/>
        <s v="PO-1153"/>
        <s v="PO-1794"/>
        <s v="PO-1043"/>
        <s v="PO-1964"/>
        <s v="PO-1493"/>
        <s v="PO-1063"/>
        <s v="PO-1557"/>
        <s v="PO-1071"/>
        <s v="PO-1038"/>
        <s v="PO-1916"/>
        <s v="PO-1163"/>
        <s v="PO-1942"/>
        <s v="PO-1933"/>
        <s v="PO-1351"/>
        <s v="PO-1205"/>
        <s v="PO-1466"/>
        <s v="PO-1642"/>
        <s v="PO-1974"/>
        <s v="PO-1969"/>
        <s v="PO-1146"/>
        <s v="PO-1344"/>
        <s v="PO-1596"/>
        <s v="PO-1828"/>
        <s v="PO-1164"/>
        <s v="PO-1813"/>
        <s v="PO-1316"/>
        <s v="PO-1061"/>
        <s v="PO-1591"/>
        <s v="PO-1740"/>
        <s v="PO-1511"/>
        <s v="PO-1513"/>
        <s v="PO-1924"/>
        <s v="PO-1419"/>
        <s v="PO-1562"/>
        <s v="PO-1186"/>
        <s v="PO-1168"/>
        <s v="PO-1220"/>
        <s v="PO-1365"/>
        <s v="PO-1683"/>
        <s v="PO-1109"/>
        <s v="PO-1216"/>
        <s v="PO-1256"/>
        <s v="PO-1785"/>
        <s v="PO-1412"/>
        <s v="PO-1170"/>
        <s v="PO-1148"/>
        <s v="PO-1418"/>
        <s v="PO-1775"/>
        <s v="PO-1985"/>
        <s v="PO-1732"/>
        <s v="PO-1912"/>
        <s v="PO-1737"/>
        <s v="PO-1137"/>
        <s v="PO-1128"/>
        <s v="PO-1624"/>
        <s v="PO-1718"/>
        <s v="PO-1756"/>
        <s v="PO-1587"/>
        <s v="PO-1947"/>
        <s v="PO-1874"/>
        <s v="PO-1232"/>
        <s v="PO-1859"/>
        <s v="PO-1677"/>
        <s v="PO-1972"/>
        <s v="PO-1362"/>
        <s v="PO-1894"/>
        <s v="PO-1967"/>
        <s v="PO-1134"/>
        <s v="PO-1326"/>
        <s v="PO-1015"/>
        <s v="PO-1451"/>
        <s v="PO-1159"/>
        <s v="PO-1817"/>
        <s v="PO-1796"/>
        <s v="PO-1500"/>
        <s v="PO-1048"/>
        <s v="PO-1074"/>
        <s v="PO-1253"/>
        <s v="PO-1499"/>
        <s v="PO-1613"/>
        <s v="PO-1515"/>
        <s v="PO-1598"/>
        <s v="PO-1595"/>
        <s v="PO-1716"/>
        <s v="PO-1623"/>
        <s v="PO-1781"/>
        <s v="PO-1885"/>
        <s v="PO-1054"/>
        <s v="PO-1804"/>
        <s v="PO-1097"/>
        <s v="PO-1294"/>
        <s v="PO-1242"/>
        <s v="PO-1284"/>
        <s v="PO-1498"/>
        <s v="PO-1127"/>
        <s v="PO-1454"/>
        <s v="PO-1485"/>
        <s v="PO-1336"/>
        <s v="PO-1842"/>
        <s v="PO-1726"/>
        <s v="PO-1880"/>
        <s v="PO-1484"/>
        <s v="PO-1080"/>
        <s v="PO-1158"/>
        <s v="PO-1463"/>
        <s v="PO-1619"/>
        <s v="PO-1259"/>
        <s v="PO-1843"/>
        <s v="PO-1890"/>
        <s v="PO-1674"/>
        <s v="PO-1467"/>
        <s v="PO-1285"/>
        <s v="PO-1635"/>
        <s v="PO-1699"/>
        <s v="PO-1504"/>
        <s v="PO-1319"/>
        <s v="PO-1179"/>
        <s v="PO-1643"/>
        <s v="PO-1702"/>
        <s v="PO-1694"/>
        <s v="PO-1122"/>
        <s v="PO-1526"/>
        <s v="PO-1805"/>
        <s v="PO-1777"/>
        <s v="PO-1888"/>
        <s v="PO-1478"/>
        <s v="PO-1457"/>
        <s v="PO-1603"/>
        <s v="PO-1447"/>
        <s v="PO-1422"/>
        <s v="PO-1172"/>
        <s v="PO-1431"/>
        <s v="PO-1908"/>
        <s v="PO-1689"/>
        <s v="PO-1991"/>
        <s v="PO-1297"/>
        <s v="PO-1981"/>
        <s v="PO-1861"/>
        <s v="PO-1389"/>
        <s v="PO-1395"/>
        <s v="PO-1147"/>
        <s v="PO-1375"/>
        <s v="PO-1854"/>
        <s v="PO-1396"/>
        <s v="PO-1051"/>
        <s v="PO-1833"/>
        <s v="PO-1361"/>
        <s v="PO-1022"/>
        <s v="PO-1399"/>
        <s v="PO-1453"/>
        <s v="PO-1209"/>
        <s v="PO-1736"/>
        <s v="PO-1142"/>
        <s v="PO-1050"/>
        <s v="PO-1166"/>
        <s v="PO-1630"/>
        <s v="PO-1534"/>
        <s v="PO-1081"/>
        <s v="PO-1367"/>
        <s v="PO-1926"/>
        <s v="PO-1915"/>
        <s v="PO-1066"/>
        <s v="PO-1611"/>
        <s v="PO-1790"/>
        <s v="PO-1289"/>
        <s v="PO-1542"/>
        <s v="PO-1283"/>
        <s v="PO-1701"/>
        <s v="PO-1712"/>
        <s v="PO-1064"/>
        <s v="PO-1656"/>
        <s v="PO-1264"/>
        <s v="PO-1866"/>
        <s v="PO-1480"/>
        <s v="PO-1514"/>
        <s v="PO-1020"/>
        <s v="PO-1525"/>
        <s v="PO-1778"/>
        <s v="PO-1705"/>
        <s v="PO-1296"/>
        <s v="PO-1037"/>
        <s v="PO-1780"/>
        <s v="PO-1261"/>
        <s v="PO-1625"/>
        <s v="PO-1820"/>
        <s v="PO-1507"/>
        <s v="PO-1328"/>
        <s v="PO-1577"/>
        <s v="PO-1508"/>
        <s v="PO-1836"/>
        <s v="PO-1188"/>
        <s v="PO-1251"/>
        <s v="PO-1563"/>
        <s v="PO-1530"/>
        <s v="PO-1347"/>
        <s v="PO-1722"/>
        <s v="PO-1649"/>
        <s v="PO-1917"/>
        <s v="PO-1945"/>
        <s v="PO-1518"/>
        <s v="PO-1946"/>
        <s v="PO-1564"/>
        <s v="PO-1693"/>
        <s v="PO-1662"/>
        <s v="PO-1821"/>
        <s v="PO-1455"/>
        <s v="PO-1686"/>
        <s v="PO-1452"/>
        <s v="PO-1789"/>
        <s v="PO-1446"/>
        <s v="PO-1218"/>
        <s v="PO-1239"/>
        <s v="PO-1528"/>
        <s v="PO-1585"/>
        <s v="PO-1192"/>
        <s v="PO-1492"/>
        <s v="PO-1191"/>
        <s v="PO-1350"/>
        <s v="PO-1879"/>
        <s v="PO-1377"/>
        <s v="PO-1132"/>
        <s v="PO-1372"/>
        <s v="PO-1252"/>
        <s v="PO-1680"/>
        <s v="PO-1770"/>
        <s v="PO-1263"/>
        <s v="PO-1070"/>
        <s v="PO-1272"/>
        <s v="PO-1980"/>
        <s v="PO-1327"/>
        <s v="PO-1115"/>
        <s v="PO-1323"/>
        <s v="PO-1975"/>
        <s v="PO-1672"/>
        <s v="PO-1747"/>
        <s v="PO-1423"/>
        <s v="PO-1810"/>
        <s v="PO-1783"/>
        <s v="PO-1449"/>
        <s v="PO-1973"/>
        <s v="PO-1568"/>
        <s v="PO-1846"/>
        <s v="PO-1845"/>
        <s v="PO-1278"/>
        <s v="PO-1795"/>
        <s v="PO-1657"/>
        <s v="PO-1002"/>
        <s v="PO-1229"/>
        <s v="PO-1435"/>
        <s v="PO-1956"/>
        <s v="PO-1465"/>
        <s v="PO-1868"/>
        <s v="PO-1199"/>
        <s v="PO-1371"/>
        <s v="PO-1870"/>
        <s v="PO-1951"/>
        <s v="PO-1065"/>
        <s v="PO-1691"/>
        <s v="PO-1040"/>
        <s v="PO-1751"/>
        <s v="PO-1487"/>
        <s v="PO-1909"/>
        <s v="PO-1509"/>
        <s v="PO-1959"/>
        <s v="PO-1569"/>
        <s v="PO-1273"/>
        <s v="PO-1986"/>
        <s v="PO-1903"/>
        <s v="PO-1715"/>
        <s v="PO-1773"/>
        <s v="PO-1177"/>
        <s v="PO-1300"/>
        <s v="PO-1925"/>
        <s v="PO-1202"/>
        <s v="PO-1236"/>
        <s v="PO-1149"/>
        <s v="PO-1217"/>
        <s v="PO-1714"/>
        <s v="PO-1553"/>
        <s v="PO-1616"/>
        <s v="PO-1922"/>
        <s v="PO-1302"/>
        <s v="PO-1867"/>
        <s v="PO-1958"/>
        <s v="PO-1676"/>
        <s v="PO-1935"/>
        <s v="PO-1388"/>
        <s v="PO-1565"/>
        <s v="PO-1387"/>
        <s v="PO-1541"/>
        <s v="PO-1390"/>
        <s v="PO-1437"/>
        <s v="PO-1352"/>
        <s v="PO-1193"/>
        <s v="PO-1235"/>
        <s v="PO-1445"/>
        <s v="PO-1907"/>
        <s v="PO-1055"/>
        <s v="PO-1473"/>
        <s v="PO-1096"/>
        <s v="PO-1141"/>
        <s v="PO-1961"/>
        <s v="PO-1871"/>
        <s v="PO-1547"/>
        <s v="PO-1806"/>
        <s v="PO-1120"/>
        <s v="PO-1955"/>
        <s v="PO-1570"/>
        <s v="PO-1062"/>
        <s v="PO-1765"/>
        <s v="PO-1459"/>
        <s v="PO-1414"/>
        <s v="PO-1003"/>
        <s v="PO-1058"/>
        <s v="PO-1223"/>
        <s v="PO-1856"/>
        <s v="PO-1101"/>
        <s v="PO-1863"/>
        <s v="PO-1221"/>
        <s v="PO-1472"/>
        <s v="PO-1004"/>
        <s v="PO-1052"/>
        <s v="PO-1017"/>
        <s v="PO-1750"/>
        <s v="PO-1306"/>
        <s v="PO-1669"/>
        <s v="PO-1155"/>
        <s v="PO-1853"/>
        <s v="PO-1860"/>
        <s v="PO-1248"/>
        <s v="PO-1249"/>
        <s v="PO-1358"/>
        <s v="PO-1776"/>
        <s v="PO-1430"/>
        <s v="PO-1441"/>
        <s v="PO-1992"/>
        <s v="PO-1857"/>
        <s v="PO-1030"/>
        <s v="PO-1281"/>
        <s v="PO-1681"/>
        <s v="PO-1978"/>
        <s v="PO-1117"/>
        <s v="PO-1531"/>
        <s v="PO-1116"/>
        <s v="PO-1523"/>
        <s v="PO-1671"/>
        <s v="PO-1291"/>
        <s v="PO-1027"/>
        <s v="PO-1381"/>
        <s v="PO-1307"/>
        <s v="PO-1706"/>
        <s v="PO-1600"/>
        <s v="PO-1200"/>
        <s v="PO-1815"/>
        <s v="PO-1385"/>
        <s v="PO-1719"/>
        <s v="PO-1667"/>
        <s v="PO-1914"/>
        <s v="PO-1802"/>
        <s v="PO-1953"/>
        <s v="PO-1314"/>
        <s v="PO-1505"/>
        <s v="PO-1280"/>
        <s v="PO-1962"/>
        <s v="PO-1979"/>
        <s v="PO-1353"/>
        <s v="PO-1650"/>
        <s v="PO-1207"/>
        <s v="PO-1379"/>
        <s v="PO-1771"/>
        <s v="PO-1799"/>
        <s v="PO-1023"/>
        <s v="PO-1340"/>
        <s v="PO-1700"/>
        <s v="PO-1644"/>
        <s v="PO-1154"/>
        <s v="PO-1869"/>
        <s v="PO-1791"/>
        <s v="PO-1733"/>
        <s v="PO-1552"/>
        <s v="PO-1793"/>
        <s v="PO-1322"/>
        <s v="PO-1878"/>
        <s v="PO-1812"/>
        <s v="PO-1082"/>
        <s v="PO-1586"/>
        <s v="PO-1464"/>
        <s v="PO-1333"/>
        <s v="PO-1010"/>
        <s v="PO-1470"/>
        <s v="PO-1032"/>
        <s v="PO-1578"/>
        <s v="PO-1886"/>
        <s v="PO-1382"/>
        <s v="PO-1609"/>
        <s v="PO-1558"/>
        <s v="PO-1910"/>
        <s v="PO-1918"/>
        <s v="PO-1378"/>
        <s v="PO-1089"/>
        <s v="PO-1213"/>
        <s v="PO-1133"/>
        <s v="PO-1346"/>
        <s v="PO-1007"/>
        <s v="PO-1621"/>
        <s v="PO-1320"/>
        <s v="PO-1930"/>
        <s v="PO-1187"/>
        <s v="PO-1304"/>
        <s v="PO-1031"/>
        <s v="PO-1240"/>
        <s v="PO-1731"/>
        <s v="PO-1174"/>
        <s v="PO-1245"/>
        <s v="PO-1056"/>
        <s v="PO-1755"/>
        <s v="PO-1145"/>
        <s v="PO-1090"/>
        <s v="PO-1392"/>
        <s v="PO-1310"/>
        <s v="PO-1359"/>
        <s v="PO-1093"/>
        <s v="PO-1696"/>
        <s v="PO-1754"/>
        <s v="PO-1376"/>
        <s v="PO-1243"/>
        <s v="PO-1829"/>
        <s v="PO-1087"/>
        <s v="PO-1214"/>
        <s v="PO-1988"/>
        <s v="PO-1173"/>
        <s v="PO-1425"/>
        <s v="PO-1779"/>
        <s v="PO-1118"/>
        <s v="PO-1119"/>
        <s v="PO-1767"/>
        <s v="PO-1000"/>
        <s v="PO-1394"/>
        <s v="PO-1401"/>
        <s v="PO-1404"/>
        <s v="PO-1620"/>
        <s v="PO-1627"/>
        <s v="PO-1162"/>
        <s v="PO-1114"/>
        <s v="PO-1150"/>
        <s v="PO-1590"/>
        <s v="PO-1582"/>
        <s v="PO-1295"/>
        <s v="PO-1368"/>
        <s v="PO-1543"/>
        <s v="PO-1477"/>
        <s v="PO-1532"/>
        <s v="PO-1994"/>
        <s v="PO-1594"/>
        <s v="PO-1965"/>
        <s v="PO-1258"/>
        <s v="PO-1852"/>
        <s v="PO-1135"/>
        <s v="PO-1939"/>
        <s v="PO-1758"/>
        <s v="PO-1592"/>
        <s v="PO-1801"/>
        <s v="PO-1501"/>
        <s v="PO-1538"/>
        <s v="PO-1658"/>
        <s v="PO-1581"/>
        <s v="PO-1343"/>
        <s v="PO-1679"/>
        <s v="PO-1626"/>
        <s v="PO-1293"/>
        <s v="PO-1364"/>
        <s v="PO-1632"/>
        <s v="PO-1014"/>
        <s v="PO-1086"/>
        <s v="PO-1370"/>
        <s v="PO-1165"/>
        <s v="PO-1887"/>
        <s v="PO-1335"/>
        <s v="PO-1059"/>
        <s v="PO-1354"/>
        <s v="PO-1424"/>
        <s v="PO-1292"/>
        <s v="PO-1041"/>
        <s v="PO-1329"/>
        <s v="PO-1614"/>
        <s v="PO-1429"/>
        <s v="PO-1079"/>
        <s v="PO-1028"/>
        <s v="PO-1254"/>
        <s v="PO-1769"/>
        <s v="PO-1458"/>
        <s v="PO-1383"/>
        <s v="PO-1313"/>
        <s v="PO-1084"/>
        <s v="PO-1574"/>
        <s v="PO-1136"/>
        <s v="PO-1111"/>
        <s v="PO-1194"/>
        <s v="PO-1178"/>
        <s v="PO-1936"/>
        <s v="PO-1496"/>
        <s v="PO-1129"/>
        <s v="PO-1337"/>
        <s v="PO-1608"/>
        <s v="PO-1124"/>
        <s v="PO-1966"/>
        <s v="PO-1226"/>
        <s v="PO-1268"/>
        <s v="PO-1983"/>
        <s v="PO-1286"/>
        <s v="PO-1103"/>
        <s v="PO-1593"/>
        <s v="PO-1858"/>
        <s v="PO-1660"/>
        <s v="PO-1227"/>
        <s v="PO-1889"/>
        <s v="PO-1301"/>
        <s v="PO-1275"/>
        <s v="PO-1126"/>
        <s v="PO-1405"/>
        <s v="PO-1932"/>
        <s v="PO-1036"/>
        <s v="PO-1139"/>
        <s v="PO-1303"/>
        <s v="PO-1267"/>
        <s v="PO-1533"/>
        <s v="PO-1545"/>
        <s v="PO-1212"/>
        <s v="PO-1468"/>
        <s v="PO-1198"/>
        <s v="PO-1527"/>
        <s v="PO-1883"/>
        <s v="PO-1241"/>
        <s v="PO-1342"/>
        <s v="PO-1549"/>
        <s v="PO-1386"/>
        <s v="PO-1864"/>
        <s v="PO-1206"/>
        <s v="PO-1834"/>
        <s v="PO-1073"/>
        <s v="PO-1749"/>
        <s v="PO-1104"/>
        <s v="PO-1822"/>
        <s v="PO-1713"/>
        <s v="PO-1970"/>
        <s v="PO-1016"/>
        <s v="PO-1439"/>
        <s v="PO-1091"/>
        <s v="PO-1088"/>
        <s v="PO-1450"/>
        <s v="PO-1102"/>
        <s v="PO-1238"/>
        <s v="PO-1725"/>
        <s v="PO-1246"/>
        <s v="PO-1717"/>
        <s v="PO-1157"/>
        <s v="PO-1479"/>
        <s v="PO-1645"/>
        <s v="PO-1850"/>
        <s v="PO-1826"/>
        <s v="PO-1018"/>
        <s v="PO-1709"/>
        <s v="PO-1121"/>
        <s v="PO-1840"/>
        <s v="PO-1708"/>
        <s v="PO-1274"/>
        <s v="PO-1433"/>
        <s v="PO-1902"/>
        <s v="PO-1311"/>
        <s v="PO-1893"/>
        <s v="PO-1839"/>
        <s v="PO-1546"/>
        <s v="PO-1181"/>
        <s v="PO-1184"/>
        <s v="PO-1406"/>
        <s v="PO-1606"/>
        <s v="PO-1692"/>
        <s v="PO-1520"/>
        <s v="PO-1380"/>
        <s v="PO-1410"/>
        <s v="PO-1634"/>
        <s v="PO-1369"/>
        <s v="PO-1814"/>
        <s v="PO-1837"/>
        <s v="PO-1757"/>
        <s v="PO-1078"/>
        <s v="PO-1573"/>
        <s v="PO-1637"/>
        <s v="PO-1607"/>
        <s v="PO-1798"/>
        <s v="PO-1999"/>
        <s v="PO-1906"/>
        <s v="PO-1929"/>
        <s v="PO-1416"/>
        <s v="PO-1746"/>
        <s v="PO-1561"/>
        <s v="PO-1067"/>
        <s v="PO-1536"/>
        <s v="PO-1077"/>
        <s v="PO-1105"/>
        <s v="PO-1913"/>
        <s v="PO-1638"/>
        <s v="PO-1559"/>
        <s v="PO-1865"/>
        <s v="PO-1690"/>
        <s v="PO-1873"/>
        <s v="PO-1963"/>
        <s v="PO-1875"/>
        <s v="PO-1735"/>
        <s v="PO-1782"/>
        <s v="PO-1490"/>
        <s v="PO-1848"/>
        <s v="PO-1605"/>
        <s v="PO-1363"/>
        <s v="PO-1069"/>
        <s v="PO-1548"/>
        <s v="PO-1160"/>
        <s v="PO-1011"/>
        <s v="PO-1144"/>
        <s v="PO-1517"/>
        <s v="PO-1427"/>
        <s v="PO-1639"/>
        <s v="PO-1176"/>
        <s v="PO-1440"/>
        <s v="PO-1521"/>
        <s v="PO-1876"/>
        <s v="PO-1948"/>
        <s v="PO-1688"/>
        <s v="PO-1231"/>
        <s v="PO-1210"/>
        <s v="PO-1640"/>
        <s v="PO-1143"/>
        <s v="PO-1753"/>
        <s v="PO-1519"/>
        <s v="PO-1954"/>
        <s v="PO-1298"/>
        <s v="PO-1766"/>
        <s v="PO-1428"/>
        <s v="PO-1612"/>
        <s v="PO-1934"/>
        <s v="PO-1943"/>
        <s v="PO-1008"/>
        <s v="PO-1156"/>
        <s v="PO-1539"/>
        <s v="PO-1506"/>
        <s v="PO-1436"/>
        <s v="PO-1266"/>
        <s v="PO-1461"/>
        <s v="PO-1576"/>
        <s v="PO-1338"/>
        <s v="PO-1255"/>
        <s v="PO-1808"/>
        <s v="PO-1968"/>
        <s v="PO-1665"/>
        <s v="PO-1560"/>
        <s v="PO-1208"/>
        <s v="PO-1287"/>
        <s v="PO-1001"/>
        <s v="PO-1341"/>
        <s v="PO-1269"/>
        <s v="PO-1265"/>
        <s v="PO-1818"/>
        <s v="PO-1825"/>
        <s v="PO-1095"/>
        <s v="PO-1976"/>
        <s v="PO-1042"/>
        <s v="PO-1807"/>
        <s v="PO-1838"/>
        <s v="PO-1628"/>
        <s v="PO-1045"/>
        <s v="PO-1161"/>
        <s v="PO-1727"/>
        <s v="PO-1629"/>
        <s v="PO-1288"/>
        <s v="PO-1589"/>
        <s v="PO-1899"/>
        <s v="PO-1977"/>
        <s v="PO-1575"/>
        <s v="PO-1315"/>
        <s v="PO-1896"/>
        <s v="PO-1230"/>
        <s v="PO-1809"/>
        <s v="PO-1698"/>
        <s v="PO-1831"/>
        <s v="PO-1711"/>
        <s v="PO-1076"/>
        <s v="PO-1633"/>
        <s v="PO-1982"/>
        <s v="PO-1247"/>
        <s v="PO-1819"/>
        <s v="PO-1984"/>
        <s v="PO-1476"/>
        <s v="PO-1670"/>
        <s v="PO-1085"/>
        <s v="PO-1469"/>
        <s v="PO-1225"/>
        <s v="PO-1774"/>
        <s v="PO-1331"/>
        <s v="PO-1233"/>
        <s v="PO-1588"/>
        <s v="PO-1475"/>
        <s v="PO-1897"/>
        <s v="PO-1877"/>
        <s v="PO-1599"/>
        <s v="PO-1421"/>
        <s v="PO-1687"/>
        <s v="PO-1182"/>
        <s v="PO-1617"/>
        <s v="PO-1332"/>
        <s v="PO-1438"/>
        <s v="PO-1049"/>
        <s v="PO-1884"/>
        <s v="PO-1005"/>
        <s v="PO-1529"/>
        <s v="PO-1234"/>
        <s v="PO-1486"/>
        <s v="PO-1911"/>
        <s v="PO-1497"/>
        <s v="PO-1905"/>
        <s v="PO-1106"/>
        <s v="PO-1443"/>
        <s v="PO-1488"/>
        <s v="PO-1646"/>
        <s v="PO-1012"/>
        <s v="PO-1738"/>
        <s v="PO-1190"/>
        <s v="PO-1832"/>
        <s v="PO-1282"/>
        <s v="PO-1029"/>
        <s v="PO-1169"/>
        <s v="PO-1180"/>
        <s v="PO-1100"/>
        <s v="PO-1197"/>
        <s v="PO-1495"/>
        <s v="PO-1721"/>
        <s v="PO-1647"/>
        <s v="PO-1987"/>
        <s v="PO-1941"/>
        <s v="PO-1710"/>
        <s v="PO-1373"/>
        <s v="PO-1678"/>
        <s v="PO-1892"/>
        <s v="PO-1648"/>
        <s v="PO-1797"/>
        <s v="PO-1847"/>
        <s v="PO-1460"/>
        <s v="PO-1413"/>
        <s v="PO-1131"/>
        <s v="PO-1039"/>
        <s v="PO-1434"/>
        <s v="PO-1215"/>
        <s v="PO-1555"/>
        <s v="PO-1566"/>
        <s v="PO-1762"/>
        <s v="PO-1474"/>
        <s v="PO-1456"/>
        <s v="PO-1811"/>
        <s v="PO-1260"/>
        <s v="PO-1816"/>
        <s v="PO-1035"/>
        <s v="PO-1827"/>
        <s v="PO-1309"/>
        <s v="PO-1276"/>
        <s v="PO-1636"/>
        <s v="PO-1654"/>
        <s v="PO-1622"/>
        <s v="PO-1835"/>
        <s v="PO-1844"/>
        <s v="PO-1393"/>
        <s v="PO-1950"/>
        <s v="PO-1107"/>
        <s v="PO-1957"/>
        <s v="PO-1524"/>
        <s v="PO-1784"/>
        <s v="PO-1047"/>
        <s v="PO-1203"/>
        <s v="PO-1937"/>
        <s v="PO-1631"/>
        <s v="PO-1021"/>
        <s v="PO-1402"/>
        <s v="PO-1083"/>
        <s v="PO-1130"/>
        <s v="PO-1415"/>
        <s v="PO-1997"/>
        <s v="PO-1841"/>
        <s v="PO-1741"/>
        <s v="PO-1697"/>
        <s v="PO-1123"/>
        <s v="PO-1033"/>
        <s v="PO-1989"/>
        <s v="PO-1516"/>
        <s v="PO-1923"/>
        <s v="PO-1019"/>
        <s v="PO-1938"/>
        <s v="PO-1219"/>
        <s v="PO-1891"/>
        <s v="PO-1481"/>
        <s v="PO-1931"/>
        <s v="PO-1356"/>
        <s v="PO-1661"/>
        <s v="PO-1224"/>
        <s v="PO-1759"/>
        <s v="PO-1092"/>
        <s v="PO-1151"/>
        <s v="PO-1996"/>
        <s v="PO-1317"/>
        <s v="PO-1448"/>
        <s v="PO-1803"/>
        <s v="PO-1745"/>
        <s v="PO-1522"/>
        <s v="PO-1279"/>
        <s v="PO-1583"/>
        <s v="PO-1764"/>
        <s v="PO-1604"/>
        <s v="PO-1995"/>
        <s v="PO-1349"/>
        <s v="PO-1927"/>
        <s v="PO-1374"/>
        <s v="PO-1400"/>
        <s v="PO-1704"/>
        <s v="PO-1257"/>
        <s v="PO-1944"/>
        <s v="PO-1851"/>
        <s v="PO-1072"/>
        <s v="PO-1195"/>
        <s v="PO-1483"/>
        <s v="PO-1855"/>
        <s v="PO-1494"/>
        <s v="PO-1772"/>
        <s v="PO-1550"/>
        <s v="PO-1462"/>
        <s v="PO-1201"/>
        <s v="PO-1312"/>
        <s v="PO-1290"/>
        <s v="PO-1960"/>
        <s v="PO-1189"/>
        <s v="PO-1763"/>
        <s v="PO-1112"/>
        <s v="PO-1949"/>
        <s v="PO-1183"/>
        <s v="PO-1152"/>
        <s v="PO-1824"/>
        <s v="PO-1325"/>
        <s v="PO-1703"/>
        <s v="PO-1044"/>
        <s v="PO-1444"/>
        <s v="PO-1787"/>
        <s v="PO-1006"/>
        <s v="PO-1250"/>
        <s v="PO-1823"/>
        <s v="PO-1075"/>
        <s v="PO-1512"/>
        <s v="PO-1940"/>
        <s v="PO-1391"/>
        <s v="PO-1895"/>
        <s v="PO-1432"/>
        <s v="PO-1068"/>
        <s v="PO-1998"/>
        <s v="PO-1167"/>
        <s v="PO-1904"/>
        <s v="PO-1730"/>
        <s v="PO-1554"/>
        <s v="PO-1366"/>
        <s v="PO-1345"/>
        <s v="PO-1584"/>
        <s v="PO-1535"/>
        <s v="PO-1398"/>
        <s v="PO-1185"/>
        <s v="PO-1348"/>
        <s v="PO-1615"/>
        <s v="PO-1919"/>
        <s v="PO-1211"/>
        <s v="PO-1579"/>
        <s v="PO-1502"/>
        <s v="PO-1537"/>
        <s v="PO-1196"/>
        <s v="PO-1175"/>
      </sharedItems>
    </cacheField>
    <cacheField name="Vendor_Name" numFmtId="0">
      <sharedItems count="20">
        <s v="Vendor H"/>
        <s v="Vendor B"/>
        <s v="Vendor F"/>
        <s v="Vendor R"/>
        <s v="Vendor O"/>
        <s v="Vendor J"/>
        <s v="Vendor A"/>
        <s v="Vendor G"/>
        <s v="Vendor D"/>
        <s v="Vendor M"/>
        <s v="Vendor Q"/>
        <s v="Vendor K"/>
        <s v="Vendor I"/>
        <s v="Vendor L"/>
        <s v="Vendor P"/>
        <s v="Vendor E"/>
        <s v="Vendor S"/>
        <s v="Vendor T"/>
        <s v="Vendor C"/>
        <s v="Vendor N"/>
      </sharedItems>
    </cacheField>
    <cacheField name="Category" numFmtId="0">
      <sharedItems count="3">
        <s v="Raw Material"/>
        <s v="Packaging"/>
        <s v="Imported"/>
      </sharedItems>
    </cacheField>
    <cacheField name="Ordered_Qty" numFmtId="0">
      <sharedItems containsSemiMixedTypes="0" containsString="0" containsNumber="1" containsInteger="1" minValue="81" maxValue="999"/>
    </cacheField>
    <cacheField name="PO_Date" numFmtId="22">
      <sharedItems containsSemiMixedTypes="0" containsNonDate="0" containsDate="1" containsString="0" minDate="2026-01-05T00:00:00" maxDate="2026-06-04T00:00:00"/>
    </cacheField>
    <cacheField name="Promised_Date" numFmtId="22">
      <sharedItems containsSemiMixedTypes="0" containsNonDate="0" containsDate="1" containsString="0" minDate="2026-01-11T00:00:00" maxDate="2026-06-19T00:00:00"/>
    </cacheField>
    <cacheField name="Received_Date" numFmtId="22">
      <sharedItems containsNonDate="0" containsDate="1" containsString="0" containsBlank="1" minDate="2026-01-10T00:00:00" maxDate="2026-06-26T00:00:00"/>
    </cacheField>
    <cacheField name="Received_Qty" numFmtId="0">
      <sharedItems containsString="0" containsBlank="1" containsNumber="1" containsInteger="1" minValue="68" maxValue="1007"/>
    </cacheField>
    <cacheField name="SKU" numFmtId="0">
      <sharedItems/>
    </cacheField>
    <cacheField name="Rejected_Qty" numFmtId="0">
      <sharedItems containsString="0" containsBlank="1" containsNumber="1" containsInteger="1" minValue="0" maxValue="96"/>
    </cacheField>
    <cacheField name="PO_Status" numFmtId="0">
      <sharedItems count="2">
        <s v="Delivered"/>
        <s v="Pending"/>
      </sharedItems>
    </cacheField>
    <cacheField name="On_Time_Flag" numFmtId="0">
      <sharedItems/>
    </cacheField>
    <cacheField name="In_Full_Flag" numFmtId="0">
      <sharedItems/>
    </cacheField>
    <cacheField name="OTIF" numFmtId="0">
      <sharedItems/>
    </cacheField>
    <cacheField name="Lead_Time_Days" numFmtId="0">
      <sharedItems containsMixedTypes="1" containsNumber="1" containsInteger="1" minValue="2" maxValue="24"/>
    </cacheField>
    <cacheField name="Fill_Rate_%" numFmtId="9">
      <sharedItems containsMixedTypes="1" containsNumber="1" minValue="0.80053908355795145" maxValue="1.0246913580246915"/>
    </cacheField>
    <cacheField name="Rejection_Rate_%" numFmtId="9">
      <sharedItems containsMixedTypes="1" containsNumber="1" minValue="0" maxValue="9.6681096681096687E-2"/>
    </cacheField>
    <cacheField name="OTIF_Numeric" numFmtId="0">
      <sharedItems containsMixedTypes="1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143329994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JANI" refreshedDate="46211.765182523151" createdVersion="8" refreshedVersion="8" minRefreshableVersion="3" recordCount="1000" xr:uid="{92EBCF8B-BEB4-4629-93A4-4173EE852422}">
  <cacheSource type="worksheet">
    <worksheetSource name="Table1_146"/>
  </cacheSource>
  <cacheFields count="21">
    <cacheField name="PO_Number" numFmtId="0">
      <sharedItems/>
    </cacheField>
    <cacheField name="Vendor_Name" numFmtId="0">
      <sharedItems count="20">
        <s v="Vendor H"/>
        <s v="Vendor B"/>
        <s v="Vendor F"/>
        <s v="Vendor R"/>
        <s v="Vendor O"/>
        <s v="Vendor J"/>
        <s v="Vendor A"/>
        <s v="Vendor G"/>
        <s v="Vendor D"/>
        <s v="Vendor M"/>
        <s v="Vendor Q"/>
        <s v="Vendor K"/>
        <s v="Vendor I"/>
        <s v="Vendor L"/>
        <s v="Vendor P"/>
        <s v="Vendor E"/>
        <s v="Vendor S"/>
        <s v="Vendor T"/>
        <s v="Vendor C"/>
        <s v="Vendor N"/>
      </sharedItems>
    </cacheField>
    <cacheField name="Category" numFmtId="0">
      <sharedItems/>
    </cacheField>
    <cacheField name="Ordered_Qty" numFmtId="0">
      <sharedItems containsSemiMixedTypes="0" containsString="0" containsNumber="1" containsInteger="1" minValue="81" maxValue="999"/>
    </cacheField>
    <cacheField name="PO_Date" numFmtId="22">
      <sharedItems containsSemiMixedTypes="0" containsNonDate="0" containsDate="1" containsString="0" minDate="2026-01-05T00:00:00" maxDate="2026-06-04T00:00:00"/>
    </cacheField>
    <cacheField name="Promised_Date" numFmtId="22">
      <sharedItems containsSemiMixedTypes="0" containsNonDate="0" containsDate="1" containsString="0" minDate="2026-01-11T00:00:00" maxDate="2026-06-19T00:00:00"/>
    </cacheField>
    <cacheField name="Received_Date" numFmtId="22">
      <sharedItems containsNonDate="0" containsDate="1" containsString="0" containsBlank="1" minDate="2026-01-10T00:00:00" maxDate="2026-06-26T00:00:00"/>
    </cacheField>
    <cacheField name="Received_Qty" numFmtId="0">
      <sharedItems containsString="0" containsBlank="1" containsNumber="1" containsInteger="1" minValue="68" maxValue="1007"/>
    </cacheField>
    <cacheField name="SKU" numFmtId="0">
      <sharedItems/>
    </cacheField>
    <cacheField name="Rejected_Qty" numFmtId="0">
      <sharedItems containsString="0" containsBlank="1" containsNumber="1" containsInteger="1" minValue="0" maxValue="96"/>
    </cacheField>
    <cacheField name="PO_Status" numFmtId="0">
      <sharedItems/>
    </cacheField>
    <cacheField name="On_Time_Flag" numFmtId="0">
      <sharedItems/>
    </cacheField>
    <cacheField name="In_Full_Flag" numFmtId="0">
      <sharedItems/>
    </cacheField>
    <cacheField name="OTIF" numFmtId="0">
      <sharedItems/>
    </cacheField>
    <cacheField name="Lead_Time_Days" numFmtId="0">
      <sharedItems containsMixedTypes="1" containsNumber="1" containsInteger="1" minValue="2" maxValue="24"/>
    </cacheField>
    <cacheField name="Fill_Rate_%" numFmtId="9">
      <sharedItems containsMixedTypes="1" containsNumber="1" minValue="0.80053908355795145" maxValue="1.0246913580246915"/>
    </cacheField>
    <cacheField name="Rejection_Rate_%" numFmtId="9">
      <sharedItems containsMixedTypes="1" containsNumber="1" minValue="0" maxValue="9.6681096681096687E-2"/>
    </cacheField>
    <cacheField name="OTIF_Numeric" numFmtId="0">
      <sharedItems containsMixedTypes="1" containsNumber="1" containsInteger="1" minValue="0" maxValue="1"/>
    </cacheField>
    <cacheField name="Delay_Days" numFmtId="0">
      <sharedItems containsMixedTypes="1" containsNumber="1" containsInteger="1" minValue="0" maxValue="9"/>
    </cacheField>
    <cacheField name="Penalty_Amount" numFmtId="0">
      <sharedItems containsSemiMixedTypes="0" containsString="0" containsNumber="1" containsInteger="1" minValue="0" maxValue="4500"/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n v="225"/>
    <d v="2026-04-19T00:00:00"/>
    <d v="2026-04-29T00:00:00"/>
    <d v="2026-04-28T00:00:00"/>
    <n v="186"/>
    <s v="RM-236"/>
    <n v="6"/>
    <x v="0"/>
    <s v="Y"/>
    <s v="N"/>
    <s v="N"/>
    <n v="9"/>
    <n v="0.82666666666666666"/>
    <n v="3.2258064516129031E-2"/>
    <n v="0"/>
  </r>
  <r>
    <x v="1"/>
    <x v="1"/>
    <x v="1"/>
    <n v="875"/>
    <d v="2026-04-30T00:00:00"/>
    <d v="2026-05-14T00:00:00"/>
    <d v="2026-05-12T00:00:00"/>
    <n v="859"/>
    <s v="PK-262"/>
    <n v="10"/>
    <x v="0"/>
    <s v="Y"/>
    <s v="Y"/>
    <s v="Y"/>
    <n v="12"/>
    <n v="0.98171428571428576"/>
    <n v="1.1641443538998836E-2"/>
    <n v="1"/>
  </r>
  <r>
    <x v="2"/>
    <x v="2"/>
    <x v="0"/>
    <n v="288"/>
    <d v="2026-01-06T00:00:00"/>
    <d v="2026-01-16T00:00:00"/>
    <d v="2026-01-15T00:00:00"/>
    <n v="283"/>
    <s v="RM-271"/>
    <n v="9"/>
    <x v="0"/>
    <s v="Y"/>
    <s v="Y"/>
    <s v="Y"/>
    <n v="9"/>
    <n v="0.98263888888888884"/>
    <n v="3.1802120141342753E-2"/>
    <n v="1"/>
  </r>
  <r>
    <x v="3"/>
    <x v="3"/>
    <x v="2"/>
    <n v="876"/>
    <d v="2026-01-17T00:00:00"/>
    <d v="2026-01-24T00:00:00"/>
    <d v="2026-02-01T00:00:00"/>
    <n v="877"/>
    <s v="IM-104"/>
    <n v="8"/>
    <x v="0"/>
    <s v="N"/>
    <s v="Y"/>
    <s v="N"/>
    <n v="15"/>
    <n v="1.0011415525114156"/>
    <n v="9.1220068415051314E-3"/>
    <n v="0"/>
  </r>
  <r>
    <x v="4"/>
    <x v="4"/>
    <x v="1"/>
    <n v="445"/>
    <d v="2026-03-08T00:00:00"/>
    <d v="2026-03-13T00:00:00"/>
    <d v="2026-03-13T00:00:00"/>
    <n v="442"/>
    <s v="PK-146"/>
    <n v="6"/>
    <x v="0"/>
    <s v="Y"/>
    <s v="Y"/>
    <s v="Y"/>
    <n v="5"/>
    <n v="0.99325842696629218"/>
    <n v="1.3574660633484163E-2"/>
    <n v="1"/>
  </r>
  <r>
    <x v="5"/>
    <x v="5"/>
    <x v="0"/>
    <n v="482"/>
    <d v="2026-04-22T00:00:00"/>
    <d v="2026-05-05T00:00:00"/>
    <d v="2026-05-04T00:00:00"/>
    <n v="473"/>
    <s v="RM-177"/>
    <n v="3"/>
    <x v="0"/>
    <s v="Y"/>
    <s v="Y"/>
    <s v="Y"/>
    <n v="12"/>
    <n v="0.98132780082987547"/>
    <n v="6.3424947145877377E-3"/>
    <n v="1"/>
  </r>
  <r>
    <x v="6"/>
    <x v="6"/>
    <x v="2"/>
    <n v="810"/>
    <d v="2026-01-21T00:00:00"/>
    <d v="2026-01-28T00:00:00"/>
    <d v="2026-01-28T00:00:00"/>
    <n v="805"/>
    <s v="IM-281"/>
    <n v="7"/>
    <x v="0"/>
    <s v="Y"/>
    <s v="Y"/>
    <s v="Y"/>
    <n v="7"/>
    <n v="0.99382716049382713"/>
    <n v="8.6956521739130436E-3"/>
    <n v="1"/>
  </r>
  <r>
    <x v="7"/>
    <x v="7"/>
    <x v="2"/>
    <n v="208"/>
    <d v="2026-05-19T00:00:00"/>
    <d v="2026-06-01T00:00:00"/>
    <d v="2026-05-30T00:00:00"/>
    <n v="183"/>
    <s v="IM-186"/>
    <n v="4"/>
    <x v="0"/>
    <s v="Y"/>
    <s v="N"/>
    <s v="N"/>
    <n v="11"/>
    <n v="0.87980769230769229"/>
    <n v="2.185792349726776E-2"/>
    <n v="0"/>
  </r>
  <r>
    <x v="8"/>
    <x v="2"/>
    <x v="0"/>
    <n v="266"/>
    <d v="2026-03-08T00:00:00"/>
    <d v="2026-03-21T00:00:00"/>
    <d v="2026-03-18T00:00:00"/>
    <n v="270"/>
    <s v="RM-283"/>
    <n v="2"/>
    <x v="0"/>
    <s v="Y"/>
    <s v="Y"/>
    <s v="Y"/>
    <n v="10"/>
    <n v="1.0150375939849625"/>
    <n v="7.4074074074074077E-3"/>
    <n v="1"/>
  </r>
  <r>
    <x v="9"/>
    <x v="8"/>
    <x v="2"/>
    <n v="184"/>
    <d v="2026-03-03T00:00:00"/>
    <d v="2026-03-08T00:00:00"/>
    <d v="2026-03-11T00:00:00"/>
    <n v="183"/>
    <s v="IM-151"/>
    <n v="1"/>
    <x v="0"/>
    <s v="N"/>
    <s v="Y"/>
    <s v="N"/>
    <n v="8"/>
    <n v="0.99456521739130432"/>
    <n v="5.4644808743169399E-3"/>
    <n v="0"/>
  </r>
  <r>
    <x v="10"/>
    <x v="9"/>
    <x v="0"/>
    <n v="242"/>
    <d v="2026-03-23T00:00:00"/>
    <d v="2026-04-02T00:00:00"/>
    <d v="2026-04-01T00:00:00"/>
    <n v="243"/>
    <s v="RM-180"/>
    <n v="13"/>
    <x v="0"/>
    <s v="Y"/>
    <s v="Y"/>
    <s v="Y"/>
    <n v="9"/>
    <n v="1.0041322314049588"/>
    <n v="5.3497942386831275E-2"/>
    <n v="1"/>
  </r>
  <r>
    <x v="11"/>
    <x v="10"/>
    <x v="2"/>
    <n v="180"/>
    <d v="2026-03-18T00:00:00"/>
    <d v="2026-03-23T00:00:00"/>
    <d v="2026-03-24T00:00:00"/>
    <n v="181"/>
    <s v="IM-258"/>
    <n v="4"/>
    <x v="0"/>
    <s v="N"/>
    <s v="Y"/>
    <s v="N"/>
    <n v="6"/>
    <n v="1.0055555555555555"/>
    <n v="2.2099447513812154E-2"/>
    <n v="0"/>
  </r>
  <r>
    <x v="12"/>
    <x v="11"/>
    <x v="1"/>
    <n v="480"/>
    <d v="2026-05-06T00:00:00"/>
    <d v="2026-05-11T00:00:00"/>
    <d v="2026-05-19T00:00:00"/>
    <n v="489"/>
    <s v="PK-232"/>
    <n v="5"/>
    <x v="0"/>
    <s v="N"/>
    <s v="Y"/>
    <s v="N"/>
    <n v="13"/>
    <n v="1.01875"/>
    <n v="1.0224948875255624E-2"/>
    <n v="0"/>
  </r>
  <r>
    <x v="13"/>
    <x v="12"/>
    <x v="0"/>
    <n v="126"/>
    <d v="2026-05-09T00:00:00"/>
    <d v="2026-05-18T00:00:00"/>
    <d v="2026-05-17T00:00:00"/>
    <n v="124"/>
    <s v="unknown_SKU"/>
    <n v="1"/>
    <x v="0"/>
    <s v="Y"/>
    <s v="Y"/>
    <s v="Y"/>
    <n v="8"/>
    <n v="0.98412698412698407"/>
    <n v="8.0645161290322578E-3"/>
    <n v="1"/>
  </r>
  <r>
    <x v="14"/>
    <x v="1"/>
    <x v="0"/>
    <n v="178"/>
    <d v="2026-01-08T00:00:00"/>
    <d v="2026-01-13T00:00:00"/>
    <d v="2026-01-12T00:00:00"/>
    <n v="180"/>
    <s v="RM-128"/>
    <n v="1"/>
    <x v="0"/>
    <s v="Y"/>
    <s v="Y"/>
    <s v="Y"/>
    <n v="4"/>
    <n v="1.0112359550561798"/>
    <n v="5.5555555555555558E-3"/>
    <n v="1"/>
  </r>
  <r>
    <x v="15"/>
    <x v="8"/>
    <x v="0"/>
    <n v="369"/>
    <d v="2026-01-16T00:00:00"/>
    <d v="2026-01-27T00:00:00"/>
    <d v="2026-01-29T00:00:00"/>
    <n v="366"/>
    <s v="RM-107"/>
    <n v="14"/>
    <x v="0"/>
    <s v="N"/>
    <s v="Y"/>
    <s v="N"/>
    <n v="13"/>
    <n v="0.99186991869918695"/>
    <n v="3.825136612021858E-2"/>
    <n v="0"/>
  </r>
  <r>
    <x v="16"/>
    <x v="10"/>
    <x v="0"/>
    <n v="998"/>
    <d v="2026-03-24T00:00:00"/>
    <d v="2026-03-30T00:00:00"/>
    <d v="2026-03-28T00:00:00"/>
    <n v="996"/>
    <s v="RM-138"/>
    <n v="96"/>
    <x v="0"/>
    <s v="Y"/>
    <s v="Y"/>
    <s v="Y"/>
    <n v="4"/>
    <n v="0.99799599198396793"/>
    <n v="9.6385542168674704E-2"/>
    <n v="1"/>
  </r>
  <r>
    <x v="17"/>
    <x v="1"/>
    <x v="2"/>
    <n v="984"/>
    <d v="2026-02-21T00:00:00"/>
    <d v="2026-02-28T00:00:00"/>
    <d v="2026-02-26T00:00:00"/>
    <n v="978"/>
    <s v="IM-253"/>
    <n v="23"/>
    <x v="0"/>
    <s v="Y"/>
    <s v="Y"/>
    <s v="Y"/>
    <n v="5"/>
    <n v="0.99390243902439024"/>
    <n v="2.3517382413087935E-2"/>
    <n v="1"/>
  </r>
  <r>
    <x v="18"/>
    <x v="9"/>
    <x v="0"/>
    <n v="586"/>
    <d v="2026-05-01T00:00:00"/>
    <d v="2026-05-09T00:00:00"/>
    <d v="2026-05-06T00:00:00"/>
    <n v="514"/>
    <s v="RM-271"/>
    <n v="12"/>
    <x v="0"/>
    <s v="Y"/>
    <s v="N"/>
    <s v="N"/>
    <n v="5"/>
    <n v="0.87713310580204773"/>
    <n v="2.3346303501945526E-2"/>
    <n v="0"/>
  </r>
  <r>
    <x v="19"/>
    <x v="13"/>
    <x v="2"/>
    <n v="132"/>
    <d v="2026-05-21T00:00:00"/>
    <d v="2026-05-27T00:00:00"/>
    <d v="2026-05-31T00:00:00"/>
    <n v="133"/>
    <s v="IM-136"/>
    <n v="1"/>
    <x v="0"/>
    <s v="N"/>
    <s v="Y"/>
    <s v="N"/>
    <n v="10"/>
    <n v="1.0075757575757576"/>
    <n v="7.5187969924812026E-3"/>
    <n v="0"/>
  </r>
  <r>
    <x v="20"/>
    <x v="14"/>
    <x v="0"/>
    <n v="390"/>
    <d v="2026-05-10T00:00:00"/>
    <d v="2026-05-16T00:00:00"/>
    <m/>
    <m/>
    <s v="RM-207"/>
    <m/>
    <x v="1"/>
    <s v="N/A"/>
    <s v="N/A"/>
    <s v="N/A"/>
    <s v="N/A"/>
    <s v="N/A"/>
    <s v="N/A"/>
    <s v=""/>
  </r>
  <r>
    <x v="21"/>
    <x v="15"/>
    <x v="1"/>
    <n v="678"/>
    <d v="2026-05-24T00:00:00"/>
    <d v="2026-05-29T00:00:00"/>
    <d v="2026-05-28T00:00:00"/>
    <n v="636"/>
    <s v="PK-203"/>
    <n v="15"/>
    <x v="0"/>
    <s v="Y"/>
    <s v="N"/>
    <s v="N"/>
    <n v="4"/>
    <n v="0.93805309734513276"/>
    <n v="2.358490566037736E-2"/>
    <n v="0"/>
  </r>
  <r>
    <x v="22"/>
    <x v="4"/>
    <x v="0"/>
    <n v="368"/>
    <d v="2026-04-07T00:00:00"/>
    <d v="2026-04-15T00:00:00"/>
    <m/>
    <m/>
    <s v="RM-257"/>
    <m/>
    <x v="1"/>
    <s v="N/A"/>
    <s v="N/A"/>
    <s v="N/A"/>
    <s v="N/A"/>
    <s v="N/A"/>
    <s v="N/A"/>
    <s v=""/>
  </r>
  <r>
    <x v="23"/>
    <x v="6"/>
    <x v="0"/>
    <n v="381"/>
    <d v="2026-04-24T00:00:00"/>
    <d v="2026-05-02T00:00:00"/>
    <d v="2026-05-02T00:00:00"/>
    <n v="340"/>
    <s v="RM-242"/>
    <n v="23"/>
    <x v="0"/>
    <s v="Y"/>
    <s v="N"/>
    <s v="N"/>
    <n v="8"/>
    <n v="0.8923884514435696"/>
    <n v="6.7647058823529407E-2"/>
    <n v="0"/>
  </r>
  <r>
    <x v="24"/>
    <x v="1"/>
    <x v="0"/>
    <n v="577"/>
    <d v="2026-02-21T00:00:00"/>
    <d v="2026-03-07T00:00:00"/>
    <d v="2026-03-04T00:00:00"/>
    <n v="536"/>
    <s v="RM-269"/>
    <n v="8"/>
    <x v="0"/>
    <s v="Y"/>
    <s v="N"/>
    <s v="N"/>
    <n v="11"/>
    <n v="0.92894280762564996"/>
    <n v="1.4925373134328358E-2"/>
    <n v="0"/>
  </r>
  <r>
    <x v="25"/>
    <x v="0"/>
    <x v="1"/>
    <n v="550"/>
    <d v="2026-05-26T00:00:00"/>
    <d v="2026-06-02T00:00:00"/>
    <d v="2026-06-04T00:00:00"/>
    <n v="494"/>
    <s v="PK-243"/>
    <n v="1"/>
    <x v="0"/>
    <s v="N"/>
    <s v="N"/>
    <s v="N"/>
    <n v="9"/>
    <n v="0.89818181818181819"/>
    <n v="2.0242914979757085E-3"/>
    <n v="0"/>
  </r>
  <r>
    <x v="26"/>
    <x v="16"/>
    <x v="2"/>
    <n v="201"/>
    <d v="2026-01-07T00:00:00"/>
    <d v="2026-01-22T00:00:00"/>
    <d v="2026-01-19T00:00:00"/>
    <n v="175"/>
    <s v="IM-214"/>
    <n v="0"/>
    <x v="0"/>
    <s v="Y"/>
    <s v="N"/>
    <s v="N"/>
    <n v="12"/>
    <n v="0.87064676616915426"/>
    <n v="0"/>
    <n v="0"/>
  </r>
  <r>
    <x v="27"/>
    <x v="16"/>
    <x v="0"/>
    <n v="661"/>
    <d v="2026-02-07T00:00:00"/>
    <d v="2026-02-15T00:00:00"/>
    <d v="2026-02-15T00:00:00"/>
    <n v="660"/>
    <s v="RM-173"/>
    <n v="6"/>
    <x v="0"/>
    <s v="Y"/>
    <s v="Y"/>
    <s v="Y"/>
    <n v="8"/>
    <n v="0.99848714069591527"/>
    <n v="9.0909090909090905E-3"/>
    <n v="1"/>
  </r>
  <r>
    <x v="28"/>
    <x v="16"/>
    <x v="2"/>
    <n v="248"/>
    <d v="2026-05-19T00:00:00"/>
    <d v="2026-05-27T00:00:00"/>
    <d v="2026-06-05T00:00:00"/>
    <n v="234"/>
    <s v="IM-245"/>
    <n v="2"/>
    <x v="0"/>
    <s v="N"/>
    <s v="N"/>
    <s v="N"/>
    <n v="17"/>
    <n v="0.94354838709677424"/>
    <n v="8.5470085470085479E-3"/>
    <n v="0"/>
  </r>
  <r>
    <x v="29"/>
    <x v="13"/>
    <x v="0"/>
    <n v="692"/>
    <d v="2026-05-15T00:00:00"/>
    <d v="2026-05-20T00:00:00"/>
    <d v="2026-05-21T00:00:00"/>
    <n v="668"/>
    <s v="RM-229"/>
    <n v="23"/>
    <x v="0"/>
    <s v="N"/>
    <s v="N"/>
    <s v="N"/>
    <n v="6"/>
    <n v="0.96531791907514453"/>
    <n v="3.4431137724550899E-2"/>
    <n v="0"/>
  </r>
  <r>
    <x v="30"/>
    <x v="1"/>
    <x v="1"/>
    <n v="326"/>
    <d v="2026-03-25T00:00:00"/>
    <d v="2026-03-31T00:00:00"/>
    <d v="2026-03-29T00:00:00"/>
    <n v="329"/>
    <s v="PK-142"/>
    <n v="2"/>
    <x v="0"/>
    <s v="Y"/>
    <s v="Y"/>
    <s v="Y"/>
    <n v="4"/>
    <n v="1.00920245398773"/>
    <n v="6.0790273556231003E-3"/>
    <n v="1"/>
  </r>
  <r>
    <x v="31"/>
    <x v="1"/>
    <x v="1"/>
    <n v="761"/>
    <d v="2026-03-03T00:00:00"/>
    <d v="2026-03-15T00:00:00"/>
    <d v="2026-03-13T00:00:00"/>
    <n v="753"/>
    <s v="PK-130"/>
    <n v="4"/>
    <x v="0"/>
    <s v="Y"/>
    <s v="Y"/>
    <s v="Y"/>
    <n v="10"/>
    <n v="0.98948751642575561"/>
    <n v="5.3120849933598934E-3"/>
    <n v="1"/>
  </r>
  <r>
    <x v="32"/>
    <x v="4"/>
    <x v="2"/>
    <n v="843"/>
    <d v="2026-01-21T00:00:00"/>
    <d v="2026-01-28T00:00:00"/>
    <m/>
    <m/>
    <s v="IM-278"/>
    <m/>
    <x v="1"/>
    <s v="N/A"/>
    <s v="N/A"/>
    <s v="N/A"/>
    <s v="N/A"/>
    <s v="N/A"/>
    <s v="N/A"/>
    <s v=""/>
  </r>
  <r>
    <x v="33"/>
    <x v="13"/>
    <x v="0"/>
    <n v="201"/>
    <d v="2026-01-29T00:00:00"/>
    <d v="2026-02-05T00:00:00"/>
    <d v="2026-02-09T00:00:00"/>
    <n v="204"/>
    <s v="RM-240"/>
    <n v="7"/>
    <x v="0"/>
    <s v="N"/>
    <s v="Y"/>
    <s v="N"/>
    <n v="11"/>
    <n v="1.0149253731343284"/>
    <n v="3.4313725490196081E-2"/>
    <n v="0"/>
  </r>
  <r>
    <x v="34"/>
    <x v="14"/>
    <x v="0"/>
    <n v="87"/>
    <d v="2026-02-09T00:00:00"/>
    <d v="2026-02-14T00:00:00"/>
    <d v="2026-02-11T00:00:00"/>
    <n v="87"/>
    <s v="RM-125"/>
    <n v="5"/>
    <x v="0"/>
    <s v="Y"/>
    <s v="Y"/>
    <s v="Y"/>
    <n v="2"/>
    <n v="1"/>
    <n v="5.7471264367816091E-2"/>
    <n v="1"/>
  </r>
  <r>
    <x v="35"/>
    <x v="17"/>
    <x v="0"/>
    <n v="864"/>
    <d v="2026-05-30T00:00:00"/>
    <d v="2026-06-07T00:00:00"/>
    <d v="2026-06-05T00:00:00"/>
    <n v="861"/>
    <s v="RM-158"/>
    <n v="4"/>
    <x v="0"/>
    <s v="Y"/>
    <s v="Y"/>
    <s v="Y"/>
    <n v="6"/>
    <n v="0.99652777777777779"/>
    <n v="4.6457607433217189E-3"/>
    <n v="1"/>
  </r>
  <r>
    <x v="36"/>
    <x v="15"/>
    <x v="2"/>
    <n v="872"/>
    <d v="2026-04-03T00:00:00"/>
    <d v="2026-04-08T00:00:00"/>
    <d v="2026-04-06T00:00:00"/>
    <n v="860"/>
    <s v="IM-233"/>
    <n v="11"/>
    <x v="0"/>
    <s v="Y"/>
    <s v="Y"/>
    <s v="Y"/>
    <n v="3"/>
    <n v="0.98623853211009171"/>
    <n v="1.2790697674418604E-2"/>
    <n v="1"/>
  </r>
  <r>
    <x v="37"/>
    <x v="10"/>
    <x v="0"/>
    <n v="523"/>
    <d v="2026-01-19T00:00:00"/>
    <d v="2026-01-29T00:00:00"/>
    <d v="2026-01-29T00:00:00"/>
    <n v="517"/>
    <s v="RM-169"/>
    <n v="31"/>
    <x v="0"/>
    <s v="Y"/>
    <s v="Y"/>
    <s v="Y"/>
    <n v="10"/>
    <n v="0.98852772466539196"/>
    <n v="5.9961315280464215E-2"/>
    <n v="1"/>
  </r>
  <r>
    <x v="38"/>
    <x v="3"/>
    <x v="1"/>
    <n v="965"/>
    <d v="2026-01-27T00:00:00"/>
    <d v="2026-02-06T00:00:00"/>
    <d v="2026-02-05T00:00:00"/>
    <n v="882"/>
    <s v="PK-111"/>
    <n v="78"/>
    <x v="0"/>
    <s v="Y"/>
    <s v="N"/>
    <s v="N"/>
    <n v="9"/>
    <n v="0.91398963730569949"/>
    <n v="8.8435374149659865E-2"/>
    <n v="0"/>
  </r>
  <r>
    <x v="39"/>
    <x v="16"/>
    <x v="1"/>
    <n v="119"/>
    <d v="2026-06-02T00:00:00"/>
    <d v="2026-06-10T00:00:00"/>
    <d v="2026-06-08T00:00:00"/>
    <n v="104"/>
    <s v="PK-251"/>
    <n v="0"/>
    <x v="0"/>
    <s v="Y"/>
    <s v="N"/>
    <s v="N"/>
    <n v="6"/>
    <n v="0.87394957983193278"/>
    <n v="0"/>
    <n v="0"/>
  </r>
  <r>
    <x v="40"/>
    <x v="9"/>
    <x v="2"/>
    <n v="428"/>
    <d v="2026-03-24T00:00:00"/>
    <d v="2026-04-06T00:00:00"/>
    <d v="2026-04-04T00:00:00"/>
    <n v="420"/>
    <s v="IM-289"/>
    <n v="4"/>
    <x v="0"/>
    <s v="Y"/>
    <s v="Y"/>
    <s v="Y"/>
    <n v="11"/>
    <n v="0.98130841121495327"/>
    <n v="9.5238095238095247E-3"/>
    <n v="1"/>
  </r>
  <r>
    <x v="41"/>
    <x v="6"/>
    <x v="0"/>
    <n v="468"/>
    <d v="2026-03-17T00:00:00"/>
    <d v="2026-03-26T00:00:00"/>
    <d v="2026-03-25T00:00:00"/>
    <n v="468"/>
    <s v="RM-286"/>
    <n v="4"/>
    <x v="0"/>
    <s v="Y"/>
    <s v="Y"/>
    <s v="Y"/>
    <n v="8"/>
    <n v="1"/>
    <n v="8.5470085470085479E-3"/>
    <n v="1"/>
  </r>
  <r>
    <x v="42"/>
    <x v="1"/>
    <x v="0"/>
    <n v="590"/>
    <d v="2026-02-11T00:00:00"/>
    <d v="2026-02-26T00:00:00"/>
    <d v="2026-02-23T00:00:00"/>
    <n v="601"/>
    <s v="RM-245"/>
    <n v="14"/>
    <x v="0"/>
    <s v="Y"/>
    <s v="Y"/>
    <s v="Y"/>
    <n v="12"/>
    <n v="1.0186440677966102"/>
    <n v="2.329450915141431E-2"/>
    <n v="1"/>
  </r>
  <r>
    <x v="43"/>
    <x v="8"/>
    <x v="2"/>
    <n v="588"/>
    <d v="2026-05-29T00:00:00"/>
    <d v="2026-06-08T00:00:00"/>
    <d v="2026-06-15T00:00:00"/>
    <n v="581"/>
    <s v="IM-152"/>
    <n v="46"/>
    <x v="0"/>
    <s v="N"/>
    <s v="Y"/>
    <s v="N"/>
    <n v="17"/>
    <n v="0.98809523809523814"/>
    <n v="7.9173838209982791E-2"/>
    <n v="0"/>
  </r>
  <r>
    <x v="44"/>
    <x v="18"/>
    <x v="0"/>
    <n v="411"/>
    <d v="2026-04-11T00:00:00"/>
    <d v="2026-04-22T00:00:00"/>
    <d v="2026-04-19T00:00:00"/>
    <n v="415"/>
    <s v="RM-281"/>
    <n v="11"/>
    <x v="0"/>
    <s v="Y"/>
    <s v="Y"/>
    <s v="Y"/>
    <n v="8"/>
    <n v="1.0097323600973236"/>
    <n v="2.6506024096385541E-2"/>
    <n v="1"/>
  </r>
  <r>
    <x v="45"/>
    <x v="18"/>
    <x v="0"/>
    <n v="543"/>
    <d v="2026-04-09T00:00:00"/>
    <d v="2026-04-19T00:00:00"/>
    <d v="2026-04-16T00:00:00"/>
    <n v="549"/>
    <s v="RM-178"/>
    <n v="4"/>
    <x v="0"/>
    <s v="Y"/>
    <s v="Y"/>
    <s v="Y"/>
    <n v="7"/>
    <n v="1.011049723756906"/>
    <n v="7.2859744990892532E-3"/>
    <n v="1"/>
  </r>
  <r>
    <x v="46"/>
    <x v="1"/>
    <x v="1"/>
    <n v="585"/>
    <d v="2026-01-30T00:00:00"/>
    <d v="2026-02-06T00:00:00"/>
    <d v="2026-02-03T00:00:00"/>
    <n v="480"/>
    <s v="PK-214"/>
    <n v="7"/>
    <x v="0"/>
    <s v="Y"/>
    <s v="N"/>
    <s v="N"/>
    <n v="4"/>
    <n v="0.82051282051282048"/>
    <n v="1.4583333333333334E-2"/>
    <n v="0"/>
  </r>
  <r>
    <x v="47"/>
    <x v="8"/>
    <x v="2"/>
    <n v="488"/>
    <d v="2026-02-26T00:00:00"/>
    <d v="2026-03-12T00:00:00"/>
    <d v="2026-03-17T00:00:00"/>
    <n v="479"/>
    <s v="IM-258"/>
    <n v="24"/>
    <x v="0"/>
    <s v="N"/>
    <s v="Y"/>
    <s v="N"/>
    <n v="19"/>
    <n v="0.98155737704918034"/>
    <n v="5.0104384133611693E-2"/>
    <n v="0"/>
  </r>
  <r>
    <x v="48"/>
    <x v="1"/>
    <x v="0"/>
    <n v="615"/>
    <d v="2026-06-01T00:00:00"/>
    <d v="2026-06-12T00:00:00"/>
    <d v="2026-06-13T00:00:00"/>
    <n v="537"/>
    <s v="RM-136"/>
    <n v="0"/>
    <x v="0"/>
    <s v="N"/>
    <s v="N"/>
    <s v="N"/>
    <n v="12"/>
    <n v="0.87317073170731707"/>
    <n v="0"/>
    <n v="0"/>
  </r>
  <r>
    <x v="49"/>
    <x v="15"/>
    <x v="0"/>
    <n v="93"/>
    <d v="2026-03-07T00:00:00"/>
    <d v="2026-03-21T00:00:00"/>
    <d v="2026-03-18T00:00:00"/>
    <n v="92"/>
    <s v="RM-268"/>
    <n v="0"/>
    <x v="0"/>
    <s v="Y"/>
    <s v="Y"/>
    <s v="Y"/>
    <n v="11"/>
    <n v="0.989247311827957"/>
    <n v="0"/>
    <n v="1"/>
  </r>
  <r>
    <x v="50"/>
    <x v="6"/>
    <x v="0"/>
    <n v="720"/>
    <d v="2026-03-27T00:00:00"/>
    <d v="2026-04-08T00:00:00"/>
    <d v="2026-04-05T00:00:00"/>
    <n v="689"/>
    <s v="RM-138"/>
    <n v="46"/>
    <x v="0"/>
    <s v="Y"/>
    <s v="N"/>
    <s v="N"/>
    <n v="9"/>
    <n v="0.95694444444444449"/>
    <n v="6.6763425253991288E-2"/>
    <n v="0"/>
  </r>
  <r>
    <x v="51"/>
    <x v="12"/>
    <x v="1"/>
    <n v="782"/>
    <d v="2026-02-08T00:00:00"/>
    <d v="2026-02-14T00:00:00"/>
    <d v="2026-02-23T00:00:00"/>
    <n v="775"/>
    <s v="PK-263"/>
    <n v="15"/>
    <x v="0"/>
    <s v="N"/>
    <s v="Y"/>
    <s v="N"/>
    <n v="15"/>
    <n v="0.99104859335038364"/>
    <n v="1.935483870967742E-2"/>
    <n v="0"/>
  </r>
  <r>
    <x v="52"/>
    <x v="10"/>
    <x v="0"/>
    <n v="483"/>
    <d v="2026-05-20T00:00:00"/>
    <d v="2026-06-04T00:00:00"/>
    <d v="2026-06-11T00:00:00"/>
    <n v="484"/>
    <s v="RM-289"/>
    <n v="24"/>
    <x v="0"/>
    <s v="N"/>
    <s v="Y"/>
    <s v="N"/>
    <n v="22"/>
    <n v="1.0020703933747412"/>
    <n v="4.9586776859504134E-2"/>
    <n v="0"/>
  </r>
  <r>
    <x v="53"/>
    <x v="16"/>
    <x v="0"/>
    <n v="622"/>
    <d v="2026-03-06T00:00:00"/>
    <d v="2026-03-20T00:00:00"/>
    <d v="2026-03-29T00:00:00"/>
    <n v="504"/>
    <s v="RM-173"/>
    <n v="1"/>
    <x v="0"/>
    <s v="N"/>
    <s v="N"/>
    <s v="N"/>
    <n v="23"/>
    <n v="0.81028938906752412"/>
    <n v="1.984126984126984E-3"/>
    <n v="0"/>
  </r>
  <r>
    <x v="54"/>
    <x v="0"/>
    <x v="0"/>
    <n v="371"/>
    <d v="2026-03-12T00:00:00"/>
    <d v="2026-03-17T00:00:00"/>
    <d v="2026-03-14T00:00:00"/>
    <n v="297"/>
    <s v="RM-234"/>
    <n v="12"/>
    <x v="0"/>
    <s v="Y"/>
    <s v="N"/>
    <s v="N"/>
    <n v="2"/>
    <n v="0.80053908355795145"/>
    <n v="4.0404040404040407E-2"/>
    <n v="0"/>
  </r>
  <r>
    <x v="55"/>
    <x v="9"/>
    <x v="2"/>
    <n v="990"/>
    <d v="2026-02-10T00:00:00"/>
    <d v="2026-02-17T00:00:00"/>
    <d v="2026-02-15T00:00:00"/>
    <n v="979"/>
    <s v="IM-224"/>
    <n v="15"/>
    <x v="0"/>
    <s v="Y"/>
    <s v="Y"/>
    <s v="Y"/>
    <n v="5"/>
    <n v="0.98888888888888893"/>
    <n v="1.5321756894790603E-2"/>
    <n v="1"/>
  </r>
  <r>
    <x v="56"/>
    <x v="7"/>
    <x v="0"/>
    <n v="352"/>
    <d v="2026-02-01T00:00:00"/>
    <d v="2026-02-16T00:00:00"/>
    <d v="2026-02-15T00:00:00"/>
    <n v="353"/>
    <s v="RM-123"/>
    <n v="21"/>
    <x v="0"/>
    <s v="Y"/>
    <s v="Y"/>
    <s v="Y"/>
    <n v="14"/>
    <n v="1.0028409090909092"/>
    <n v="5.9490084985835696E-2"/>
    <n v="1"/>
  </r>
  <r>
    <x v="57"/>
    <x v="5"/>
    <x v="1"/>
    <n v="458"/>
    <d v="2026-01-27T00:00:00"/>
    <d v="2026-02-09T00:00:00"/>
    <d v="2026-02-08T00:00:00"/>
    <n v="452"/>
    <s v="PK-105"/>
    <n v="1"/>
    <x v="0"/>
    <s v="Y"/>
    <s v="Y"/>
    <s v="Y"/>
    <n v="12"/>
    <n v="0.98689956331877726"/>
    <n v="2.2123893805309734E-3"/>
    <n v="1"/>
  </r>
  <r>
    <x v="58"/>
    <x v="14"/>
    <x v="0"/>
    <n v="172"/>
    <d v="2026-01-05T00:00:00"/>
    <d v="2026-01-19T00:00:00"/>
    <d v="2026-01-19T00:00:00"/>
    <n v="172"/>
    <s v="RM-210"/>
    <n v="10"/>
    <x v="0"/>
    <s v="Y"/>
    <s v="Y"/>
    <s v="Y"/>
    <n v="14"/>
    <n v="1"/>
    <n v="5.8139534883720929E-2"/>
    <n v="1"/>
  </r>
  <r>
    <x v="59"/>
    <x v="13"/>
    <x v="1"/>
    <n v="205"/>
    <d v="2026-03-09T00:00:00"/>
    <d v="2026-03-22T00:00:00"/>
    <d v="2026-03-21T00:00:00"/>
    <n v="189"/>
    <s v="PK-110"/>
    <n v="0"/>
    <x v="0"/>
    <s v="Y"/>
    <s v="N"/>
    <s v="N"/>
    <n v="12"/>
    <n v="0.92195121951219516"/>
    <n v="0"/>
    <n v="0"/>
  </r>
  <r>
    <x v="60"/>
    <x v="14"/>
    <x v="0"/>
    <n v="184"/>
    <d v="2026-05-06T00:00:00"/>
    <d v="2026-05-15T00:00:00"/>
    <d v="2026-05-22T00:00:00"/>
    <n v="187"/>
    <s v="RM-195"/>
    <n v="0"/>
    <x v="0"/>
    <s v="N"/>
    <s v="Y"/>
    <s v="N"/>
    <n v="16"/>
    <n v="1.0163043478260869"/>
    <n v="0"/>
    <n v="0"/>
  </r>
  <r>
    <x v="61"/>
    <x v="6"/>
    <x v="0"/>
    <n v="969"/>
    <d v="2026-02-07T00:00:00"/>
    <d v="2026-02-13T00:00:00"/>
    <d v="2026-02-11T00:00:00"/>
    <n v="973"/>
    <s v="RM-153"/>
    <n v="5"/>
    <x v="0"/>
    <s v="Y"/>
    <s v="Y"/>
    <s v="Y"/>
    <n v="4"/>
    <n v="1.0041279669762642"/>
    <n v="5.1387461459403904E-3"/>
    <n v="1"/>
  </r>
  <r>
    <x v="62"/>
    <x v="5"/>
    <x v="0"/>
    <n v="574"/>
    <d v="2026-03-30T00:00:00"/>
    <d v="2026-04-04T00:00:00"/>
    <d v="2026-04-01T00:00:00"/>
    <n v="578"/>
    <s v="RM-263"/>
    <n v="7"/>
    <x v="0"/>
    <s v="Y"/>
    <s v="Y"/>
    <s v="Y"/>
    <n v="2"/>
    <n v="1.0069686411149825"/>
    <n v="1.2110726643598616E-2"/>
    <n v="1"/>
  </r>
  <r>
    <x v="63"/>
    <x v="17"/>
    <x v="1"/>
    <n v="668"/>
    <d v="2026-04-17T00:00:00"/>
    <d v="2026-04-29T00:00:00"/>
    <d v="2026-04-27T00:00:00"/>
    <n v="677"/>
    <s v="PK-280"/>
    <n v="11"/>
    <x v="0"/>
    <s v="Y"/>
    <s v="Y"/>
    <s v="Y"/>
    <n v="10"/>
    <n v="1.0134730538922156"/>
    <n v="1.6248153618906941E-2"/>
    <n v="1"/>
  </r>
  <r>
    <x v="64"/>
    <x v="8"/>
    <x v="0"/>
    <n v="308"/>
    <d v="2026-05-25T00:00:00"/>
    <d v="2026-05-30T00:00:00"/>
    <d v="2026-05-27T00:00:00"/>
    <n v="308"/>
    <s v="RM-161"/>
    <n v="19"/>
    <x v="0"/>
    <s v="Y"/>
    <s v="Y"/>
    <s v="Y"/>
    <n v="2"/>
    <n v="1"/>
    <n v="6.1688311688311688E-2"/>
    <n v="1"/>
  </r>
  <r>
    <x v="65"/>
    <x v="5"/>
    <x v="1"/>
    <n v="352"/>
    <d v="2026-03-02T00:00:00"/>
    <d v="2026-03-10T00:00:00"/>
    <d v="2026-03-10T00:00:00"/>
    <n v="355"/>
    <s v="PK-103"/>
    <n v="1"/>
    <x v="0"/>
    <s v="Y"/>
    <s v="Y"/>
    <s v="Y"/>
    <n v="8"/>
    <n v="1.0085227272727273"/>
    <n v="2.8169014084507044E-3"/>
    <n v="1"/>
  </r>
  <r>
    <x v="66"/>
    <x v="11"/>
    <x v="1"/>
    <n v="182"/>
    <d v="2026-04-07T00:00:00"/>
    <d v="2026-04-22T00:00:00"/>
    <d v="2026-04-22T00:00:00"/>
    <n v="184"/>
    <s v="PK-157"/>
    <n v="1"/>
    <x v="0"/>
    <s v="Y"/>
    <s v="Y"/>
    <s v="Y"/>
    <n v="15"/>
    <n v="1.0109890109890109"/>
    <n v="5.434782608695652E-3"/>
    <n v="1"/>
  </r>
  <r>
    <x v="67"/>
    <x v="12"/>
    <x v="0"/>
    <n v="788"/>
    <d v="2026-03-04T00:00:00"/>
    <d v="2026-03-10T00:00:00"/>
    <d v="2026-03-11T00:00:00"/>
    <n v="798"/>
    <s v="RM-248"/>
    <n v="11"/>
    <x v="0"/>
    <s v="N"/>
    <s v="Y"/>
    <s v="N"/>
    <n v="7"/>
    <n v="1.0126903553299493"/>
    <n v="1.3784461152882205E-2"/>
    <n v="0"/>
  </r>
  <r>
    <x v="68"/>
    <x v="4"/>
    <x v="1"/>
    <n v="495"/>
    <d v="2026-05-19T00:00:00"/>
    <d v="2026-05-24T00:00:00"/>
    <d v="2026-05-23T00:00:00"/>
    <n v="418"/>
    <s v="PK-180"/>
    <n v="1"/>
    <x v="0"/>
    <s v="Y"/>
    <s v="N"/>
    <s v="N"/>
    <n v="4"/>
    <n v="0.84444444444444444"/>
    <n v="2.3923444976076554E-3"/>
    <n v="0"/>
  </r>
  <r>
    <x v="69"/>
    <x v="4"/>
    <x v="0"/>
    <n v="450"/>
    <d v="2026-01-20T00:00:00"/>
    <d v="2026-01-25T00:00:00"/>
    <d v="2026-01-24T00:00:00"/>
    <n v="442"/>
    <s v="RM-296"/>
    <n v="8"/>
    <x v="0"/>
    <s v="Y"/>
    <s v="Y"/>
    <s v="Y"/>
    <n v="4"/>
    <n v="0.98222222222222222"/>
    <n v="1.8099547511312219E-2"/>
    <n v="1"/>
  </r>
  <r>
    <x v="70"/>
    <x v="3"/>
    <x v="1"/>
    <n v="880"/>
    <d v="2026-03-24T00:00:00"/>
    <d v="2026-03-29T00:00:00"/>
    <d v="2026-03-26T00:00:00"/>
    <n v="875"/>
    <s v="PK-113"/>
    <n v="28"/>
    <x v="0"/>
    <s v="Y"/>
    <s v="Y"/>
    <s v="Y"/>
    <n v="2"/>
    <n v="0.99431818181818177"/>
    <n v="3.2000000000000001E-2"/>
    <n v="1"/>
  </r>
  <r>
    <x v="71"/>
    <x v="14"/>
    <x v="0"/>
    <n v="506"/>
    <d v="2026-03-22T00:00:00"/>
    <d v="2026-04-03T00:00:00"/>
    <d v="2026-04-03T00:00:00"/>
    <n v="511"/>
    <s v="RM-176"/>
    <n v="28"/>
    <x v="0"/>
    <s v="Y"/>
    <s v="Y"/>
    <s v="Y"/>
    <n v="12"/>
    <n v="1.0098814229249011"/>
    <n v="5.4794520547945202E-2"/>
    <n v="1"/>
  </r>
  <r>
    <x v="72"/>
    <x v="19"/>
    <x v="0"/>
    <n v="855"/>
    <d v="2026-03-26T00:00:00"/>
    <d v="2026-04-09T00:00:00"/>
    <d v="2026-04-07T00:00:00"/>
    <n v="802"/>
    <s v="RM-134"/>
    <n v="12"/>
    <x v="0"/>
    <s v="Y"/>
    <s v="N"/>
    <s v="N"/>
    <n v="12"/>
    <n v="0.93801169590643274"/>
    <n v="1.4962593516209476E-2"/>
    <n v="0"/>
  </r>
  <r>
    <x v="73"/>
    <x v="6"/>
    <x v="1"/>
    <n v="703"/>
    <d v="2026-03-02T00:00:00"/>
    <d v="2026-03-07T00:00:00"/>
    <d v="2026-03-06T00:00:00"/>
    <n v="706"/>
    <s v="PK-232"/>
    <n v="38"/>
    <x v="0"/>
    <s v="Y"/>
    <s v="Y"/>
    <s v="Y"/>
    <n v="4"/>
    <n v="1.004267425320057"/>
    <n v="5.3824362606232294E-2"/>
    <n v="1"/>
  </r>
  <r>
    <x v="74"/>
    <x v="12"/>
    <x v="1"/>
    <n v="261"/>
    <d v="2026-03-17T00:00:00"/>
    <d v="2026-03-25T00:00:00"/>
    <d v="2026-03-24T00:00:00"/>
    <n v="214"/>
    <s v="PK-163"/>
    <n v="2"/>
    <x v="0"/>
    <s v="Y"/>
    <s v="N"/>
    <s v="N"/>
    <n v="7"/>
    <n v="0.81992337164750961"/>
    <n v="9.3457943925233638E-3"/>
    <n v="0"/>
  </r>
  <r>
    <x v="75"/>
    <x v="19"/>
    <x v="0"/>
    <n v="500"/>
    <d v="2026-05-06T00:00:00"/>
    <d v="2026-05-13T00:00:00"/>
    <d v="2026-05-12T00:00:00"/>
    <n v="507"/>
    <s v="RM-167"/>
    <n v="9"/>
    <x v="0"/>
    <s v="Y"/>
    <s v="Y"/>
    <s v="Y"/>
    <n v="6"/>
    <n v="1.014"/>
    <n v="1.7751479289940829E-2"/>
    <n v="1"/>
  </r>
  <r>
    <x v="76"/>
    <x v="19"/>
    <x v="0"/>
    <n v="529"/>
    <d v="2026-05-29T00:00:00"/>
    <d v="2026-06-05T00:00:00"/>
    <d v="2026-06-02T00:00:00"/>
    <n v="538"/>
    <s v="RM-144"/>
    <n v="11"/>
    <x v="0"/>
    <s v="Y"/>
    <s v="Y"/>
    <s v="Y"/>
    <n v="4"/>
    <n v="1.0170132325141776"/>
    <n v="2.0446096654275093E-2"/>
    <n v="1"/>
  </r>
  <r>
    <x v="77"/>
    <x v="17"/>
    <x v="0"/>
    <n v="339"/>
    <d v="2026-05-25T00:00:00"/>
    <d v="2026-06-03T00:00:00"/>
    <d v="2026-06-11T00:00:00"/>
    <n v="346"/>
    <s v="RM-149"/>
    <n v="1"/>
    <x v="0"/>
    <s v="N"/>
    <s v="Y"/>
    <s v="N"/>
    <n v="17"/>
    <n v="1.0206489675516224"/>
    <n v="2.8901734104046241E-3"/>
    <n v="0"/>
  </r>
  <r>
    <x v="78"/>
    <x v="16"/>
    <x v="0"/>
    <n v="356"/>
    <d v="2026-05-15T00:00:00"/>
    <d v="2026-05-29T00:00:00"/>
    <d v="2026-05-29T00:00:00"/>
    <n v="311"/>
    <s v="RM-292"/>
    <n v="3"/>
    <x v="0"/>
    <s v="Y"/>
    <s v="N"/>
    <s v="N"/>
    <n v="14"/>
    <n v="0.8735955056179775"/>
    <n v="9.6463022508038593E-3"/>
    <n v="0"/>
  </r>
  <r>
    <x v="79"/>
    <x v="17"/>
    <x v="0"/>
    <n v="493"/>
    <d v="2026-04-10T00:00:00"/>
    <d v="2026-04-25T00:00:00"/>
    <d v="2026-04-23T00:00:00"/>
    <n v="491"/>
    <s v="RM-206"/>
    <n v="12"/>
    <x v="0"/>
    <s v="Y"/>
    <s v="Y"/>
    <s v="Y"/>
    <n v="13"/>
    <n v="0.99594320486815413"/>
    <n v="2.4439918533604887E-2"/>
    <n v="1"/>
  </r>
  <r>
    <x v="80"/>
    <x v="9"/>
    <x v="0"/>
    <n v="901"/>
    <d v="2026-03-06T00:00:00"/>
    <d v="2026-03-21T00:00:00"/>
    <d v="2026-03-22T00:00:00"/>
    <n v="898"/>
    <s v="RM-234"/>
    <n v="42"/>
    <x v="0"/>
    <s v="N"/>
    <s v="Y"/>
    <s v="N"/>
    <n v="16"/>
    <n v="0.99667036625971139"/>
    <n v="4.6770601336302897E-2"/>
    <n v="0"/>
  </r>
  <r>
    <x v="81"/>
    <x v="13"/>
    <x v="0"/>
    <n v="241"/>
    <d v="2026-05-18T00:00:00"/>
    <d v="2026-05-29T00:00:00"/>
    <d v="2026-05-29T00:00:00"/>
    <n v="217"/>
    <s v="RM-204"/>
    <n v="11"/>
    <x v="0"/>
    <s v="Y"/>
    <s v="N"/>
    <s v="N"/>
    <n v="11"/>
    <n v="0.90041493775933612"/>
    <n v="5.0691244239631339E-2"/>
    <n v="0"/>
  </r>
  <r>
    <x v="82"/>
    <x v="15"/>
    <x v="0"/>
    <n v="705"/>
    <d v="2026-05-03T00:00:00"/>
    <d v="2026-05-10T00:00:00"/>
    <d v="2026-05-09T00:00:00"/>
    <n v="698"/>
    <s v="RM-283"/>
    <n v="3"/>
    <x v="0"/>
    <s v="Y"/>
    <s v="Y"/>
    <s v="Y"/>
    <n v="6"/>
    <n v="0.99007092198581559"/>
    <n v="4.2979942693409743E-3"/>
    <n v="1"/>
  </r>
  <r>
    <x v="83"/>
    <x v="14"/>
    <x v="1"/>
    <n v="100"/>
    <d v="2026-02-08T00:00:00"/>
    <d v="2026-02-13T00:00:00"/>
    <d v="2026-02-13T00:00:00"/>
    <n v="99"/>
    <s v="PK-111"/>
    <n v="3"/>
    <x v="0"/>
    <s v="Y"/>
    <s v="Y"/>
    <s v="Y"/>
    <n v="5"/>
    <n v="0.99"/>
    <n v="3.0303030303030304E-2"/>
    <n v="1"/>
  </r>
  <r>
    <x v="84"/>
    <x v="0"/>
    <x v="2"/>
    <n v="454"/>
    <d v="2026-03-22T00:00:00"/>
    <d v="2026-04-02T00:00:00"/>
    <d v="2026-04-10T00:00:00"/>
    <n v="455"/>
    <s v="IM-197"/>
    <n v="12"/>
    <x v="0"/>
    <s v="N"/>
    <s v="Y"/>
    <s v="N"/>
    <n v="19"/>
    <n v="1.0022026431718061"/>
    <n v="2.6373626373626374E-2"/>
    <n v="0"/>
  </r>
  <r>
    <x v="85"/>
    <x v="14"/>
    <x v="2"/>
    <n v="773"/>
    <d v="2026-06-01T00:00:00"/>
    <d v="2026-06-11T00:00:00"/>
    <d v="2026-06-08T00:00:00"/>
    <n v="695"/>
    <s v="IM-215"/>
    <n v="11"/>
    <x v="0"/>
    <s v="Y"/>
    <s v="N"/>
    <s v="N"/>
    <n v="7"/>
    <n v="0.89909443725743854"/>
    <n v="1.5827338129496403E-2"/>
    <n v="0"/>
  </r>
  <r>
    <x v="86"/>
    <x v="16"/>
    <x v="0"/>
    <n v="858"/>
    <d v="2026-01-30T00:00:00"/>
    <d v="2026-02-08T00:00:00"/>
    <d v="2026-02-12T00:00:00"/>
    <n v="851"/>
    <s v="RM-214"/>
    <n v="9"/>
    <x v="0"/>
    <s v="N"/>
    <s v="Y"/>
    <s v="N"/>
    <n v="13"/>
    <n v="0.99184149184149184"/>
    <n v="1.0575793184488837E-2"/>
    <n v="0"/>
  </r>
  <r>
    <x v="87"/>
    <x v="11"/>
    <x v="1"/>
    <n v="243"/>
    <d v="2026-01-15T00:00:00"/>
    <d v="2026-01-25T00:00:00"/>
    <d v="2026-01-23T00:00:00"/>
    <n v="200"/>
    <s v="PK-252"/>
    <n v="1"/>
    <x v="0"/>
    <s v="Y"/>
    <s v="N"/>
    <s v="N"/>
    <n v="8"/>
    <n v="0.82304526748971196"/>
    <n v="5.0000000000000001E-3"/>
    <n v="0"/>
  </r>
  <r>
    <x v="88"/>
    <x v="11"/>
    <x v="1"/>
    <n v="385"/>
    <d v="2026-04-27T00:00:00"/>
    <d v="2026-05-10T00:00:00"/>
    <d v="2026-05-11T00:00:00"/>
    <n v="389"/>
    <s v="PK-299"/>
    <n v="4"/>
    <x v="0"/>
    <s v="N"/>
    <s v="Y"/>
    <s v="N"/>
    <n v="14"/>
    <n v="1.0103896103896104"/>
    <n v="1.0282776349614395E-2"/>
    <n v="0"/>
  </r>
  <r>
    <x v="89"/>
    <x v="19"/>
    <x v="0"/>
    <n v="867"/>
    <d v="2026-04-03T00:00:00"/>
    <d v="2026-04-09T00:00:00"/>
    <d v="2026-04-06T00:00:00"/>
    <n v="883"/>
    <s v="RM-296"/>
    <n v="21"/>
    <x v="0"/>
    <s v="Y"/>
    <s v="Y"/>
    <s v="Y"/>
    <n v="3"/>
    <n v="1.0184544405997693"/>
    <n v="2.3782559456398639E-2"/>
    <n v="1"/>
  </r>
  <r>
    <x v="90"/>
    <x v="7"/>
    <x v="0"/>
    <n v="872"/>
    <d v="2026-03-20T00:00:00"/>
    <d v="2026-03-31T00:00:00"/>
    <d v="2026-03-30T00:00:00"/>
    <n v="878"/>
    <s v="RM-255"/>
    <n v="28"/>
    <x v="0"/>
    <s v="Y"/>
    <s v="Y"/>
    <s v="Y"/>
    <n v="10"/>
    <n v="1.0068807339449541"/>
    <n v="3.1890660592255128E-2"/>
    <n v="1"/>
  </r>
  <r>
    <x v="91"/>
    <x v="8"/>
    <x v="0"/>
    <n v="498"/>
    <d v="2026-02-16T00:00:00"/>
    <d v="2026-02-24T00:00:00"/>
    <m/>
    <m/>
    <s v="RM-182"/>
    <m/>
    <x v="1"/>
    <s v="N/A"/>
    <s v="N/A"/>
    <s v="N/A"/>
    <s v="N/A"/>
    <s v="N/A"/>
    <s v="N/A"/>
    <s v=""/>
  </r>
  <r>
    <x v="92"/>
    <x v="18"/>
    <x v="2"/>
    <n v="899"/>
    <d v="2026-03-08T00:00:00"/>
    <d v="2026-03-23T00:00:00"/>
    <d v="2026-03-21T00:00:00"/>
    <n v="802"/>
    <s v="IM-157"/>
    <n v="37"/>
    <x v="0"/>
    <s v="Y"/>
    <s v="N"/>
    <s v="N"/>
    <n v="13"/>
    <n v="0.89210233592880983"/>
    <n v="4.6134663341645885E-2"/>
    <n v="0"/>
  </r>
  <r>
    <x v="93"/>
    <x v="8"/>
    <x v="2"/>
    <n v="605"/>
    <d v="2026-05-19T00:00:00"/>
    <d v="2026-05-30T00:00:00"/>
    <d v="2026-05-30T00:00:00"/>
    <n v="595"/>
    <s v="IM-183"/>
    <n v="16"/>
    <x v="0"/>
    <s v="Y"/>
    <s v="Y"/>
    <s v="Y"/>
    <n v="11"/>
    <n v="0.98347107438016534"/>
    <n v="2.689075630252101E-2"/>
    <n v="1"/>
  </r>
  <r>
    <x v="94"/>
    <x v="19"/>
    <x v="0"/>
    <n v="225"/>
    <d v="2026-01-10T00:00:00"/>
    <d v="2026-01-24T00:00:00"/>
    <d v="2026-02-02T00:00:00"/>
    <n v="226"/>
    <s v="RM-192"/>
    <n v="4"/>
    <x v="0"/>
    <s v="N"/>
    <s v="Y"/>
    <s v="N"/>
    <n v="23"/>
    <n v="1.0044444444444445"/>
    <n v="1.7699115044247787E-2"/>
    <n v="0"/>
  </r>
  <r>
    <x v="95"/>
    <x v="16"/>
    <x v="1"/>
    <n v="904"/>
    <d v="2026-04-21T00:00:00"/>
    <d v="2026-04-27T00:00:00"/>
    <d v="2026-04-28T00:00:00"/>
    <n v="916"/>
    <s v="PK-173"/>
    <n v="13"/>
    <x v="0"/>
    <s v="N"/>
    <s v="Y"/>
    <s v="N"/>
    <n v="7"/>
    <n v="1.0132743362831858"/>
    <n v="1.4192139737991267E-2"/>
    <n v="0"/>
  </r>
  <r>
    <x v="96"/>
    <x v="19"/>
    <x v="2"/>
    <n v="928"/>
    <d v="2026-02-16T00:00:00"/>
    <d v="2026-02-25T00:00:00"/>
    <d v="2026-03-04T00:00:00"/>
    <n v="935"/>
    <s v="IM-174"/>
    <n v="11"/>
    <x v="0"/>
    <s v="N"/>
    <s v="Y"/>
    <s v="N"/>
    <n v="16"/>
    <n v="1.0075431034482758"/>
    <n v="1.1764705882352941E-2"/>
    <n v="0"/>
  </r>
  <r>
    <x v="97"/>
    <x v="17"/>
    <x v="0"/>
    <n v="184"/>
    <d v="2026-01-25T00:00:00"/>
    <d v="2026-02-03T00:00:00"/>
    <d v="2026-02-10T00:00:00"/>
    <n v="184"/>
    <s v="RM-274"/>
    <n v="4"/>
    <x v="0"/>
    <s v="N"/>
    <s v="Y"/>
    <s v="N"/>
    <n v="16"/>
    <n v="1"/>
    <n v="2.1739130434782608E-2"/>
    <n v="0"/>
  </r>
  <r>
    <x v="98"/>
    <x v="12"/>
    <x v="0"/>
    <n v="936"/>
    <d v="2026-02-04T00:00:00"/>
    <d v="2026-02-12T00:00:00"/>
    <d v="2026-02-11T00:00:00"/>
    <n v="906"/>
    <s v="RM-285"/>
    <n v="15"/>
    <x v="0"/>
    <s v="Y"/>
    <s v="N"/>
    <s v="N"/>
    <n v="7"/>
    <n v="0.96794871794871795"/>
    <n v="1.6556291390728478E-2"/>
    <n v="0"/>
  </r>
  <r>
    <x v="99"/>
    <x v="10"/>
    <x v="0"/>
    <n v="918"/>
    <d v="2026-05-23T00:00:00"/>
    <d v="2026-06-04T00:00:00"/>
    <d v="2026-06-01T00:00:00"/>
    <n v="915"/>
    <s v="RM-277"/>
    <n v="43"/>
    <x v="0"/>
    <s v="Y"/>
    <s v="Y"/>
    <s v="Y"/>
    <n v="9"/>
    <n v="0.99673202614379086"/>
    <n v="4.6994535519125684E-2"/>
    <n v="1"/>
  </r>
  <r>
    <x v="100"/>
    <x v="0"/>
    <x v="1"/>
    <n v="697"/>
    <d v="2026-02-14T00:00:00"/>
    <d v="2026-02-25T00:00:00"/>
    <d v="2026-02-25T00:00:00"/>
    <n v="687"/>
    <s v="PK-277"/>
    <n v="17"/>
    <x v="0"/>
    <s v="Y"/>
    <s v="Y"/>
    <s v="Y"/>
    <n v="11"/>
    <n v="0.98565279770444758"/>
    <n v="2.4745269286754003E-2"/>
    <n v="1"/>
  </r>
  <r>
    <x v="101"/>
    <x v="9"/>
    <x v="1"/>
    <n v="825"/>
    <d v="2026-01-19T00:00:00"/>
    <d v="2026-01-27T00:00:00"/>
    <d v="2026-01-25T00:00:00"/>
    <n v="837"/>
    <s v="PK-298"/>
    <n v="18"/>
    <x v="0"/>
    <s v="Y"/>
    <s v="Y"/>
    <s v="Y"/>
    <n v="6"/>
    <n v="1.0145454545454546"/>
    <n v="2.1505376344086023E-2"/>
    <n v="1"/>
  </r>
  <r>
    <x v="102"/>
    <x v="1"/>
    <x v="0"/>
    <n v="300"/>
    <d v="2026-04-21T00:00:00"/>
    <d v="2026-05-06T00:00:00"/>
    <d v="2026-05-04T00:00:00"/>
    <n v="295"/>
    <s v="unknown_SKU"/>
    <n v="4"/>
    <x v="0"/>
    <s v="Y"/>
    <s v="Y"/>
    <s v="Y"/>
    <n v="13"/>
    <n v="0.98333333333333328"/>
    <n v="1.3559322033898305E-2"/>
    <n v="1"/>
  </r>
  <r>
    <x v="103"/>
    <x v="2"/>
    <x v="1"/>
    <n v="529"/>
    <d v="2026-05-05T00:00:00"/>
    <d v="2026-05-20T00:00:00"/>
    <d v="2026-05-20T00:00:00"/>
    <n v="524"/>
    <s v="PK-159"/>
    <n v="25"/>
    <x v="0"/>
    <s v="Y"/>
    <s v="Y"/>
    <s v="Y"/>
    <n v="15"/>
    <n v="0.99054820415879019"/>
    <n v="4.7709923664122141E-2"/>
    <n v="1"/>
  </r>
  <r>
    <x v="104"/>
    <x v="17"/>
    <x v="0"/>
    <n v="787"/>
    <d v="2026-03-23T00:00:00"/>
    <d v="2026-04-05T00:00:00"/>
    <d v="2026-04-13T00:00:00"/>
    <n v="782"/>
    <s v="RM-152"/>
    <n v="10"/>
    <x v="0"/>
    <s v="N"/>
    <s v="Y"/>
    <s v="N"/>
    <n v="21"/>
    <n v="0.99364675984752227"/>
    <n v="1.278772378516624E-2"/>
    <n v="0"/>
  </r>
  <r>
    <x v="105"/>
    <x v="7"/>
    <x v="1"/>
    <n v="833"/>
    <d v="2026-05-03T00:00:00"/>
    <d v="2026-05-10T00:00:00"/>
    <d v="2026-05-07T00:00:00"/>
    <n v="847"/>
    <s v="PK-136"/>
    <n v="44"/>
    <x v="0"/>
    <s v="Y"/>
    <s v="Y"/>
    <s v="Y"/>
    <n v="4"/>
    <n v="1.0168067226890756"/>
    <n v="5.1948051948051951E-2"/>
    <n v="1"/>
  </r>
  <r>
    <x v="106"/>
    <x v="9"/>
    <x v="1"/>
    <n v="845"/>
    <d v="2026-03-17T00:00:00"/>
    <d v="2026-03-26T00:00:00"/>
    <d v="2026-03-26T00:00:00"/>
    <n v="762"/>
    <s v="PK-125"/>
    <n v="47"/>
    <x v="0"/>
    <s v="Y"/>
    <s v="N"/>
    <s v="N"/>
    <n v="9"/>
    <n v="0.90177514792899405"/>
    <n v="6.1679790026246718E-2"/>
    <n v="0"/>
  </r>
  <r>
    <x v="107"/>
    <x v="10"/>
    <x v="0"/>
    <n v="662"/>
    <d v="2026-02-17T00:00:00"/>
    <d v="2026-03-04T00:00:00"/>
    <d v="2026-03-03T00:00:00"/>
    <n v="669"/>
    <s v="RM-291"/>
    <n v="59"/>
    <x v="0"/>
    <s v="Y"/>
    <s v="Y"/>
    <s v="Y"/>
    <n v="14"/>
    <n v="1.0105740181268883"/>
    <n v="8.8191330343796712E-2"/>
    <n v="1"/>
  </r>
  <r>
    <x v="108"/>
    <x v="4"/>
    <x v="2"/>
    <n v="832"/>
    <d v="2026-01-23T00:00:00"/>
    <d v="2026-01-30T00:00:00"/>
    <d v="2026-01-27T00:00:00"/>
    <n v="825"/>
    <s v="IM-244"/>
    <n v="25"/>
    <x v="0"/>
    <s v="Y"/>
    <s v="Y"/>
    <s v="Y"/>
    <n v="4"/>
    <n v="0.99158653846153844"/>
    <n v="3.0303030303030304E-2"/>
    <n v="1"/>
  </r>
  <r>
    <x v="109"/>
    <x v="10"/>
    <x v="1"/>
    <n v="577"/>
    <d v="2026-01-29T00:00:00"/>
    <d v="2026-02-12T00:00:00"/>
    <d v="2026-02-11T00:00:00"/>
    <n v="582"/>
    <s v="PK-293"/>
    <n v="1"/>
    <x v="0"/>
    <s v="Y"/>
    <s v="Y"/>
    <s v="Y"/>
    <n v="13"/>
    <n v="1.0086655112651646"/>
    <n v="1.718213058419244E-3"/>
    <n v="1"/>
  </r>
  <r>
    <x v="110"/>
    <x v="3"/>
    <x v="1"/>
    <n v="992"/>
    <d v="2026-04-14T00:00:00"/>
    <d v="2026-04-19T00:00:00"/>
    <d v="2026-04-18T00:00:00"/>
    <n v="1004"/>
    <s v="PK-172"/>
    <n v="49"/>
    <x v="0"/>
    <s v="Y"/>
    <s v="Y"/>
    <s v="Y"/>
    <n v="4"/>
    <n v="1.0120967741935485"/>
    <n v="4.8804780876494022E-2"/>
    <n v="1"/>
  </r>
  <r>
    <x v="111"/>
    <x v="7"/>
    <x v="1"/>
    <n v="749"/>
    <d v="2026-01-07T00:00:00"/>
    <d v="2026-01-19T00:00:00"/>
    <d v="2026-01-17T00:00:00"/>
    <n v="735"/>
    <s v="PK-164"/>
    <n v="1"/>
    <x v="0"/>
    <s v="Y"/>
    <s v="Y"/>
    <s v="Y"/>
    <n v="10"/>
    <n v="0.98130841121495327"/>
    <n v="1.3605442176870747E-3"/>
    <n v="1"/>
  </r>
  <r>
    <x v="112"/>
    <x v="8"/>
    <x v="2"/>
    <n v="902"/>
    <d v="2026-04-08T00:00:00"/>
    <d v="2026-04-15T00:00:00"/>
    <d v="2026-04-17T00:00:00"/>
    <n v="896"/>
    <s v="IM-215"/>
    <n v="69"/>
    <x v="0"/>
    <s v="N"/>
    <s v="Y"/>
    <s v="N"/>
    <n v="9"/>
    <n v="0.99334811529933487"/>
    <n v="7.7008928571428575E-2"/>
    <n v="0"/>
  </r>
  <r>
    <x v="113"/>
    <x v="14"/>
    <x v="0"/>
    <n v="979"/>
    <d v="2026-05-28T00:00:00"/>
    <d v="2026-06-09T00:00:00"/>
    <d v="2026-06-17T00:00:00"/>
    <n v="994"/>
    <s v="RM-217"/>
    <n v="29"/>
    <x v="0"/>
    <s v="N"/>
    <s v="Y"/>
    <s v="N"/>
    <n v="20"/>
    <n v="1.0153217568947905"/>
    <n v="2.9175050301810865E-2"/>
    <n v="0"/>
  </r>
  <r>
    <x v="114"/>
    <x v="11"/>
    <x v="0"/>
    <n v="747"/>
    <d v="2026-04-16T00:00:00"/>
    <d v="2026-04-28T00:00:00"/>
    <d v="2026-05-02T00:00:00"/>
    <n v="743"/>
    <s v="RM-115"/>
    <n v="7"/>
    <x v="0"/>
    <s v="N"/>
    <s v="Y"/>
    <s v="N"/>
    <n v="16"/>
    <n v="0.99464524765729589"/>
    <n v="9.4212651413189772E-3"/>
    <n v="0"/>
  </r>
  <r>
    <x v="115"/>
    <x v="3"/>
    <x v="2"/>
    <n v="584"/>
    <d v="2026-05-12T00:00:00"/>
    <d v="2026-05-22T00:00:00"/>
    <d v="2026-05-28T00:00:00"/>
    <n v="578"/>
    <s v="IM-212"/>
    <n v="28"/>
    <x v="0"/>
    <s v="N"/>
    <s v="Y"/>
    <s v="N"/>
    <n v="16"/>
    <n v="0.98972602739726023"/>
    <n v="4.8442906574394463E-2"/>
    <n v="0"/>
  </r>
  <r>
    <x v="116"/>
    <x v="2"/>
    <x v="0"/>
    <n v="204"/>
    <d v="2026-04-19T00:00:00"/>
    <d v="2026-04-28T00:00:00"/>
    <d v="2026-04-27T00:00:00"/>
    <n v="204"/>
    <s v="RM-194"/>
    <n v="2"/>
    <x v="0"/>
    <s v="Y"/>
    <s v="Y"/>
    <s v="Y"/>
    <n v="8"/>
    <n v="1"/>
    <n v="9.8039215686274508E-3"/>
    <n v="1"/>
  </r>
  <r>
    <x v="117"/>
    <x v="2"/>
    <x v="1"/>
    <n v="167"/>
    <d v="2026-03-03T00:00:00"/>
    <d v="2026-03-10T00:00:00"/>
    <d v="2026-03-07T00:00:00"/>
    <n v="150"/>
    <s v="PK-138"/>
    <n v="3"/>
    <x v="0"/>
    <s v="Y"/>
    <s v="N"/>
    <s v="N"/>
    <n v="4"/>
    <n v="0.89820359281437123"/>
    <n v="0.02"/>
    <n v="0"/>
  </r>
  <r>
    <x v="118"/>
    <x v="1"/>
    <x v="1"/>
    <n v="555"/>
    <d v="2026-05-22T00:00:00"/>
    <d v="2026-05-27T00:00:00"/>
    <d v="2026-05-25T00:00:00"/>
    <n v="460"/>
    <s v="PK-152"/>
    <n v="8"/>
    <x v="0"/>
    <s v="Y"/>
    <s v="N"/>
    <s v="N"/>
    <n v="3"/>
    <n v="0.8288288288288288"/>
    <n v="1.7391304347826087E-2"/>
    <n v="0"/>
  </r>
  <r>
    <x v="119"/>
    <x v="18"/>
    <x v="0"/>
    <n v="346"/>
    <d v="2026-01-13T00:00:00"/>
    <d v="2026-01-22T00:00:00"/>
    <d v="2026-01-19T00:00:00"/>
    <n v="289"/>
    <s v="RM-209"/>
    <n v="8"/>
    <x v="0"/>
    <s v="Y"/>
    <s v="N"/>
    <s v="N"/>
    <n v="6"/>
    <n v="0.83526011560693647"/>
    <n v="2.768166089965398E-2"/>
    <n v="0"/>
  </r>
  <r>
    <x v="120"/>
    <x v="19"/>
    <x v="1"/>
    <n v="317"/>
    <d v="2026-04-22T00:00:00"/>
    <d v="2026-05-03T00:00:00"/>
    <d v="2026-05-01T00:00:00"/>
    <n v="312"/>
    <s v="PK-137"/>
    <n v="5"/>
    <x v="0"/>
    <s v="Y"/>
    <s v="Y"/>
    <s v="Y"/>
    <n v="9"/>
    <n v="0.98422712933753942"/>
    <n v="1.6025641025641024E-2"/>
    <n v="1"/>
  </r>
  <r>
    <x v="121"/>
    <x v="5"/>
    <x v="0"/>
    <n v="101"/>
    <d v="2026-03-24T00:00:00"/>
    <d v="2026-03-29T00:00:00"/>
    <d v="2026-03-26T00:00:00"/>
    <n v="100"/>
    <s v="RM-248"/>
    <n v="0"/>
    <x v="0"/>
    <s v="Y"/>
    <s v="Y"/>
    <s v="Y"/>
    <n v="2"/>
    <n v="0.99009900990099009"/>
    <n v="0"/>
    <n v="1"/>
  </r>
  <r>
    <x v="122"/>
    <x v="16"/>
    <x v="2"/>
    <n v="689"/>
    <d v="2026-01-26T00:00:00"/>
    <d v="2026-02-03T00:00:00"/>
    <d v="2026-01-31T00:00:00"/>
    <n v="553"/>
    <s v="IM-222"/>
    <n v="6"/>
    <x v="0"/>
    <s v="Y"/>
    <s v="N"/>
    <s v="N"/>
    <n v="5"/>
    <n v="0.8026124818577649"/>
    <n v="1.0849909584086799E-2"/>
    <n v="0"/>
  </r>
  <r>
    <x v="123"/>
    <x v="0"/>
    <x v="1"/>
    <n v="880"/>
    <d v="2026-04-03T00:00:00"/>
    <d v="2026-04-11T00:00:00"/>
    <d v="2026-04-10T00:00:00"/>
    <n v="876"/>
    <s v="PK-171"/>
    <n v="25"/>
    <x v="0"/>
    <s v="Y"/>
    <s v="Y"/>
    <s v="Y"/>
    <n v="7"/>
    <n v="0.99545454545454548"/>
    <n v="2.8538812785388126E-2"/>
    <n v="1"/>
  </r>
  <r>
    <x v="124"/>
    <x v="10"/>
    <x v="1"/>
    <n v="485"/>
    <d v="2026-04-19T00:00:00"/>
    <d v="2026-04-29T00:00:00"/>
    <d v="2026-04-29T00:00:00"/>
    <n v="482"/>
    <s v="PK-257"/>
    <n v="2"/>
    <x v="0"/>
    <s v="Y"/>
    <s v="Y"/>
    <s v="Y"/>
    <n v="10"/>
    <n v="0.99381443298969074"/>
    <n v="4.1493775933609959E-3"/>
    <n v="1"/>
  </r>
  <r>
    <x v="125"/>
    <x v="18"/>
    <x v="0"/>
    <n v="555"/>
    <d v="2026-03-03T00:00:00"/>
    <d v="2026-03-11T00:00:00"/>
    <d v="2026-03-10T00:00:00"/>
    <n v="560"/>
    <s v="RM-225"/>
    <n v="21"/>
    <x v="0"/>
    <s v="Y"/>
    <s v="Y"/>
    <s v="Y"/>
    <n v="7"/>
    <n v="1.0090090090090089"/>
    <n v="3.7499999999999999E-2"/>
    <n v="1"/>
  </r>
  <r>
    <x v="126"/>
    <x v="16"/>
    <x v="1"/>
    <n v="219"/>
    <d v="2026-02-03T00:00:00"/>
    <d v="2026-02-15T00:00:00"/>
    <d v="2026-02-13T00:00:00"/>
    <n v="216"/>
    <s v="PK-177"/>
    <n v="0"/>
    <x v="0"/>
    <s v="Y"/>
    <s v="Y"/>
    <s v="Y"/>
    <n v="10"/>
    <n v="0.98630136986301364"/>
    <n v="0"/>
    <n v="1"/>
  </r>
  <r>
    <x v="127"/>
    <x v="4"/>
    <x v="2"/>
    <n v="94"/>
    <d v="2026-04-19T00:00:00"/>
    <d v="2026-04-27T00:00:00"/>
    <d v="2026-04-26T00:00:00"/>
    <n v="93"/>
    <s v="IM-227"/>
    <n v="2"/>
    <x v="0"/>
    <s v="Y"/>
    <s v="Y"/>
    <s v="Y"/>
    <n v="7"/>
    <n v="0.98936170212765961"/>
    <n v="2.1505376344086023E-2"/>
    <n v="1"/>
  </r>
  <r>
    <x v="128"/>
    <x v="10"/>
    <x v="0"/>
    <n v="224"/>
    <d v="2026-02-17T00:00:00"/>
    <d v="2026-03-02T00:00:00"/>
    <d v="2026-02-27T00:00:00"/>
    <n v="227"/>
    <s v="RM-225"/>
    <n v="11"/>
    <x v="0"/>
    <s v="Y"/>
    <s v="Y"/>
    <s v="Y"/>
    <n v="10"/>
    <n v="1.0133928571428572"/>
    <n v="4.8458149779735685E-2"/>
    <n v="1"/>
  </r>
  <r>
    <x v="129"/>
    <x v="15"/>
    <x v="2"/>
    <n v="178"/>
    <d v="2026-02-01T00:00:00"/>
    <d v="2026-02-13T00:00:00"/>
    <d v="2026-02-15T00:00:00"/>
    <n v="181"/>
    <s v="IM-281"/>
    <n v="3"/>
    <x v="0"/>
    <s v="N"/>
    <s v="Y"/>
    <s v="N"/>
    <n v="14"/>
    <n v="1.0168539325842696"/>
    <n v="1.6574585635359115E-2"/>
    <n v="0"/>
  </r>
  <r>
    <x v="130"/>
    <x v="11"/>
    <x v="1"/>
    <n v="660"/>
    <d v="2026-04-08T00:00:00"/>
    <d v="2026-04-13T00:00:00"/>
    <d v="2026-04-13T00:00:00"/>
    <n v="671"/>
    <s v="PK-137"/>
    <n v="11"/>
    <x v="0"/>
    <s v="Y"/>
    <s v="Y"/>
    <s v="Y"/>
    <n v="5"/>
    <n v="1.0166666666666666"/>
    <n v="1.6393442622950821E-2"/>
    <n v="1"/>
  </r>
  <r>
    <x v="131"/>
    <x v="12"/>
    <x v="2"/>
    <n v="930"/>
    <d v="2026-02-01T00:00:00"/>
    <d v="2026-02-09T00:00:00"/>
    <d v="2026-02-09T00:00:00"/>
    <n v="922"/>
    <s v="IM-108"/>
    <n v="8"/>
    <x v="0"/>
    <s v="Y"/>
    <s v="Y"/>
    <s v="Y"/>
    <n v="8"/>
    <n v="0.99139784946236564"/>
    <n v="8.6767895878524948E-3"/>
    <n v="1"/>
  </r>
  <r>
    <x v="132"/>
    <x v="19"/>
    <x v="2"/>
    <n v="254"/>
    <d v="2026-05-11T00:00:00"/>
    <d v="2026-05-26T00:00:00"/>
    <d v="2026-05-24T00:00:00"/>
    <n v="204"/>
    <s v="IM-152"/>
    <n v="1"/>
    <x v="0"/>
    <s v="Y"/>
    <s v="N"/>
    <s v="N"/>
    <n v="13"/>
    <n v="0.80314960629921262"/>
    <n v="4.9019607843137254E-3"/>
    <n v="0"/>
  </r>
  <r>
    <x v="133"/>
    <x v="17"/>
    <x v="1"/>
    <n v="251"/>
    <d v="2026-02-27T00:00:00"/>
    <d v="2026-03-04T00:00:00"/>
    <d v="2026-03-11T00:00:00"/>
    <n v="251"/>
    <s v="PK-106"/>
    <n v="6"/>
    <x v="0"/>
    <s v="N"/>
    <s v="Y"/>
    <s v="N"/>
    <n v="12"/>
    <n v="1"/>
    <n v="2.3904382470119521E-2"/>
    <n v="0"/>
  </r>
  <r>
    <x v="134"/>
    <x v="15"/>
    <x v="2"/>
    <n v="813"/>
    <d v="2026-03-24T00:00:00"/>
    <d v="2026-04-03T00:00:00"/>
    <d v="2026-04-08T00:00:00"/>
    <n v="806"/>
    <s v="IM-291"/>
    <n v="14"/>
    <x v="0"/>
    <s v="N"/>
    <s v="Y"/>
    <s v="N"/>
    <n v="15"/>
    <n v="0.991389913899139"/>
    <n v="1.7369727047146403E-2"/>
    <n v="0"/>
  </r>
  <r>
    <x v="135"/>
    <x v="1"/>
    <x v="1"/>
    <n v="310"/>
    <d v="2026-03-05T00:00:00"/>
    <d v="2026-03-19T00:00:00"/>
    <d v="2026-03-17T00:00:00"/>
    <n v="307"/>
    <s v="PK-188"/>
    <n v="0"/>
    <x v="0"/>
    <s v="Y"/>
    <s v="Y"/>
    <s v="Y"/>
    <n v="12"/>
    <n v="0.99032258064516132"/>
    <n v="0"/>
    <n v="1"/>
  </r>
  <r>
    <x v="136"/>
    <x v="12"/>
    <x v="1"/>
    <n v="677"/>
    <d v="2026-04-07T00:00:00"/>
    <d v="2026-04-20T00:00:00"/>
    <d v="2026-04-19T00:00:00"/>
    <n v="574"/>
    <s v="PK-164"/>
    <n v="9"/>
    <x v="0"/>
    <s v="Y"/>
    <s v="N"/>
    <s v="N"/>
    <n v="12"/>
    <n v="0.84785819793205319"/>
    <n v="1.5679442508710801E-2"/>
    <n v="0"/>
  </r>
  <r>
    <x v="137"/>
    <x v="17"/>
    <x v="1"/>
    <n v="238"/>
    <d v="2026-03-27T00:00:00"/>
    <d v="2026-04-03T00:00:00"/>
    <d v="2026-04-06T00:00:00"/>
    <n v="234"/>
    <s v="PK-123"/>
    <n v="1"/>
    <x v="0"/>
    <s v="N"/>
    <s v="Y"/>
    <s v="N"/>
    <n v="10"/>
    <n v="0.98319327731092432"/>
    <n v="4.2735042735042739E-3"/>
    <n v="0"/>
  </r>
  <r>
    <x v="138"/>
    <x v="1"/>
    <x v="2"/>
    <n v="264"/>
    <d v="2026-01-29T00:00:00"/>
    <d v="2026-02-09T00:00:00"/>
    <d v="2026-02-16T00:00:00"/>
    <n v="261"/>
    <s v="IM-233"/>
    <n v="4"/>
    <x v="0"/>
    <s v="N"/>
    <s v="Y"/>
    <s v="N"/>
    <n v="18"/>
    <n v="0.98863636363636365"/>
    <n v="1.532567049808429E-2"/>
    <n v="0"/>
  </r>
  <r>
    <x v="139"/>
    <x v="3"/>
    <x v="0"/>
    <n v="912"/>
    <d v="2026-06-02T00:00:00"/>
    <d v="2026-06-15T00:00:00"/>
    <d v="2026-06-21T00:00:00"/>
    <n v="895"/>
    <s v="RM-186"/>
    <n v="7"/>
    <x v="0"/>
    <s v="N"/>
    <s v="Y"/>
    <s v="N"/>
    <n v="19"/>
    <n v="0.98135964912280704"/>
    <n v="7.82122905027933E-3"/>
    <n v="0"/>
  </r>
  <r>
    <x v="140"/>
    <x v="15"/>
    <x v="0"/>
    <n v="798"/>
    <d v="2026-04-27T00:00:00"/>
    <d v="2026-05-10T00:00:00"/>
    <d v="2026-05-07T00:00:00"/>
    <n v="795"/>
    <s v="RM-160"/>
    <n v="3"/>
    <x v="0"/>
    <s v="Y"/>
    <s v="Y"/>
    <s v="Y"/>
    <n v="10"/>
    <n v="0.99624060150375937"/>
    <n v="3.7735849056603774E-3"/>
    <n v="1"/>
  </r>
  <r>
    <x v="141"/>
    <x v="1"/>
    <x v="1"/>
    <n v="249"/>
    <d v="2026-03-13T00:00:00"/>
    <d v="2026-03-19T00:00:00"/>
    <d v="2026-03-19T00:00:00"/>
    <n v="253"/>
    <s v="PK-136"/>
    <n v="2"/>
    <x v="0"/>
    <s v="Y"/>
    <s v="Y"/>
    <s v="Y"/>
    <n v="6"/>
    <n v="1.0160642570281124"/>
    <n v="7.9051383399209481E-3"/>
    <n v="1"/>
  </r>
  <r>
    <x v="142"/>
    <x v="4"/>
    <x v="0"/>
    <n v="684"/>
    <d v="2026-05-02T00:00:00"/>
    <d v="2026-05-16T00:00:00"/>
    <d v="2026-05-14T00:00:00"/>
    <n v="599"/>
    <s v="RM-109"/>
    <n v="12"/>
    <x v="0"/>
    <s v="Y"/>
    <s v="N"/>
    <s v="N"/>
    <n v="12"/>
    <n v="0.8757309941520468"/>
    <n v="2.003338898163606E-2"/>
    <n v="0"/>
  </r>
  <r>
    <x v="143"/>
    <x v="18"/>
    <x v="0"/>
    <n v="678"/>
    <d v="2026-02-02T00:00:00"/>
    <d v="2026-02-11T00:00:00"/>
    <d v="2026-02-09T00:00:00"/>
    <n v="599"/>
    <s v="RM-226"/>
    <n v="16"/>
    <x v="0"/>
    <s v="Y"/>
    <s v="N"/>
    <s v="N"/>
    <n v="7"/>
    <n v="0.88348082595870203"/>
    <n v="2.6711185308848081E-2"/>
    <n v="0"/>
  </r>
  <r>
    <x v="144"/>
    <x v="7"/>
    <x v="2"/>
    <n v="572"/>
    <d v="2026-04-05T00:00:00"/>
    <d v="2026-04-19T00:00:00"/>
    <d v="2026-04-26T00:00:00"/>
    <n v="483"/>
    <s v="IM-123"/>
    <n v="12"/>
    <x v="0"/>
    <s v="N"/>
    <s v="N"/>
    <s v="N"/>
    <n v="21"/>
    <n v="0.84440559440559437"/>
    <n v="2.4844720496894408E-2"/>
    <n v="0"/>
  </r>
  <r>
    <x v="145"/>
    <x v="12"/>
    <x v="1"/>
    <n v="250"/>
    <d v="2026-05-07T00:00:00"/>
    <d v="2026-05-17T00:00:00"/>
    <d v="2026-05-16T00:00:00"/>
    <n v="247"/>
    <s v="PK-219"/>
    <n v="1"/>
    <x v="0"/>
    <s v="Y"/>
    <s v="Y"/>
    <s v="Y"/>
    <n v="9"/>
    <n v="0.98799999999999999"/>
    <n v="4.048582995951417E-3"/>
    <n v="1"/>
  </r>
  <r>
    <x v="146"/>
    <x v="12"/>
    <x v="1"/>
    <n v="663"/>
    <d v="2026-05-05T00:00:00"/>
    <d v="2026-05-19T00:00:00"/>
    <d v="2026-05-16T00:00:00"/>
    <n v="618"/>
    <s v="PK-221"/>
    <n v="5"/>
    <x v="0"/>
    <s v="Y"/>
    <s v="N"/>
    <s v="N"/>
    <n v="11"/>
    <n v="0.9321266968325792"/>
    <n v="8.0906148867313909E-3"/>
    <n v="0"/>
  </r>
  <r>
    <x v="147"/>
    <x v="6"/>
    <x v="1"/>
    <n v="728"/>
    <d v="2026-04-29T00:00:00"/>
    <d v="2026-05-13T00:00:00"/>
    <d v="2026-05-13T00:00:00"/>
    <n v="724"/>
    <s v="PK-230"/>
    <n v="34"/>
    <x v="0"/>
    <s v="Y"/>
    <s v="Y"/>
    <s v="Y"/>
    <n v="14"/>
    <n v="0.99450549450549453"/>
    <n v="4.6961325966850827E-2"/>
    <n v="1"/>
  </r>
  <r>
    <x v="148"/>
    <x v="7"/>
    <x v="2"/>
    <n v="842"/>
    <d v="2026-03-26T00:00:00"/>
    <d v="2026-04-01T00:00:00"/>
    <d v="2026-04-10T00:00:00"/>
    <n v="836"/>
    <s v="IM-156"/>
    <n v="53"/>
    <x v="0"/>
    <s v="N"/>
    <s v="Y"/>
    <s v="N"/>
    <n v="15"/>
    <n v="0.99287410926365793"/>
    <n v="6.3397129186602869E-2"/>
    <n v="0"/>
  </r>
  <r>
    <x v="149"/>
    <x v="19"/>
    <x v="1"/>
    <n v="605"/>
    <d v="2026-05-14T00:00:00"/>
    <d v="2026-05-28T00:00:00"/>
    <d v="2026-05-31T00:00:00"/>
    <n v="615"/>
    <s v="PK-177"/>
    <n v="17"/>
    <x v="0"/>
    <s v="N"/>
    <s v="Y"/>
    <s v="N"/>
    <n v="17"/>
    <n v="1.0165289256198347"/>
    <n v="2.7642276422764227E-2"/>
    <n v="0"/>
  </r>
  <r>
    <x v="150"/>
    <x v="17"/>
    <x v="1"/>
    <n v="316"/>
    <d v="2026-02-04T00:00:00"/>
    <d v="2026-02-19T00:00:00"/>
    <d v="2026-02-17T00:00:00"/>
    <n v="311"/>
    <s v="PK-299"/>
    <n v="8"/>
    <x v="0"/>
    <s v="Y"/>
    <s v="Y"/>
    <s v="Y"/>
    <n v="13"/>
    <n v="0.98417721518987344"/>
    <n v="2.5723472668810289E-2"/>
    <n v="1"/>
  </r>
  <r>
    <x v="151"/>
    <x v="7"/>
    <x v="0"/>
    <n v="238"/>
    <d v="2026-04-03T00:00:00"/>
    <d v="2026-04-10T00:00:00"/>
    <d v="2026-04-19T00:00:00"/>
    <n v="240"/>
    <s v="RM-121"/>
    <n v="5"/>
    <x v="0"/>
    <s v="N"/>
    <s v="Y"/>
    <s v="N"/>
    <n v="16"/>
    <n v="1.0084033613445378"/>
    <n v="2.0833333333333332E-2"/>
    <n v="0"/>
  </r>
  <r>
    <x v="152"/>
    <x v="3"/>
    <x v="2"/>
    <n v="585"/>
    <d v="2026-03-15T00:00:00"/>
    <d v="2026-03-25T00:00:00"/>
    <d v="2026-03-23T00:00:00"/>
    <n v="554"/>
    <s v="IM-139"/>
    <n v="13"/>
    <x v="0"/>
    <s v="Y"/>
    <s v="N"/>
    <s v="N"/>
    <n v="8"/>
    <n v="0.94700854700854697"/>
    <n v="2.3465703971119134E-2"/>
    <n v="0"/>
  </r>
  <r>
    <x v="153"/>
    <x v="6"/>
    <x v="2"/>
    <n v="162"/>
    <d v="2026-01-28T00:00:00"/>
    <d v="2026-02-08T00:00:00"/>
    <d v="2026-02-05T00:00:00"/>
    <n v="141"/>
    <s v="IM-212"/>
    <n v="4"/>
    <x v="0"/>
    <s v="Y"/>
    <s v="N"/>
    <s v="N"/>
    <n v="8"/>
    <n v="0.87037037037037035"/>
    <n v="2.8368794326241134E-2"/>
    <n v="0"/>
  </r>
  <r>
    <x v="154"/>
    <x v="19"/>
    <x v="2"/>
    <n v="999"/>
    <d v="2026-02-07T00:00:00"/>
    <d v="2026-02-12T00:00:00"/>
    <d v="2026-02-10T00:00:00"/>
    <n v="1005"/>
    <s v="IM-183"/>
    <n v="22"/>
    <x v="0"/>
    <s v="Y"/>
    <s v="Y"/>
    <s v="Y"/>
    <n v="3"/>
    <n v="1.0060060060060061"/>
    <n v="2.1890547263681594E-2"/>
    <n v="1"/>
  </r>
  <r>
    <x v="155"/>
    <x v="6"/>
    <x v="0"/>
    <n v="594"/>
    <d v="2026-01-15T00:00:00"/>
    <d v="2026-01-30T00:00:00"/>
    <d v="2026-01-30T00:00:00"/>
    <n v="598"/>
    <s v="RM-211"/>
    <n v="5"/>
    <x v="0"/>
    <s v="Y"/>
    <s v="Y"/>
    <s v="Y"/>
    <n v="15"/>
    <n v="1.0067340067340067"/>
    <n v="8.3612040133779261E-3"/>
    <n v="1"/>
  </r>
  <r>
    <x v="156"/>
    <x v="10"/>
    <x v="0"/>
    <n v="765"/>
    <d v="2026-04-02T00:00:00"/>
    <d v="2026-04-09T00:00:00"/>
    <d v="2026-04-08T00:00:00"/>
    <n v="656"/>
    <s v="RM-190"/>
    <n v="51"/>
    <x v="0"/>
    <s v="Y"/>
    <s v="N"/>
    <s v="N"/>
    <n v="6"/>
    <n v="0.857516339869281"/>
    <n v="7.774390243902439E-2"/>
    <n v="0"/>
  </r>
  <r>
    <x v="157"/>
    <x v="3"/>
    <x v="0"/>
    <n v="387"/>
    <d v="2026-05-23T00:00:00"/>
    <d v="2026-06-01T00:00:00"/>
    <d v="2026-06-06T00:00:00"/>
    <n v="382"/>
    <s v="RM-259"/>
    <n v="11"/>
    <x v="0"/>
    <s v="N"/>
    <s v="Y"/>
    <s v="N"/>
    <n v="14"/>
    <n v="0.98708010335917318"/>
    <n v="2.8795811518324606E-2"/>
    <n v="0"/>
  </r>
  <r>
    <x v="158"/>
    <x v="11"/>
    <x v="2"/>
    <n v="659"/>
    <d v="2026-02-19T00:00:00"/>
    <d v="2026-02-26T00:00:00"/>
    <d v="2026-02-24T00:00:00"/>
    <n v="666"/>
    <s v="IM-287"/>
    <n v="3"/>
    <x v="0"/>
    <s v="Y"/>
    <s v="Y"/>
    <s v="Y"/>
    <n v="5"/>
    <n v="1.0106221547799696"/>
    <n v="4.5045045045045045E-3"/>
    <n v="1"/>
  </r>
  <r>
    <x v="159"/>
    <x v="7"/>
    <x v="2"/>
    <n v="957"/>
    <d v="2026-05-11T00:00:00"/>
    <d v="2026-05-19T00:00:00"/>
    <d v="2026-05-18T00:00:00"/>
    <n v="971"/>
    <s v="IM-253"/>
    <n v="56"/>
    <x v="0"/>
    <s v="Y"/>
    <s v="Y"/>
    <s v="Y"/>
    <n v="7"/>
    <n v="1.0146290491118077"/>
    <n v="5.7672502574665295E-2"/>
    <n v="1"/>
  </r>
  <r>
    <x v="160"/>
    <x v="5"/>
    <x v="0"/>
    <n v="882"/>
    <d v="2026-04-09T00:00:00"/>
    <d v="2026-04-14T00:00:00"/>
    <d v="2026-04-19T00:00:00"/>
    <n v="884"/>
    <s v="RM-190"/>
    <n v="4"/>
    <x v="0"/>
    <s v="N"/>
    <s v="Y"/>
    <s v="N"/>
    <n v="10"/>
    <n v="1.0022675736961451"/>
    <n v="4.5248868778280547E-3"/>
    <n v="0"/>
  </r>
  <r>
    <x v="161"/>
    <x v="8"/>
    <x v="2"/>
    <n v="494"/>
    <d v="2026-02-08T00:00:00"/>
    <d v="2026-02-16T00:00:00"/>
    <d v="2026-02-15T00:00:00"/>
    <n v="486"/>
    <s v="IM-111"/>
    <n v="13"/>
    <x v="0"/>
    <s v="Y"/>
    <s v="Y"/>
    <s v="Y"/>
    <n v="7"/>
    <n v="0.98380566801619429"/>
    <n v="2.6748971193415638E-2"/>
    <n v="1"/>
  </r>
  <r>
    <x v="162"/>
    <x v="18"/>
    <x v="0"/>
    <n v="556"/>
    <d v="2026-02-02T00:00:00"/>
    <d v="2026-02-07T00:00:00"/>
    <d v="2026-02-16T00:00:00"/>
    <n v="551"/>
    <s v="RM-145"/>
    <n v="14"/>
    <x v="0"/>
    <s v="N"/>
    <s v="Y"/>
    <s v="N"/>
    <n v="14"/>
    <n v="0.99100719424460426"/>
    <n v="2.5408348457350273E-2"/>
    <n v="0"/>
  </r>
  <r>
    <x v="163"/>
    <x v="16"/>
    <x v="0"/>
    <n v="524"/>
    <d v="2026-05-12T00:00:00"/>
    <d v="2026-05-25T00:00:00"/>
    <d v="2026-05-27T00:00:00"/>
    <n v="522"/>
    <s v="RM-184"/>
    <n v="1"/>
    <x v="0"/>
    <s v="N"/>
    <s v="Y"/>
    <s v="N"/>
    <n v="15"/>
    <n v="0.99618320610687028"/>
    <n v="1.9157088122605363E-3"/>
    <n v="0"/>
  </r>
  <r>
    <x v="164"/>
    <x v="11"/>
    <x v="0"/>
    <n v="471"/>
    <d v="2026-03-09T00:00:00"/>
    <d v="2026-03-18T00:00:00"/>
    <d v="2026-03-18T00:00:00"/>
    <n v="472"/>
    <s v="RM-137"/>
    <n v="1"/>
    <x v="0"/>
    <s v="Y"/>
    <s v="Y"/>
    <s v="Y"/>
    <n v="9"/>
    <n v="1.0021231422505308"/>
    <n v="2.1186440677966102E-3"/>
    <n v="1"/>
  </r>
  <r>
    <x v="165"/>
    <x v="9"/>
    <x v="0"/>
    <n v="961"/>
    <d v="2026-02-10T00:00:00"/>
    <d v="2026-02-25T00:00:00"/>
    <d v="2026-02-25T00:00:00"/>
    <n v="954"/>
    <s v="RM-130"/>
    <n v="66"/>
    <x v="0"/>
    <s v="Y"/>
    <s v="Y"/>
    <s v="Y"/>
    <n v="15"/>
    <n v="0.99271592091571281"/>
    <n v="6.9182389937106917E-2"/>
    <n v="1"/>
  </r>
  <r>
    <x v="166"/>
    <x v="16"/>
    <x v="1"/>
    <n v="994"/>
    <d v="2026-03-26T00:00:00"/>
    <d v="2026-04-02T00:00:00"/>
    <d v="2026-04-05T00:00:00"/>
    <n v="936"/>
    <s v="PK-262"/>
    <n v="14"/>
    <x v="0"/>
    <s v="N"/>
    <s v="N"/>
    <s v="N"/>
    <n v="10"/>
    <n v="0.94164989939637822"/>
    <n v="1.4957264957264958E-2"/>
    <n v="0"/>
  </r>
  <r>
    <x v="167"/>
    <x v="15"/>
    <x v="0"/>
    <n v="309"/>
    <d v="2026-06-02T00:00:00"/>
    <d v="2026-06-14T00:00:00"/>
    <d v="2026-06-13T00:00:00"/>
    <n v="307"/>
    <s v="RM-259"/>
    <n v="3"/>
    <x v="0"/>
    <s v="Y"/>
    <s v="Y"/>
    <s v="Y"/>
    <n v="11"/>
    <n v="0.99352750809061485"/>
    <n v="9.7719869706840382E-3"/>
    <n v="1"/>
  </r>
  <r>
    <x v="168"/>
    <x v="13"/>
    <x v="0"/>
    <n v="995"/>
    <d v="2026-05-18T00:00:00"/>
    <d v="2026-06-02T00:00:00"/>
    <d v="2026-06-04T00:00:00"/>
    <n v="835"/>
    <s v="RM-210"/>
    <n v="4"/>
    <x v="0"/>
    <s v="N"/>
    <s v="N"/>
    <s v="N"/>
    <n v="17"/>
    <n v="0.83919597989949746"/>
    <n v="4.7904191616766467E-3"/>
    <n v="0"/>
  </r>
  <r>
    <x v="169"/>
    <x v="18"/>
    <x v="2"/>
    <n v="531"/>
    <d v="2026-05-29T00:00:00"/>
    <d v="2026-06-06T00:00:00"/>
    <d v="2026-06-05T00:00:00"/>
    <n v="485"/>
    <s v="IM-142"/>
    <n v="25"/>
    <x v="0"/>
    <s v="Y"/>
    <s v="N"/>
    <s v="N"/>
    <n v="7"/>
    <n v="0.91337099811676081"/>
    <n v="5.1546391752577317E-2"/>
    <n v="0"/>
  </r>
  <r>
    <x v="170"/>
    <x v="11"/>
    <x v="2"/>
    <n v="201"/>
    <d v="2026-06-02T00:00:00"/>
    <d v="2026-06-17T00:00:00"/>
    <d v="2026-06-25T00:00:00"/>
    <n v="200"/>
    <s v="IM-118"/>
    <n v="1"/>
    <x v="0"/>
    <s v="N"/>
    <s v="Y"/>
    <s v="N"/>
    <n v="23"/>
    <n v="0.99502487562189057"/>
    <n v="5.0000000000000001E-3"/>
    <n v="0"/>
  </r>
  <r>
    <x v="171"/>
    <x v="8"/>
    <x v="1"/>
    <n v="246"/>
    <d v="2026-04-09T00:00:00"/>
    <d v="2026-04-16T00:00:00"/>
    <d v="2026-04-14T00:00:00"/>
    <n v="250"/>
    <s v="PK-169"/>
    <n v="19"/>
    <x v="0"/>
    <s v="Y"/>
    <s v="Y"/>
    <s v="Y"/>
    <n v="5"/>
    <n v="1.0162601626016261"/>
    <n v="7.5999999999999998E-2"/>
    <n v="1"/>
  </r>
  <r>
    <x v="172"/>
    <x v="5"/>
    <x v="0"/>
    <n v="212"/>
    <d v="2026-03-22T00:00:00"/>
    <d v="2026-03-27T00:00:00"/>
    <d v="2026-03-24T00:00:00"/>
    <n v="206"/>
    <s v="RM-164"/>
    <n v="1"/>
    <x v="0"/>
    <s v="Y"/>
    <s v="N"/>
    <s v="N"/>
    <n v="2"/>
    <n v="0.97169811320754718"/>
    <n v="4.8543689320388345E-3"/>
    <n v="0"/>
  </r>
  <r>
    <x v="173"/>
    <x v="14"/>
    <x v="0"/>
    <n v="87"/>
    <d v="2026-01-15T00:00:00"/>
    <d v="2026-01-24T00:00:00"/>
    <d v="2026-02-01T00:00:00"/>
    <n v="86"/>
    <s v="RM-281"/>
    <n v="2"/>
    <x v="0"/>
    <s v="N"/>
    <s v="Y"/>
    <s v="N"/>
    <n v="17"/>
    <n v="0.9885057471264368"/>
    <n v="2.3255813953488372E-2"/>
    <n v="0"/>
  </r>
  <r>
    <x v="174"/>
    <x v="13"/>
    <x v="2"/>
    <n v="226"/>
    <d v="2026-03-14T00:00:00"/>
    <d v="2026-03-20T00:00:00"/>
    <d v="2026-03-25T00:00:00"/>
    <n v="203"/>
    <s v="IM-145"/>
    <n v="10"/>
    <x v="0"/>
    <s v="N"/>
    <s v="N"/>
    <s v="N"/>
    <n v="11"/>
    <n v="0.89823008849557517"/>
    <n v="4.9261083743842367E-2"/>
    <n v="0"/>
  </r>
  <r>
    <x v="175"/>
    <x v="14"/>
    <x v="1"/>
    <n v="974"/>
    <d v="2026-01-26T00:00:00"/>
    <d v="2026-02-09T00:00:00"/>
    <d v="2026-02-06T00:00:00"/>
    <n v="852"/>
    <s v="PK-157"/>
    <n v="35"/>
    <x v="0"/>
    <s v="Y"/>
    <s v="N"/>
    <s v="N"/>
    <n v="11"/>
    <n v="0.87474332648870634"/>
    <n v="4.1079812206572773E-2"/>
    <n v="0"/>
  </r>
  <r>
    <x v="176"/>
    <x v="18"/>
    <x v="0"/>
    <n v="350"/>
    <d v="2026-01-28T00:00:00"/>
    <d v="2026-02-03T00:00:00"/>
    <d v="2026-02-02T00:00:00"/>
    <n v="346"/>
    <s v="RM-124"/>
    <n v="19"/>
    <x v="0"/>
    <s v="Y"/>
    <s v="Y"/>
    <s v="Y"/>
    <n v="5"/>
    <n v="0.98857142857142855"/>
    <n v="5.4913294797687862E-2"/>
    <n v="1"/>
  </r>
  <r>
    <x v="177"/>
    <x v="12"/>
    <x v="0"/>
    <n v="621"/>
    <d v="2026-05-10T00:00:00"/>
    <d v="2026-05-17T00:00:00"/>
    <d v="2026-05-20T00:00:00"/>
    <n v="524"/>
    <s v="RM-132"/>
    <n v="1"/>
    <x v="0"/>
    <s v="N"/>
    <s v="N"/>
    <s v="N"/>
    <n v="10"/>
    <n v="0.8438003220611916"/>
    <n v="1.9083969465648854E-3"/>
    <n v="0"/>
  </r>
  <r>
    <x v="178"/>
    <x v="17"/>
    <x v="1"/>
    <n v="974"/>
    <d v="2026-04-02T00:00:00"/>
    <d v="2026-04-10T00:00:00"/>
    <d v="2026-04-10T00:00:00"/>
    <n v="960"/>
    <s v="PK-248"/>
    <n v="13"/>
    <x v="0"/>
    <s v="Y"/>
    <s v="Y"/>
    <s v="Y"/>
    <n v="8"/>
    <n v="0.98562628336755642"/>
    <n v="1.3541666666666667E-2"/>
    <n v="1"/>
  </r>
  <r>
    <x v="179"/>
    <x v="15"/>
    <x v="1"/>
    <n v="190"/>
    <d v="2026-05-04T00:00:00"/>
    <d v="2026-05-11T00:00:00"/>
    <d v="2026-05-15T00:00:00"/>
    <n v="186"/>
    <s v="PK-156"/>
    <n v="1"/>
    <x v="0"/>
    <s v="N"/>
    <s v="N"/>
    <s v="N"/>
    <n v="11"/>
    <n v="0.97894736842105268"/>
    <n v="5.3763440860215058E-3"/>
    <n v="0"/>
  </r>
  <r>
    <x v="180"/>
    <x v="14"/>
    <x v="0"/>
    <n v="375"/>
    <d v="2026-04-22T00:00:00"/>
    <d v="2026-05-05T00:00:00"/>
    <d v="2026-05-11T00:00:00"/>
    <n v="372"/>
    <s v="RM-155"/>
    <n v="1"/>
    <x v="0"/>
    <s v="N"/>
    <s v="Y"/>
    <s v="N"/>
    <n v="19"/>
    <n v="0.99199999999999999"/>
    <n v="2.6881720430107529E-3"/>
    <n v="0"/>
  </r>
  <r>
    <x v="181"/>
    <x v="15"/>
    <x v="0"/>
    <n v="133"/>
    <d v="2026-02-01T00:00:00"/>
    <d v="2026-02-16T00:00:00"/>
    <d v="2026-02-16T00:00:00"/>
    <n v="134"/>
    <s v="RM-177"/>
    <n v="1"/>
    <x v="0"/>
    <s v="Y"/>
    <s v="Y"/>
    <s v="Y"/>
    <n v="15"/>
    <n v="1.0075187969924813"/>
    <n v="7.462686567164179E-3"/>
    <n v="1"/>
  </r>
  <r>
    <x v="182"/>
    <x v="4"/>
    <x v="2"/>
    <n v="705"/>
    <d v="2026-01-21T00:00:00"/>
    <d v="2026-02-03T00:00:00"/>
    <d v="2026-02-03T00:00:00"/>
    <n v="706"/>
    <s v="IM-284"/>
    <n v="10"/>
    <x v="0"/>
    <s v="Y"/>
    <s v="Y"/>
    <s v="Y"/>
    <n v="13"/>
    <n v="1.0014184397163119"/>
    <n v="1.4164305949008499E-2"/>
    <n v="1"/>
  </r>
  <r>
    <x v="183"/>
    <x v="4"/>
    <x v="0"/>
    <n v="381"/>
    <d v="2026-05-01T00:00:00"/>
    <d v="2026-05-10T00:00:00"/>
    <d v="2026-05-10T00:00:00"/>
    <n v="385"/>
    <s v="RM-156"/>
    <n v="10"/>
    <x v="0"/>
    <s v="Y"/>
    <s v="Y"/>
    <s v="Y"/>
    <n v="9"/>
    <n v="1.0104986876640421"/>
    <n v="2.5974025974025976E-2"/>
    <n v="1"/>
  </r>
  <r>
    <x v="184"/>
    <x v="9"/>
    <x v="1"/>
    <n v="319"/>
    <d v="2026-01-28T00:00:00"/>
    <d v="2026-02-08T00:00:00"/>
    <d v="2026-02-05T00:00:00"/>
    <n v="314"/>
    <s v="PK-297"/>
    <n v="20"/>
    <x v="0"/>
    <s v="Y"/>
    <s v="Y"/>
    <s v="Y"/>
    <n v="8"/>
    <n v="0.98432601880877746"/>
    <n v="6.3694267515923567E-2"/>
    <n v="1"/>
  </r>
  <r>
    <x v="185"/>
    <x v="6"/>
    <x v="1"/>
    <n v="864"/>
    <d v="2026-02-13T00:00:00"/>
    <d v="2026-02-22T00:00:00"/>
    <d v="2026-02-19T00:00:00"/>
    <n v="736"/>
    <s v="PK-132"/>
    <n v="42"/>
    <x v="0"/>
    <s v="Y"/>
    <s v="N"/>
    <s v="N"/>
    <n v="6"/>
    <n v="0.85185185185185186"/>
    <n v="5.7065217391304345E-2"/>
    <n v="0"/>
  </r>
  <r>
    <x v="186"/>
    <x v="9"/>
    <x v="1"/>
    <n v="878"/>
    <d v="2026-03-19T00:00:00"/>
    <d v="2026-04-03T00:00:00"/>
    <d v="2026-04-06T00:00:00"/>
    <n v="889"/>
    <s v="PK-219"/>
    <n v="37"/>
    <x v="0"/>
    <s v="N"/>
    <s v="Y"/>
    <s v="N"/>
    <n v="18"/>
    <n v="1.0125284738041003"/>
    <n v="4.1619797525309338E-2"/>
    <n v="0"/>
  </r>
  <r>
    <x v="187"/>
    <x v="17"/>
    <x v="1"/>
    <n v="848"/>
    <d v="2026-02-01T00:00:00"/>
    <d v="2026-02-13T00:00:00"/>
    <d v="2026-02-11T00:00:00"/>
    <n v="805"/>
    <s v="PK-183"/>
    <n v="8"/>
    <x v="0"/>
    <s v="Y"/>
    <s v="N"/>
    <s v="N"/>
    <n v="10"/>
    <n v="0.9492924528301887"/>
    <n v="9.9378881987577643E-3"/>
    <n v="0"/>
  </r>
  <r>
    <x v="188"/>
    <x v="13"/>
    <x v="0"/>
    <n v="539"/>
    <d v="2026-03-19T00:00:00"/>
    <d v="2026-03-30T00:00:00"/>
    <d v="2026-04-08T00:00:00"/>
    <n v="536"/>
    <s v="RM-207"/>
    <n v="5"/>
    <x v="0"/>
    <s v="N"/>
    <s v="Y"/>
    <s v="N"/>
    <n v="20"/>
    <n v="0.99443413729128016"/>
    <n v="9.3283582089552231E-3"/>
    <n v="0"/>
  </r>
  <r>
    <x v="189"/>
    <x v="3"/>
    <x v="1"/>
    <n v="695"/>
    <d v="2026-01-12T00:00:00"/>
    <d v="2026-01-24T00:00:00"/>
    <d v="2026-01-28T00:00:00"/>
    <n v="658"/>
    <s v="PK-139"/>
    <n v="55"/>
    <x v="0"/>
    <s v="N"/>
    <s v="N"/>
    <s v="N"/>
    <n v="16"/>
    <n v="0.94676258992805751"/>
    <n v="8.3586626139817627E-2"/>
    <n v="0"/>
  </r>
  <r>
    <x v="190"/>
    <x v="12"/>
    <x v="0"/>
    <n v="745"/>
    <d v="2026-03-22T00:00:00"/>
    <d v="2026-03-30T00:00:00"/>
    <d v="2026-03-28T00:00:00"/>
    <n v="736"/>
    <s v="RM-260"/>
    <n v="14"/>
    <x v="0"/>
    <s v="Y"/>
    <s v="Y"/>
    <s v="Y"/>
    <n v="6"/>
    <n v="0.98791946308724832"/>
    <n v="1.9021739130434784E-2"/>
    <n v="1"/>
  </r>
  <r>
    <x v="191"/>
    <x v="12"/>
    <x v="1"/>
    <n v="466"/>
    <d v="2026-03-16T00:00:00"/>
    <d v="2026-03-31T00:00:00"/>
    <d v="2026-04-09T00:00:00"/>
    <n v="468"/>
    <s v="PK-268"/>
    <n v="7"/>
    <x v="0"/>
    <s v="N"/>
    <s v="Y"/>
    <s v="N"/>
    <n v="24"/>
    <n v="1.0042918454935623"/>
    <n v="1.4957264957264958E-2"/>
    <n v="0"/>
  </r>
  <r>
    <x v="192"/>
    <x v="12"/>
    <x v="0"/>
    <n v="483"/>
    <d v="2026-02-21T00:00:00"/>
    <d v="2026-02-28T00:00:00"/>
    <d v="2026-02-28T00:00:00"/>
    <n v="490"/>
    <s v="RM-246"/>
    <n v="13"/>
    <x v="0"/>
    <s v="Y"/>
    <s v="Y"/>
    <s v="Y"/>
    <n v="7"/>
    <n v="1.0144927536231885"/>
    <n v="2.6530612244897958E-2"/>
    <n v="1"/>
  </r>
  <r>
    <x v="193"/>
    <x v="19"/>
    <x v="0"/>
    <n v="689"/>
    <d v="2026-01-15T00:00:00"/>
    <d v="2026-01-25T00:00:00"/>
    <d v="2026-01-25T00:00:00"/>
    <n v="692"/>
    <s v="RM-141"/>
    <n v="25"/>
    <x v="0"/>
    <s v="Y"/>
    <s v="Y"/>
    <s v="Y"/>
    <n v="10"/>
    <n v="1.004354136429608"/>
    <n v="3.6127167630057806E-2"/>
    <n v="1"/>
  </r>
  <r>
    <x v="194"/>
    <x v="11"/>
    <x v="1"/>
    <n v="443"/>
    <d v="2026-02-19T00:00:00"/>
    <d v="2026-02-25T00:00:00"/>
    <d v="2026-02-22T00:00:00"/>
    <n v="442"/>
    <s v="PK-169"/>
    <n v="6"/>
    <x v="0"/>
    <s v="Y"/>
    <s v="Y"/>
    <s v="Y"/>
    <n v="3"/>
    <n v="0.99774266365688491"/>
    <n v="1.3574660633484163E-2"/>
    <n v="1"/>
  </r>
  <r>
    <x v="195"/>
    <x v="8"/>
    <x v="2"/>
    <n v="490"/>
    <d v="2026-05-05T00:00:00"/>
    <d v="2026-05-10T00:00:00"/>
    <d v="2026-05-08T00:00:00"/>
    <n v="496"/>
    <s v="IM-264"/>
    <n v="1"/>
    <x v="0"/>
    <s v="Y"/>
    <s v="Y"/>
    <s v="Y"/>
    <n v="3"/>
    <n v="1.0122448979591836"/>
    <n v="2.0161290322580645E-3"/>
    <n v="1"/>
  </r>
  <r>
    <x v="196"/>
    <x v="6"/>
    <x v="1"/>
    <n v="759"/>
    <d v="2026-03-11T00:00:00"/>
    <d v="2026-03-16T00:00:00"/>
    <d v="2026-03-13T00:00:00"/>
    <n v="759"/>
    <s v="PK-270"/>
    <n v="6"/>
    <x v="0"/>
    <s v="Y"/>
    <s v="Y"/>
    <s v="Y"/>
    <n v="2"/>
    <n v="1"/>
    <n v="7.9051383399209481E-3"/>
    <n v="1"/>
  </r>
  <r>
    <x v="197"/>
    <x v="10"/>
    <x v="1"/>
    <n v="451"/>
    <d v="2026-02-21T00:00:00"/>
    <d v="2026-02-28T00:00:00"/>
    <d v="2026-02-27T00:00:00"/>
    <n v="454"/>
    <s v="PK-232"/>
    <n v="31"/>
    <x v="0"/>
    <s v="Y"/>
    <s v="Y"/>
    <s v="Y"/>
    <n v="6"/>
    <n v="1.0066518847006651"/>
    <n v="6.8281938325991193E-2"/>
    <n v="1"/>
  </r>
  <r>
    <x v="198"/>
    <x v="3"/>
    <x v="0"/>
    <n v="529"/>
    <d v="2026-02-20T00:00:00"/>
    <d v="2026-03-05T00:00:00"/>
    <d v="2026-03-07T00:00:00"/>
    <n v="522"/>
    <s v="RM-296"/>
    <n v="19"/>
    <x v="0"/>
    <s v="N"/>
    <s v="Y"/>
    <s v="N"/>
    <n v="15"/>
    <n v="0.98676748582230622"/>
    <n v="3.6398467432950193E-2"/>
    <n v="0"/>
  </r>
  <r>
    <x v="199"/>
    <x v="0"/>
    <x v="0"/>
    <n v="716"/>
    <d v="2026-02-05T00:00:00"/>
    <d v="2026-02-12T00:00:00"/>
    <d v="2026-02-11T00:00:00"/>
    <n v="718"/>
    <s v="RM-113"/>
    <n v="11"/>
    <x v="0"/>
    <s v="Y"/>
    <s v="Y"/>
    <s v="Y"/>
    <n v="6"/>
    <n v="1.0027932960893855"/>
    <n v="1.532033426183844E-2"/>
    <n v="1"/>
  </r>
  <r>
    <x v="200"/>
    <x v="18"/>
    <x v="0"/>
    <n v="879"/>
    <d v="2026-05-06T00:00:00"/>
    <d v="2026-05-12T00:00:00"/>
    <d v="2026-05-12T00:00:00"/>
    <n v="888"/>
    <s v="RM-172"/>
    <n v="6"/>
    <x v="0"/>
    <s v="Y"/>
    <s v="Y"/>
    <s v="Y"/>
    <n v="6"/>
    <n v="1.0102389078498293"/>
    <n v="6.7567567567567571E-3"/>
    <n v="1"/>
  </r>
  <r>
    <x v="201"/>
    <x v="14"/>
    <x v="2"/>
    <n v="202"/>
    <d v="2026-04-01T00:00:00"/>
    <d v="2026-04-14T00:00:00"/>
    <d v="2026-04-11T00:00:00"/>
    <n v="201"/>
    <s v="IM-271"/>
    <n v="7"/>
    <x v="0"/>
    <s v="Y"/>
    <s v="Y"/>
    <s v="Y"/>
    <n v="10"/>
    <n v="0.99504950495049505"/>
    <n v="3.482587064676617E-2"/>
    <n v="1"/>
  </r>
  <r>
    <x v="202"/>
    <x v="8"/>
    <x v="0"/>
    <n v="561"/>
    <d v="2026-05-22T00:00:00"/>
    <d v="2026-06-06T00:00:00"/>
    <d v="2026-06-08T00:00:00"/>
    <n v="555"/>
    <s v="RM-240"/>
    <n v="49"/>
    <x v="0"/>
    <s v="N"/>
    <s v="Y"/>
    <s v="N"/>
    <n v="17"/>
    <n v="0.98930481283422456"/>
    <n v="8.8288288288288289E-2"/>
    <n v="0"/>
  </r>
  <r>
    <x v="203"/>
    <x v="4"/>
    <x v="1"/>
    <n v="994"/>
    <d v="2026-03-01T00:00:00"/>
    <d v="2026-03-12T00:00:00"/>
    <d v="2026-03-10T00:00:00"/>
    <n v="982"/>
    <s v="PK-121"/>
    <n v="27"/>
    <x v="0"/>
    <s v="Y"/>
    <s v="Y"/>
    <s v="Y"/>
    <n v="9"/>
    <n v="0.98792756539235416"/>
    <n v="2.7494908350305498E-2"/>
    <n v="1"/>
  </r>
  <r>
    <x v="204"/>
    <x v="18"/>
    <x v="1"/>
    <n v="176"/>
    <d v="2026-04-30T00:00:00"/>
    <d v="2026-05-15T00:00:00"/>
    <m/>
    <m/>
    <s v="PK-128"/>
    <m/>
    <x v="1"/>
    <s v="N/A"/>
    <s v="N/A"/>
    <s v="N/A"/>
    <s v="N/A"/>
    <s v="N/A"/>
    <s v="N/A"/>
    <s v=""/>
  </r>
  <r>
    <x v="205"/>
    <x v="3"/>
    <x v="0"/>
    <n v="242"/>
    <d v="2026-02-27T00:00:00"/>
    <d v="2026-03-09T00:00:00"/>
    <d v="2026-03-07T00:00:00"/>
    <n v="242"/>
    <s v="RM-115"/>
    <n v="2"/>
    <x v="0"/>
    <s v="Y"/>
    <s v="Y"/>
    <s v="Y"/>
    <n v="8"/>
    <n v="1"/>
    <n v="8.2644628099173556E-3"/>
    <n v="1"/>
  </r>
  <r>
    <x v="206"/>
    <x v="17"/>
    <x v="1"/>
    <n v="641"/>
    <d v="2026-02-20T00:00:00"/>
    <d v="2026-03-05T00:00:00"/>
    <d v="2026-03-04T00:00:00"/>
    <n v="636"/>
    <s v="PK-265"/>
    <n v="4"/>
    <x v="0"/>
    <s v="Y"/>
    <s v="Y"/>
    <s v="Y"/>
    <n v="12"/>
    <n v="0.99219968798751945"/>
    <n v="6.2893081761006293E-3"/>
    <n v="1"/>
  </r>
  <r>
    <x v="207"/>
    <x v="2"/>
    <x v="0"/>
    <n v="884"/>
    <d v="2026-04-11T00:00:00"/>
    <d v="2026-04-19T00:00:00"/>
    <d v="2026-04-21T00:00:00"/>
    <n v="871"/>
    <s v="RM-218"/>
    <n v="49"/>
    <x v="0"/>
    <s v="N"/>
    <s v="Y"/>
    <s v="N"/>
    <n v="10"/>
    <n v="0.98529411764705888"/>
    <n v="5.6257175660160738E-2"/>
    <n v="0"/>
  </r>
  <r>
    <x v="208"/>
    <x v="10"/>
    <x v="2"/>
    <n v="940"/>
    <d v="2026-02-16T00:00:00"/>
    <d v="2026-02-21T00:00:00"/>
    <d v="2026-02-19T00:00:00"/>
    <n v="934"/>
    <s v="IM-117"/>
    <n v="43"/>
    <x v="0"/>
    <s v="Y"/>
    <s v="Y"/>
    <s v="Y"/>
    <n v="3"/>
    <n v="0.99361702127659579"/>
    <n v="4.6038543897216275E-2"/>
    <n v="1"/>
  </r>
  <r>
    <x v="209"/>
    <x v="4"/>
    <x v="0"/>
    <n v="473"/>
    <d v="2026-04-07T00:00:00"/>
    <d v="2026-04-16T00:00:00"/>
    <d v="2026-04-13T00:00:00"/>
    <n v="467"/>
    <s v="RM-182"/>
    <n v="5"/>
    <x v="0"/>
    <s v="Y"/>
    <s v="Y"/>
    <s v="Y"/>
    <n v="6"/>
    <n v="0.98731501057082449"/>
    <n v="1.0706638115631691E-2"/>
    <n v="1"/>
  </r>
  <r>
    <x v="210"/>
    <x v="16"/>
    <x v="2"/>
    <n v="177"/>
    <d v="2026-02-11T00:00:00"/>
    <d v="2026-02-17T00:00:00"/>
    <d v="2026-02-16T00:00:00"/>
    <n v="180"/>
    <s v="IM-291"/>
    <n v="1"/>
    <x v="0"/>
    <s v="Y"/>
    <s v="Y"/>
    <s v="Y"/>
    <n v="5"/>
    <n v="1.0169491525423728"/>
    <n v="5.5555555555555558E-3"/>
    <n v="1"/>
  </r>
  <r>
    <x v="211"/>
    <x v="18"/>
    <x v="0"/>
    <n v="179"/>
    <d v="2026-04-03T00:00:00"/>
    <d v="2026-04-08T00:00:00"/>
    <d v="2026-04-06T00:00:00"/>
    <n v="179"/>
    <s v="RM-128"/>
    <n v="9"/>
    <x v="0"/>
    <s v="Y"/>
    <s v="Y"/>
    <s v="Y"/>
    <n v="3"/>
    <n v="1"/>
    <n v="5.027932960893855E-2"/>
    <n v="1"/>
  </r>
  <r>
    <x v="212"/>
    <x v="2"/>
    <x v="0"/>
    <n v="708"/>
    <d v="2026-05-06T00:00:00"/>
    <d v="2026-05-17T00:00:00"/>
    <d v="2026-05-22T00:00:00"/>
    <n v="701"/>
    <s v="RM-264"/>
    <n v="29"/>
    <x v="0"/>
    <s v="N"/>
    <s v="Y"/>
    <s v="N"/>
    <n v="16"/>
    <n v="0.99011299435028244"/>
    <n v="4.136947218259629E-2"/>
    <n v="0"/>
  </r>
  <r>
    <x v="213"/>
    <x v="19"/>
    <x v="0"/>
    <n v="899"/>
    <d v="2026-01-09T00:00:00"/>
    <d v="2026-01-17T00:00:00"/>
    <d v="2026-01-25T00:00:00"/>
    <n v="915"/>
    <s v="RM-213"/>
    <n v="26"/>
    <x v="0"/>
    <s v="N"/>
    <s v="Y"/>
    <s v="N"/>
    <n v="16"/>
    <n v="1.0177975528364849"/>
    <n v="2.8415300546448089E-2"/>
    <n v="0"/>
  </r>
  <r>
    <x v="214"/>
    <x v="12"/>
    <x v="1"/>
    <n v="744"/>
    <d v="2026-01-10T00:00:00"/>
    <d v="2026-01-20T00:00:00"/>
    <m/>
    <m/>
    <s v="PK-186"/>
    <m/>
    <x v="1"/>
    <s v="N/A"/>
    <s v="N/A"/>
    <s v="N/A"/>
    <s v="N/A"/>
    <s v="N/A"/>
    <s v="N/A"/>
    <s v=""/>
  </r>
  <r>
    <x v="215"/>
    <x v="2"/>
    <x v="1"/>
    <n v="252"/>
    <d v="2026-04-14T00:00:00"/>
    <d v="2026-04-25T00:00:00"/>
    <d v="2026-05-04T00:00:00"/>
    <n v="230"/>
    <s v="PK-283"/>
    <n v="10"/>
    <x v="0"/>
    <s v="N"/>
    <s v="N"/>
    <s v="N"/>
    <n v="20"/>
    <n v="0.91269841269841268"/>
    <n v="4.3478260869565216E-2"/>
    <n v="0"/>
  </r>
  <r>
    <x v="216"/>
    <x v="6"/>
    <x v="1"/>
    <n v="787"/>
    <d v="2026-03-01T00:00:00"/>
    <d v="2026-03-11T00:00:00"/>
    <d v="2026-03-10T00:00:00"/>
    <n v="637"/>
    <s v="PK-299"/>
    <n v="35"/>
    <x v="0"/>
    <s v="Y"/>
    <s v="N"/>
    <s v="N"/>
    <n v="9"/>
    <n v="0.80940279542566707"/>
    <n v="5.4945054945054944E-2"/>
    <n v="0"/>
  </r>
  <r>
    <x v="217"/>
    <x v="14"/>
    <x v="2"/>
    <n v="532"/>
    <d v="2026-01-10T00:00:00"/>
    <d v="2026-01-17T00:00:00"/>
    <d v="2026-01-14T00:00:00"/>
    <n v="537"/>
    <s v="IM-183"/>
    <n v="23"/>
    <x v="0"/>
    <s v="Y"/>
    <s v="Y"/>
    <s v="Y"/>
    <n v="4"/>
    <n v="1.0093984962406015"/>
    <n v="4.2830540037243951E-2"/>
    <n v="1"/>
  </r>
  <r>
    <x v="218"/>
    <x v="17"/>
    <x v="1"/>
    <n v="445"/>
    <d v="2026-02-22T00:00:00"/>
    <d v="2026-03-05T00:00:00"/>
    <d v="2026-03-05T00:00:00"/>
    <n v="441"/>
    <s v="PK-174"/>
    <n v="2"/>
    <x v="0"/>
    <s v="Y"/>
    <s v="Y"/>
    <s v="Y"/>
    <n v="11"/>
    <n v="0.99101123595505614"/>
    <n v="4.5351473922902496E-3"/>
    <n v="1"/>
  </r>
  <r>
    <x v="219"/>
    <x v="16"/>
    <x v="0"/>
    <n v="927"/>
    <d v="2026-05-31T00:00:00"/>
    <d v="2026-06-05T00:00:00"/>
    <d v="2026-06-12T00:00:00"/>
    <n v="810"/>
    <s v="RM-141"/>
    <n v="9"/>
    <x v="0"/>
    <s v="N"/>
    <s v="N"/>
    <s v="N"/>
    <n v="12"/>
    <n v="0.87378640776699024"/>
    <n v="1.1111111111111112E-2"/>
    <n v="0"/>
  </r>
  <r>
    <x v="220"/>
    <x v="19"/>
    <x v="0"/>
    <n v="967"/>
    <d v="2026-03-10T00:00:00"/>
    <d v="2026-03-21T00:00:00"/>
    <d v="2026-03-21T00:00:00"/>
    <n v="835"/>
    <s v="RM-201"/>
    <n v="42"/>
    <x v="0"/>
    <s v="Y"/>
    <s v="N"/>
    <s v="N"/>
    <n v="11"/>
    <n v="0.86349534643226478"/>
    <n v="5.0299401197604787E-2"/>
    <n v="0"/>
  </r>
  <r>
    <x v="221"/>
    <x v="4"/>
    <x v="2"/>
    <n v="476"/>
    <d v="2026-02-19T00:00:00"/>
    <d v="2026-03-01T00:00:00"/>
    <d v="2026-03-02T00:00:00"/>
    <n v="402"/>
    <s v="IM-273"/>
    <n v="13"/>
    <x v="0"/>
    <s v="N"/>
    <s v="N"/>
    <s v="N"/>
    <n v="11"/>
    <n v="0.84453781512605042"/>
    <n v="3.2338308457711441E-2"/>
    <n v="0"/>
  </r>
  <r>
    <x v="222"/>
    <x v="9"/>
    <x v="2"/>
    <n v="255"/>
    <d v="2026-04-02T00:00:00"/>
    <d v="2026-04-08T00:00:00"/>
    <d v="2026-04-11T00:00:00"/>
    <n v="256"/>
    <s v="IM-245"/>
    <n v="16"/>
    <x v="0"/>
    <s v="N"/>
    <s v="Y"/>
    <s v="N"/>
    <n v="9"/>
    <n v="1.003921568627451"/>
    <n v="6.25E-2"/>
    <n v="0"/>
  </r>
  <r>
    <x v="223"/>
    <x v="15"/>
    <x v="0"/>
    <n v="490"/>
    <d v="2026-04-07T00:00:00"/>
    <d v="2026-04-17T00:00:00"/>
    <d v="2026-04-20T00:00:00"/>
    <n v="438"/>
    <s v="RM-108"/>
    <n v="8"/>
    <x v="0"/>
    <s v="N"/>
    <s v="N"/>
    <s v="N"/>
    <n v="13"/>
    <n v="0.89387755102040811"/>
    <n v="1.8264840182648401E-2"/>
    <n v="0"/>
  </r>
  <r>
    <x v="224"/>
    <x v="18"/>
    <x v="2"/>
    <n v="561"/>
    <d v="2026-05-10T00:00:00"/>
    <d v="2026-05-25T00:00:00"/>
    <d v="2026-05-23T00:00:00"/>
    <n v="568"/>
    <s v="IM-252"/>
    <n v="22"/>
    <x v="0"/>
    <s v="Y"/>
    <s v="Y"/>
    <s v="Y"/>
    <n v="13"/>
    <n v="1.0124777183600713"/>
    <n v="3.873239436619718E-2"/>
    <n v="1"/>
  </r>
  <r>
    <x v="225"/>
    <x v="4"/>
    <x v="0"/>
    <n v="220"/>
    <d v="2026-05-24T00:00:00"/>
    <d v="2026-06-07T00:00:00"/>
    <d v="2026-06-05T00:00:00"/>
    <n v="216"/>
    <s v="RM-206"/>
    <n v="6"/>
    <x v="0"/>
    <s v="Y"/>
    <s v="Y"/>
    <s v="Y"/>
    <n v="12"/>
    <n v="0.98181818181818181"/>
    <n v="2.7777777777777776E-2"/>
    <n v="1"/>
  </r>
  <r>
    <x v="226"/>
    <x v="0"/>
    <x v="1"/>
    <n v="744"/>
    <d v="2026-05-01T00:00:00"/>
    <d v="2026-05-15T00:00:00"/>
    <d v="2026-05-13T00:00:00"/>
    <n v="736"/>
    <s v="PK-297"/>
    <n v="15"/>
    <x v="0"/>
    <s v="Y"/>
    <s v="Y"/>
    <s v="Y"/>
    <n v="12"/>
    <n v="0.989247311827957"/>
    <n v="2.0380434782608696E-2"/>
    <n v="1"/>
  </r>
  <r>
    <x v="227"/>
    <x v="3"/>
    <x v="1"/>
    <n v="112"/>
    <d v="2026-02-03T00:00:00"/>
    <d v="2026-02-16T00:00:00"/>
    <d v="2026-02-22T00:00:00"/>
    <n v="111"/>
    <s v="PK-200"/>
    <n v="9"/>
    <x v="0"/>
    <s v="N"/>
    <s v="Y"/>
    <s v="N"/>
    <n v="19"/>
    <n v="0.9910714285714286"/>
    <n v="8.1081081081081086E-2"/>
    <n v="0"/>
  </r>
  <r>
    <x v="228"/>
    <x v="17"/>
    <x v="0"/>
    <n v="673"/>
    <d v="2026-05-07T00:00:00"/>
    <d v="2026-05-16T00:00:00"/>
    <d v="2026-05-16T00:00:00"/>
    <n v="665"/>
    <s v="RM-140"/>
    <n v="2"/>
    <x v="0"/>
    <s v="Y"/>
    <s v="Y"/>
    <s v="Y"/>
    <n v="9"/>
    <n v="0.98811292719167909"/>
    <n v="3.0075187969924814E-3"/>
    <n v="1"/>
  </r>
  <r>
    <x v="229"/>
    <x v="8"/>
    <x v="2"/>
    <n v="510"/>
    <d v="2026-02-02T00:00:00"/>
    <d v="2026-02-17T00:00:00"/>
    <d v="2026-02-18T00:00:00"/>
    <n v="507"/>
    <s v="IM-212"/>
    <n v="27"/>
    <x v="0"/>
    <s v="N"/>
    <s v="Y"/>
    <s v="N"/>
    <n v="16"/>
    <n v="0.99411764705882355"/>
    <n v="5.3254437869822487E-2"/>
    <n v="0"/>
  </r>
  <r>
    <x v="230"/>
    <x v="5"/>
    <x v="1"/>
    <n v="533"/>
    <d v="2026-02-01T00:00:00"/>
    <d v="2026-02-11T00:00:00"/>
    <d v="2026-02-18T00:00:00"/>
    <n v="430"/>
    <s v="PK-151"/>
    <n v="1"/>
    <x v="0"/>
    <s v="N"/>
    <s v="N"/>
    <s v="N"/>
    <n v="17"/>
    <n v="0.80675422138836772"/>
    <n v="2.3255813953488372E-3"/>
    <n v="0"/>
  </r>
  <r>
    <x v="231"/>
    <x v="6"/>
    <x v="0"/>
    <n v="926"/>
    <d v="2026-03-04T00:00:00"/>
    <d v="2026-03-19T00:00:00"/>
    <d v="2026-03-17T00:00:00"/>
    <n v="790"/>
    <s v="RM-124"/>
    <n v="32"/>
    <x v="0"/>
    <s v="Y"/>
    <s v="N"/>
    <s v="N"/>
    <n v="13"/>
    <n v="0.85313174946004322"/>
    <n v="4.0506329113924051E-2"/>
    <n v="0"/>
  </r>
  <r>
    <x v="232"/>
    <x v="16"/>
    <x v="0"/>
    <n v="831"/>
    <d v="2026-05-07T00:00:00"/>
    <d v="2026-05-12T00:00:00"/>
    <d v="2026-05-18T00:00:00"/>
    <n v="803"/>
    <s v="unknown_SKU"/>
    <n v="12"/>
    <x v="0"/>
    <s v="N"/>
    <s v="N"/>
    <s v="N"/>
    <n v="11"/>
    <n v="0.96630565583634176"/>
    <n v="1.4943960149439602E-2"/>
    <n v="0"/>
  </r>
  <r>
    <x v="233"/>
    <x v="12"/>
    <x v="0"/>
    <n v="559"/>
    <d v="2026-02-15T00:00:00"/>
    <d v="2026-02-24T00:00:00"/>
    <d v="2026-02-23T00:00:00"/>
    <n v="550"/>
    <s v="RM-249"/>
    <n v="7"/>
    <x v="0"/>
    <s v="Y"/>
    <s v="Y"/>
    <s v="Y"/>
    <n v="8"/>
    <n v="0.98389982110912344"/>
    <n v="1.2727272727272728E-2"/>
    <n v="1"/>
  </r>
  <r>
    <x v="234"/>
    <x v="2"/>
    <x v="1"/>
    <n v="901"/>
    <d v="2026-02-01T00:00:00"/>
    <d v="2026-02-13T00:00:00"/>
    <d v="2026-02-13T00:00:00"/>
    <n v="727"/>
    <s v="PK-248"/>
    <n v="28"/>
    <x v="0"/>
    <s v="Y"/>
    <s v="N"/>
    <s v="N"/>
    <n v="12"/>
    <n v="0.80688124306326303"/>
    <n v="3.8514442916093537E-2"/>
    <n v="0"/>
  </r>
  <r>
    <x v="235"/>
    <x v="5"/>
    <x v="0"/>
    <n v="325"/>
    <d v="2026-03-15T00:00:00"/>
    <d v="2026-03-25T00:00:00"/>
    <d v="2026-03-24T00:00:00"/>
    <n v="327"/>
    <s v="RM-289"/>
    <n v="4"/>
    <x v="0"/>
    <s v="Y"/>
    <s v="Y"/>
    <s v="Y"/>
    <n v="9"/>
    <n v="1.0061538461538462"/>
    <n v="1.2232415902140673E-2"/>
    <n v="1"/>
  </r>
  <r>
    <x v="236"/>
    <x v="3"/>
    <x v="1"/>
    <n v="960"/>
    <d v="2026-02-12T00:00:00"/>
    <d v="2026-02-17T00:00:00"/>
    <d v="2026-02-15T00:00:00"/>
    <n v="950"/>
    <s v="PK-270"/>
    <n v="33"/>
    <x v="0"/>
    <s v="Y"/>
    <s v="Y"/>
    <s v="Y"/>
    <n v="3"/>
    <n v="0.98958333333333337"/>
    <n v="3.4736842105263156E-2"/>
    <n v="1"/>
  </r>
  <r>
    <x v="237"/>
    <x v="2"/>
    <x v="0"/>
    <n v="288"/>
    <d v="2026-02-27T00:00:00"/>
    <d v="2026-03-05T00:00:00"/>
    <d v="2026-03-02T00:00:00"/>
    <n v="287"/>
    <s v="RM-190"/>
    <n v="7"/>
    <x v="0"/>
    <s v="Y"/>
    <s v="Y"/>
    <s v="Y"/>
    <n v="3"/>
    <n v="0.99652777777777779"/>
    <n v="2.4390243902439025E-2"/>
    <n v="1"/>
  </r>
  <r>
    <x v="238"/>
    <x v="16"/>
    <x v="1"/>
    <n v="272"/>
    <d v="2026-03-28T00:00:00"/>
    <d v="2026-04-06T00:00:00"/>
    <d v="2026-04-12T00:00:00"/>
    <n v="262"/>
    <s v="PK-276"/>
    <n v="3"/>
    <x v="0"/>
    <s v="N"/>
    <s v="N"/>
    <s v="N"/>
    <n v="15"/>
    <n v="0.96323529411764708"/>
    <n v="1.1450381679389313E-2"/>
    <n v="0"/>
  </r>
  <r>
    <x v="239"/>
    <x v="19"/>
    <x v="0"/>
    <n v="732"/>
    <d v="2026-05-18T00:00:00"/>
    <d v="2026-05-31T00:00:00"/>
    <d v="2026-05-31T00:00:00"/>
    <n v="732"/>
    <s v="RM-230"/>
    <n v="9"/>
    <x v="0"/>
    <s v="Y"/>
    <s v="Y"/>
    <s v="Y"/>
    <n v="13"/>
    <n v="1"/>
    <n v="1.2295081967213115E-2"/>
    <n v="1"/>
  </r>
  <r>
    <x v="240"/>
    <x v="10"/>
    <x v="2"/>
    <n v="795"/>
    <d v="2026-05-15T00:00:00"/>
    <d v="2026-05-26T00:00:00"/>
    <d v="2026-06-01T00:00:00"/>
    <n v="784"/>
    <s v="IM-267"/>
    <n v="72"/>
    <x v="0"/>
    <s v="N"/>
    <s v="Y"/>
    <s v="N"/>
    <n v="17"/>
    <n v="0.98616352201257862"/>
    <n v="9.1836734693877556E-2"/>
    <n v="0"/>
  </r>
  <r>
    <x v="241"/>
    <x v="11"/>
    <x v="1"/>
    <n v="438"/>
    <d v="2026-05-25T00:00:00"/>
    <d v="2026-05-31T00:00:00"/>
    <m/>
    <m/>
    <s v="PK-227"/>
    <m/>
    <x v="1"/>
    <s v="N/A"/>
    <s v="N/A"/>
    <s v="N/A"/>
    <s v="N/A"/>
    <s v="N/A"/>
    <s v="N/A"/>
    <s v=""/>
  </r>
  <r>
    <x v="242"/>
    <x v="14"/>
    <x v="1"/>
    <n v="867"/>
    <d v="2026-01-12T00:00:00"/>
    <d v="2026-01-27T00:00:00"/>
    <d v="2026-02-03T00:00:00"/>
    <n v="841"/>
    <s v="PK-121"/>
    <n v="30"/>
    <x v="0"/>
    <s v="N"/>
    <s v="N"/>
    <s v="N"/>
    <n v="22"/>
    <n v="0.97001153402537488"/>
    <n v="3.56718192627824E-2"/>
    <n v="0"/>
  </r>
  <r>
    <x v="243"/>
    <x v="1"/>
    <x v="0"/>
    <n v="357"/>
    <d v="2026-03-24T00:00:00"/>
    <d v="2026-04-02T00:00:00"/>
    <d v="2026-04-02T00:00:00"/>
    <n v="363"/>
    <s v="RM-159"/>
    <n v="1"/>
    <x v="0"/>
    <s v="Y"/>
    <s v="Y"/>
    <s v="Y"/>
    <n v="9"/>
    <n v="1.0168067226890756"/>
    <n v="2.7548209366391185E-3"/>
    <n v="1"/>
  </r>
  <r>
    <x v="244"/>
    <x v="15"/>
    <x v="2"/>
    <n v="728"/>
    <d v="2026-05-05T00:00:00"/>
    <d v="2026-05-17T00:00:00"/>
    <d v="2026-05-18T00:00:00"/>
    <n v="742"/>
    <s v="IM-195"/>
    <n v="4"/>
    <x v="0"/>
    <s v="N"/>
    <s v="Y"/>
    <s v="N"/>
    <n v="13"/>
    <n v="1.0192307692307692"/>
    <n v="5.3908355795148251E-3"/>
    <n v="0"/>
  </r>
  <r>
    <x v="245"/>
    <x v="6"/>
    <x v="0"/>
    <n v="742"/>
    <d v="2026-03-30T00:00:00"/>
    <d v="2026-04-12T00:00:00"/>
    <d v="2026-04-17T00:00:00"/>
    <n v="661"/>
    <s v="RM-230"/>
    <n v="22"/>
    <x v="0"/>
    <s v="N"/>
    <s v="N"/>
    <s v="N"/>
    <n v="18"/>
    <n v="0.89083557951482484"/>
    <n v="3.3282904689863842E-2"/>
    <n v="0"/>
  </r>
  <r>
    <x v="246"/>
    <x v="0"/>
    <x v="1"/>
    <n v="336"/>
    <d v="2026-05-30T00:00:00"/>
    <d v="2026-06-09T00:00:00"/>
    <d v="2026-06-08T00:00:00"/>
    <n v="333"/>
    <s v="PK-188"/>
    <n v="3"/>
    <x v="0"/>
    <s v="Y"/>
    <s v="Y"/>
    <s v="Y"/>
    <n v="9"/>
    <n v="0.9910714285714286"/>
    <n v="9.0090090090090089E-3"/>
    <n v="1"/>
  </r>
  <r>
    <x v="247"/>
    <x v="6"/>
    <x v="0"/>
    <n v="719"/>
    <d v="2026-04-17T00:00:00"/>
    <d v="2026-05-01T00:00:00"/>
    <d v="2026-05-09T00:00:00"/>
    <n v="730"/>
    <s v="RM-133"/>
    <n v="41"/>
    <x v="0"/>
    <s v="N"/>
    <s v="Y"/>
    <s v="N"/>
    <n v="22"/>
    <n v="1.015299026425591"/>
    <n v="5.6164383561643834E-2"/>
    <n v="0"/>
  </r>
  <r>
    <x v="248"/>
    <x v="14"/>
    <x v="1"/>
    <n v="315"/>
    <d v="2026-02-19T00:00:00"/>
    <d v="2026-03-03T00:00:00"/>
    <d v="2026-03-01T00:00:00"/>
    <n v="320"/>
    <s v="PK-262"/>
    <n v="18"/>
    <x v="0"/>
    <s v="Y"/>
    <s v="Y"/>
    <s v="Y"/>
    <n v="10"/>
    <n v="1.0158730158730158"/>
    <n v="5.6250000000000001E-2"/>
    <n v="1"/>
  </r>
  <r>
    <x v="249"/>
    <x v="2"/>
    <x v="1"/>
    <n v="801"/>
    <d v="2026-01-26T00:00:00"/>
    <d v="2026-01-31T00:00:00"/>
    <d v="2026-01-29T00:00:00"/>
    <n v="804"/>
    <s v="PK-106"/>
    <n v="27"/>
    <x v="0"/>
    <s v="Y"/>
    <s v="Y"/>
    <s v="Y"/>
    <n v="3"/>
    <n v="1.0037453183520599"/>
    <n v="3.3582089552238806E-2"/>
    <n v="1"/>
  </r>
  <r>
    <x v="250"/>
    <x v="9"/>
    <x v="0"/>
    <n v="517"/>
    <d v="2026-06-02T00:00:00"/>
    <d v="2026-06-08T00:00:00"/>
    <d v="2026-06-06T00:00:00"/>
    <n v="515"/>
    <s v="RM-154"/>
    <n v="31"/>
    <x v="0"/>
    <s v="Y"/>
    <s v="Y"/>
    <s v="Y"/>
    <n v="4"/>
    <n v="0.99613152804642169"/>
    <n v="6.0194174757281553E-2"/>
    <n v="1"/>
  </r>
  <r>
    <x v="251"/>
    <x v="4"/>
    <x v="0"/>
    <n v="87"/>
    <d v="2026-03-29T00:00:00"/>
    <d v="2026-04-08T00:00:00"/>
    <d v="2026-04-07T00:00:00"/>
    <n v="81"/>
    <s v="RM-293"/>
    <n v="2"/>
    <x v="0"/>
    <s v="Y"/>
    <s v="N"/>
    <s v="N"/>
    <n v="9"/>
    <n v="0.93103448275862066"/>
    <n v="2.4691358024691357E-2"/>
    <n v="0"/>
  </r>
  <r>
    <x v="252"/>
    <x v="11"/>
    <x v="2"/>
    <n v="800"/>
    <d v="2026-05-19T00:00:00"/>
    <d v="2026-05-30T00:00:00"/>
    <d v="2026-06-01T00:00:00"/>
    <n v="797"/>
    <s v="IM-272"/>
    <n v="1"/>
    <x v="0"/>
    <s v="N"/>
    <s v="Y"/>
    <s v="N"/>
    <n v="13"/>
    <n v="0.99624999999999997"/>
    <n v="1.2547051442910915E-3"/>
    <n v="0"/>
  </r>
  <r>
    <x v="253"/>
    <x v="8"/>
    <x v="2"/>
    <n v="390"/>
    <d v="2026-02-20T00:00:00"/>
    <d v="2026-03-05T00:00:00"/>
    <d v="2026-03-03T00:00:00"/>
    <n v="395"/>
    <s v="IM-130"/>
    <n v="0"/>
    <x v="0"/>
    <s v="Y"/>
    <s v="Y"/>
    <s v="Y"/>
    <n v="11"/>
    <n v="1.0128205128205128"/>
    <n v="0"/>
    <n v="1"/>
  </r>
  <r>
    <x v="254"/>
    <x v="8"/>
    <x v="2"/>
    <n v="520"/>
    <d v="2026-05-12T00:00:00"/>
    <d v="2026-05-19T00:00:00"/>
    <d v="2026-05-18T00:00:00"/>
    <n v="519"/>
    <s v="IM-258"/>
    <n v="31"/>
    <x v="0"/>
    <s v="Y"/>
    <s v="Y"/>
    <s v="Y"/>
    <n v="6"/>
    <n v="0.99807692307692308"/>
    <n v="5.9730250481695571E-2"/>
    <n v="1"/>
  </r>
  <r>
    <x v="255"/>
    <x v="16"/>
    <x v="2"/>
    <n v="98"/>
    <d v="2026-05-18T00:00:00"/>
    <d v="2026-05-30T00:00:00"/>
    <d v="2026-05-29T00:00:00"/>
    <n v="99"/>
    <s v="IM-208"/>
    <n v="1"/>
    <x v="0"/>
    <s v="Y"/>
    <s v="Y"/>
    <s v="Y"/>
    <n v="11"/>
    <n v="1.010204081632653"/>
    <n v="1.0101010101010102E-2"/>
    <n v="1"/>
  </r>
  <r>
    <x v="256"/>
    <x v="19"/>
    <x v="0"/>
    <n v="831"/>
    <d v="2026-05-10T00:00:00"/>
    <d v="2026-05-25T00:00:00"/>
    <d v="2026-05-25T00:00:00"/>
    <n v="837"/>
    <s v="RM-211"/>
    <n v="40"/>
    <x v="0"/>
    <s v="Y"/>
    <s v="Y"/>
    <s v="Y"/>
    <n v="15"/>
    <n v="1.0072202166064983"/>
    <n v="4.778972520908005E-2"/>
    <n v="1"/>
  </r>
  <r>
    <x v="257"/>
    <x v="6"/>
    <x v="1"/>
    <n v="638"/>
    <d v="2026-05-09T00:00:00"/>
    <d v="2026-05-23T00:00:00"/>
    <d v="2026-05-20T00:00:00"/>
    <n v="571"/>
    <s v="PK-174"/>
    <n v="5"/>
    <x v="0"/>
    <s v="Y"/>
    <s v="N"/>
    <s v="N"/>
    <n v="11"/>
    <n v="0.89498432601880873"/>
    <n v="8.7565674255691769E-3"/>
    <n v="0"/>
  </r>
  <r>
    <x v="258"/>
    <x v="13"/>
    <x v="2"/>
    <n v="331"/>
    <d v="2026-03-13T00:00:00"/>
    <d v="2026-03-20T00:00:00"/>
    <d v="2026-03-20T00:00:00"/>
    <n v="331"/>
    <s v="IM-115"/>
    <n v="6"/>
    <x v="0"/>
    <s v="Y"/>
    <s v="Y"/>
    <s v="Y"/>
    <n v="7"/>
    <n v="1"/>
    <n v="1.812688821752266E-2"/>
    <n v="1"/>
  </r>
  <r>
    <x v="259"/>
    <x v="4"/>
    <x v="2"/>
    <n v="566"/>
    <d v="2026-03-25T00:00:00"/>
    <d v="2026-04-06T00:00:00"/>
    <d v="2026-04-04T00:00:00"/>
    <n v="555"/>
    <s v="IM-291"/>
    <n v="2"/>
    <x v="0"/>
    <s v="Y"/>
    <s v="Y"/>
    <s v="Y"/>
    <n v="10"/>
    <n v="0.98056537102473496"/>
    <n v="3.6036036036036037E-3"/>
    <n v="1"/>
  </r>
  <r>
    <x v="260"/>
    <x v="7"/>
    <x v="0"/>
    <n v="502"/>
    <d v="2026-01-28T00:00:00"/>
    <d v="2026-02-05T00:00:00"/>
    <d v="2026-02-02T00:00:00"/>
    <n v="404"/>
    <s v="RM-289"/>
    <n v="18"/>
    <x v="0"/>
    <s v="Y"/>
    <s v="N"/>
    <s v="N"/>
    <n v="5"/>
    <n v="0.80478087649402386"/>
    <n v="4.4554455445544552E-2"/>
    <n v="0"/>
  </r>
  <r>
    <x v="261"/>
    <x v="4"/>
    <x v="0"/>
    <n v="810"/>
    <d v="2026-03-03T00:00:00"/>
    <d v="2026-03-15T00:00:00"/>
    <d v="2026-03-23T00:00:00"/>
    <n v="681"/>
    <s v="RM-251"/>
    <n v="21"/>
    <x v="0"/>
    <s v="N"/>
    <s v="N"/>
    <s v="N"/>
    <n v="20"/>
    <n v="0.84074074074074079"/>
    <n v="3.0837004405286344E-2"/>
    <n v="0"/>
  </r>
  <r>
    <x v="262"/>
    <x v="0"/>
    <x v="1"/>
    <n v="896"/>
    <d v="2026-05-23T00:00:00"/>
    <d v="2026-06-04T00:00:00"/>
    <d v="2026-06-02T00:00:00"/>
    <n v="912"/>
    <s v="PK-214"/>
    <n v="10"/>
    <x v="0"/>
    <s v="Y"/>
    <s v="Y"/>
    <s v="Y"/>
    <n v="10"/>
    <n v="1.0178571428571428"/>
    <n v="1.0964912280701754E-2"/>
    <n v="1"/>
  </r>
  <r>
    <x v="263"/>
    <x v="13"/>
    <x v="1"/>
    <n v="363"/>
    <d v="2026-05-02T00:00:00"/>
    <d v="2026-05-10T00:00:00"/>
    <d v="2026-05-15T00:00:00"/>
    <n v="323"/>
    <s v="PK-163"/>
    <n v="21"/>
    <x v="0"/>
    <s v="N"/>
    <s v="N"/>
    <s v="N"/>
    <n v="13"/>
    <n v="0.88980716253443526"/>
    <n v="6.5015479876160992E-2"/>
    <n v="0"/>
  </r>
  <r>
    <x v="264"/>
    <x v="14"/>
    <x v="0"/>
    <n v="258"/>
    <d v="2026-03-18T00:00:00"/>
    <d v="2026-03-25T00:00:00"/>
    <d v="2026-03-26T00:00:00"/>
    <n v="263"/>
    <s v="RM-187"/>
    <n v="7"/>
    <x v="0"/>
    <s v="N"/>
    <s v="Y"/>
    <s v="N"/>
    <n v="8"/>
    <n v="1.0193798449612403"/>
    <n v="2.6615969581749048E-2"/>
    <n v="0"/>
  </r>
  <r>
    <x v="265"/>
    <x v="18"/>
    <x v="2"/>
    <n v="990"/>
    <d v="2026-04-16T00:00:00"/>
    <d v="2026-04-29T00:00:00"/>
    <d v="2026-04-28T00:00:00"/>
    <n v="979"/>
    <s v="IM-224"/>
    <n v="17"/>
    <x v="0"/>
    <s v="Y"/>
    <s v="Y"/>
    <s v="Y"/>
    <n v="12"/>
    <n v="0.98888888888888893"/>
    <n v="1.7364657814096015E-2"/>
    <n v="1"/>
  </r>
  <r>
    <x v="266"/>
    <x v="10"/>
    <x v="1"/>
    <n v="629"/>
    <d v="2026-02-01T00:00:00"/>
    <d v="2026-02-07T00:00:00"/>
    <d v="2026-02-06T00:00:00"/>
    <n v="625"/>
    <s v="PK-283"/>
    <n v="55"/>
    <x v="0"/>
    <s v="Y"/>
    <s v="Y"/>
    <s v="Y"/>
    <n v="5"/>
    <n v="0.99364069952305245"/>
    <n v="8.7999999999999995E-2"/>
    <n v="1"/>
  </r>
  <r>
    <x v="267"/>
    <x v="15"/>
    <x v="1"/>
    <n v="157"/>
    <d v="2026-05-29T00:00:00"/>
    <d v="2026-06-07T00:00:00"/>
    <d v="2026-06-08T00:00:00"/>
    <n v="158"/>
    <s v="PK-182"/>
    <n v="1"/>
    <x v="0"/>
    <s v="N"/>
    <s v="Y"/>
    <s v="N"/>
    <n v="10"/>
    <n v="1.0063694267515924"/>
    <n v="6.3291139240506328E-3"/>
    <n v="0"/>
  </r>
  <r>
    <x v="268"/>
    <x v="14"/>
    <x v="0"/>
    <n v="596"/>
    <d v="2026-03-22T00:00:00"/>
    <d v="2026-03-27T00:00:00"/>
    <d v="2026-03-26T00:00:00"/>
    <n v="601"/>
    <s v="RM-183"/>
    <n v="27"/>
    <x v="0"/>
    <s v="Y"/>
    <s v="Y"/>
    <s v="Y"/>
    <n v="4"/>
    <n v="1.0083892617449663"/>
    <n v="4.4925124792013313E-2"/>
    <n v="1"/>
  </r>
  <r>
    <x v="269"/>
    <x v="19"/>
    <x v="0"/>
    <n v="665"/>
    <d v="2026-05-19T00:00:00"/>
    <d v="2026-05-29T00:00:00"/>
    <d v="2026-05-28T00:00:00"/>
    <n v="664"/>
    <s v="RM-199"/>
    <n v="36"/>
    <x v="0"/>
    <s v="Y"/>
    <s v="Y"/>
    <s v="Y"/>
    <n v="9"/>
    <n v="0.99849624060150377"/>
    <n v="5.4216867469879519E-2"/>
    <n v="1"/>
  </r>
  <r>
    <x v="270"/>
    <x v="4"/>
    <x v="2"/>
    <n v="569"/>
    <d v="2026-05-11T00:00:00"/>
    <d v="2026-05-26T00:00:00"/>
    <d v="2026-05-23T00:00:00"/>
    <n v="561"/>
    <s v="IM-293"/>
    <n v="13"/>
    <x v="0"/>
    <s v="Y"/>
    <s v="Y"/>
    <s v="Y"/>
    <n v="12"/>
    <n v="0.98594024604569419"/>
    <n v="2.3172905525846704E-2"/>
    <n v="1"/>
  </r>
  <r>
    <x v="271"/>
    <x v="12"/>
    <x v="0"/>
    <n v="454"/>
    <d v="2026-03-21T00:00:00"/>
    <d v="2026-04-02T00:00:00"/>
    <d v="2026-03-30T00:00:00"/>
    <n v="448"/>
    <s v="RM-283"/>
    <n v="0"/>
    <x v="0"/>
    <s v="Y"/>
    <s v="Y"/>
    <s v="Y"/>
    <n v="9"/>
    <n v="0.986784140969163"/>
    <n v="0"/>
    <n v="1"/>
  </r>
  <r>
    <x v="272"/>
    <x v="19"/>
    <x v="0"/>
    <n v="125"/>
    <d v="2026-05-01T00:00:00"/>
    <d v="2026-05-10T00:00:00"/>
    <d v="2026-05-10T00:00:00"/>
    <n v="116"/>
    <s v="RM-150"/>
    <n v="4"/>
    <x v="0"/>
    <s v="Y"/>
    <s v="N"/>
    <s v="N"/>
    <n v="9"/>
    <n v="0.92800000000000005"/>
    <n v="3.4482758620689655E-2"/>
    <n v="0"/>
  </r>
  <r>
    <x v="273"/>
    <x v="18"/>
    <x v="0"/>
    <n v="789"/>
    <d v="2026-04-08T00:00:00"/>
    <d v="2026-04-18T00:00:00"/>
    <d v="2026-04-15T00:00:00"/>
    <n v="775"/>
    <s v="RM-212"/>
    <n v="42"/>
    <x v="0"/>
    <s v="Y"/>
    <s v="Y"/>
    <s v="Y"/>
    <n v="7"/>
    <n v="0.98225602027883396"/>
    <n v="5.4193548387096772E-2"/>
    <n v="1"/>
  </r>
  <r>
    <x v="274"/>
    <x v="2"/>
    <x v="0"/>
    <n v="991"/>
    <d v="2026-02-05T00:00:00"/>
    <d v="2026-02-19T00:00:00"/>
    <d v="2026-02-16T00:00:00"/>
    <n v="1005"/>
    <s v="RM-193"/>
    <n v="22"/>
    <x v="0"/>
    <s v="Y"/>
    <s v="Y"/>
    <s v="Y"/>
    <n v="11"/>
    <n v="1.0141271442986881"/>
    <n v="2.1890547263681594E-2"/>
    <n v="1"/>
  </r>
  <r>
    <x v="275"/>
    <x v="8"/>
    <x v="2"/>
    <n v="834"/>
    <d v="2026-01-10T00:00:00"/>
    <d v="2026-01-21T00:00:00"/>
    <m/>
    <m/>
    <s v="IM-261"/>
    <m/>
    <x v="1"/>
    <s v="N/A"/>
    <s v="N/A"/>
    <s v="N/A"/>
    <s v="N/A"/>
    <s v="N/A"/>
    <s v="N/A"/>
    <s v=""/>
  </r>
  <r>
    <x v="276"/>
    <x v="12"/>
    <x v="0"/>
    <n v="597"/>
    <d v="2026-06-02T00:00:00"/>
    <d v="2026-06-13T00:00:00"/>
    <d v="2026-06-10T00:00:00"/>
    <n v="609"/>
    <s v="RM-228"/>
    <n v="9"/>
    <x v="0"/>
    <s v="Y"/>
    <s v="Y"/>
    <s v="Y"/>
    <n v="8"/>
    <n v="1.0201005025125629"/>
    <n v="1.4778325123152709E-2"/>
    <n v="1"/>
  </r>
  <r>
    <x v="277"/>
    <x v="13"/>
    <x v="2"/>
    <n v="741"/>
    <d v="2026-06-02T00:00:00"/>
    <d v="2026-06-07T00:00:00"/>
    <d v="2026-06-10T00:00:00"/>
    <n v="742"/>
    <s v="IM-218"/>
    <n v="14"/>
    <x v="0"/>
    <s v="N"/>
    <s v="Y"/>
    <s v="N"/>
    <n v="8"/>
    <n v="1.001349527665317"/>
    <n v="1.8867924528301886E-2"/>
    <n v="0"/>
  </r>
  <r>
    <x v="278"/>
    <x v="1"/>
    <x v="0"/>
    <n v="567"/>
    <d v="2026-04-29T00:00:00"/>
    <d v="2026-05-07T00:00:00"/>
    <d v="2026-05-04T00:00:00"/>
    <n v="556"/>
    <s v="RM-172"/>
    <n v="9"/>
    <x v="0"/>
    <s v="Y"/>
    <s v="Y"/>
    <s v="Y"/>
    <n v="5"/>
    <n v="0.98059964726631388"/>
    <n v="1.618705035971223E-2"/>
    <n v="1"/>
  </r>
  <r>
    <x v="279"/>
    <x v="10"/>
    <x v="2"/>
    <n v="973"/>
    <d v="2026-01-17T00:00:00"/>
    <d v="2026-01-29T00:00:00"/>
    <d v="2026-01-27T00:00:00"/>
    <n v="970"/>
    <s v="IM-143"/>
    <n v="5"/>
    <x v="0"/>
    <s v="Y"/>
    <s v="Y"/>
    <s v="Y"/>
    <n v="10"/>
    <n v="0.99691675231243582"/>
    <n v="5.1546391752577319E-3"/>
    <n v="1"/>
  </r>
  <r>
    <x v="280"/>
    <x v="13"/>
    <x v="0"/>
    <n v="884"/>
    <d v="2026-05-17T00:00:00"/>
    <d v="2026-05-29T00:00:00"/>
    <d v="2026-05-27T00:00:00"/>
    <n v="880"/>
    <s v="RM-167"/>
    <n v="5"/>
    <x v="0"/>
    <s v="Y"/>
    <s v="Y"/>
    <s v="Y"/>
    <n v="10"/>
    <n v="0.99547511312217196"/>
    <n v="5.681818181818182E-3"/>
    <n v="1"/>
  </r>
  <r>
    <x v="281"/>
    <x v="16"/>
    <x v="1"/>
    <n v="762"/>
    <d v="2026-02-02T00:00:00"/>
    <d v="2026-02-09T00:00:00"/>
    <d v="2026-02-06T00:00:00"/>
    <n v="639"/>
    <s v="PK-160"/>
    <n v="7"/>
    <x v="0"/>
    <s v="Y"/>
    <s v="N"/>
    <s v="N"/>
    <n v="4"/>
    <n v="0.83858267716535428"/>
    <n v="1.0954616588419406E-2"/>
    <n v="0"/>
  </r>
  <r>
    <x v="282"/>
    <x v="12"/>
    <x v="1"/>
    <n v="122"/>
    <d v="2026-02-25T00:00:00"/>
    <d v="2026-03-12T00:00:00"/>
    <d v="2026-03-10T00:00:00"/>
    <n v="121"/>
    <s v="unknown_SKU"/>
    <n v="1"/>
    <x v="0"/>
    <s v="Y"/>
    <s v="Y"/>
    <s v="Y"/>
    <n v="13"/>
    <n v="0.99180327868852458"/>
    <n v="8.2644628099173556E-3"/>
    <n v="1"/>
  </r>
  <r>
    <x v="283"/>
    <x v="4"/>
    <x v="1"/>
    <n v="735"/>
    <d v="2026-04-02T00:00:00"/>
    <d v="2026-04-07T00:00:00"/>
    <d v="2026-04-06T00:00:00"/>
    <n v="743"/>
    <s v="PK-262"/>
    <n v="13"/>
    <x v="0"/>
    <s v="Y"/>
    <s v="Y"/>
    <s v="Y"/>
    <n v="4"/>
    <n v="1.0108843537414967"/>
    <n v="1.7496635262449527E-2"/>
    <n v="1"/>
  </r>
  <r>
    <x v="284"/>
    <x v="8"/>
    <x v="2"/>
    <n v="902"/>
    <d v="2026-03-07T00:00:00"/>
    <d v="2026-03-19T00:00:00"/>
    <d v="2026-03-18T00:00:00"/>
    <n v="899"/>
    <s v="IM-289"/>
    <n v="86"/>
    <x v="0"/>
    <s v="Y"/>
    <s v="Y"/>
    <s v="Y"/>
    <n v="11"/>
    <n v="0.99667405764966743"/>
    <n v="9.5661846496106789E-2"/>
    <n v="1"/>
  </r>
  <r>
    <x v="285"/>
    <x v="9"/>
    <x v="1"/>
    <n v="410"/>
    <d v="2026-02-19T00:00:00"/>
    <d v="2026-03-02T00:00:00"/>
    <d v="2026-03-02T00:00:00"/>
    <n v="417"/>
    <s v="unknown_SKU"/>
    <n v="6"/>
    <x v="0"/>
    <s v="Y"/>
    <s v="Y"/>
    <s v="Y"/>
    <n v="11"/>
    <n v="1.0170731707317073"/>
    <n v="1.4388489208633094E-2"/>
    <n v="1"/>
  </r>
  <r>
    <x v="286"/>
    <x v="3"/>
    <x v="1"/>
    <n v="350"/>
    <d v="2026-02-10T00:00:00"/>
    <d v="2026-02-24T00:00:00"/>
    <d v="2026-02-23T00:00:00"/>
    <n v="284"/>
    <s v="PK-277"/>
    <n v="25"/>
    <x v="0"/>
    <s v="Y"/>
    <s v="N"/>
    <s v="N"/>
    <n v="13"/>
    <n v="0.81142857142857139"/>
    <n v="8.8028169014084501E-2"/>
    <n v="0"/>
  </r>
  <r>
    <x v="287"/>
    <x v="1"/>
    <x v="0"/>
    <n v="598"/>
    <d v="2026-02-06T00:00:00"/>
    <d v="2026-02-17T00:00:00"/>
    <d v="2026-02-22T00:00:00"/>
    <n v="609"/>
    <s v="RM-234"/>
    <n v="12"/>
    <x v="0"/>
    <s v="N"/>
    <s v="Y"/>
    <s v="N"/>
    <n v="16"/>
    <n v="1.0183946488294315"/>
    <n v="1.9704433497536946E-2"/>
    <n v="0"/>
  </r>
  <r>
    <x v="288"/>
    <x v="1"/>
    <x v="0"/>
    <n v="471"/>
    <d v="2026-04-12T00:00:00"/>
    <d v="2026-04-22T00:00:00"/>
    <d v="2026-05-01T00:00:00"/>
    <n v="471"/>
    <s v="RM-173"/>
    <n v="6"/>
    <x v="0"/>
    <s v="N"/>
    <s v="Y"/>
    <s v="N"/>
    <n v="19"/>
    <n v="1"/>
    <n v="1.2738853503184714E-2"/>
    <n v="0"/>
  </r>
  <r>
    <x v="289"/>
    <x v="14"/>
    <x v="0"/>
    <n v="92"/>
    <d v="2026-05-08T00:00:00"/>
    <d v="2026-05-19T00:00:00"/>
    <d v="2026-05-16T00:00:00"/>
    <n v="93"/>
    <s v="RM-204"/>
    <n v="2"/>
    <x v="0"/>
    <s v="Y"/>
    <s v="Y"/>
    <s v="Y"/>
    <n v="8"/>
    <n v="1.0108695652173914"/>
    <n v="2.1505376344086023E-2"/>
    <n v="1"/>
  </r>
  <r>
    <x v="290"/>
    <x v="11"/>
    <x v="0"/>
    <n v="674"/>
    <d v="2026-05-25T00:00:00"/>
    <d v="2026-06-05T00:00:00"/>
    <d v="2026-06-04T00:00:00"/>
    <n v="684"/>
    <s v="RM-134"/>
    <n v="0"/>
    <x v="0"/>
    <s v="Y"/>
    <s v="Y"/>
    <s v="Y"/>
    <n v="10"/>
    <n v="1.0148367952522255"/>
    <n v="0"/>
    <n v="1"/>
  </r>
  <r>
    <x v="291"/>
    <x v="5"/>
    <x v="0"/>
    <n v="634"/>
    <d v="2026-04-14T00:00:00"/>
    <d v="2026-04-26T00:00:00"/>
    <d v="2026-05-05T00:00:00"/>
    <n v="511"/>
    <s v="RM-223"/>
    <n v="1"/>
    <x v="0"/>
    <s v="N"/>
    <s v="N"/>
    <s v="N"/>
    <n v="21"/>
    <n v="0.805993690851735"/>
    <n v="1.9569471624266144E-3"/>
    <n v="0"/>
  </r>
  <r>
    <x v="292"/>
    <x v="4"/>
    <x v="1"/>
    <n v="448"/>
    <d v="2026-04-25T00:00:00"/>
    <d v="2026-05-07T00:00:00"/>
    <d v="2026-05-05T00:00:00"/>
    <n v="386"/>
    <s v="PK-133"/>
    <n v="8"/>
    <x v="0"/>
    <s v="Y"/>
    <s v="N"/>
    <s v="N"/>
    <n v="10"/>
    <n v="0.8616071428571429"/>
    <n v="2.072538860103627E-2"/>
    <n v="0"/>
  </r>
  <r>
    <x v="293"/>
    <x v="17"/>
    <x v="1"/>
    <n v="908"/>
    <d v="2026-04-06T00:00:00"/>
    <d v="2026-04-15T00:00:00"/>
    <d v="2026-04-15T00:00:00"/>
    <n v="902"/>
    <s v="PK-236"/>
    <n v="20"/>
    <x v="0"/>
    <s v="Y"/>
    <s v="Y"/>
    <s v="Y"/>
    <n v="9"/>
    <n v="0.99339207048458145"/>
    <n v="2.2172949002217297E-2"/>
    <n v="1"/>
  </r>
  <r>
    <x v="294"/>
    <x v="4"/>
    <x v="2"/>
    <n v="555"/>
    <d v="2026-05-23T00:00:00"/>
    <d v="2026-06-03T00:00:00"/>
    <d v="2026-06-11T00:00:00"/>
    <n v="527"/>
    <s v="IM-248"/>
    <n v="17"/>
    <x v="0"/>
    <s v="N"/>
    <s v="N"/>
    <s v="N"/>
    <n v="19"/>
    <n v="0.94954954954954951"/>
    <n v="3.2258064516129031E-2"/>
    <n v="0"/>
  </r>
  <r>
    <x v="295"/>
    <x v="9"/>
    <x v="0"/>
    <n v="669"/>
    <d v="2026-05-14T00:00:00"/>
    <d v="2026-05-27T00:00:00"/>
    <d v="2026-05-24T00:00:00"/>
    <n v="670"/>
    <s v="RM-130"/>
    <n v="19"/>
    <x v="0"/>
    <s v="Y"/>
    <s v="Y"/>
    <s v="Y"/>
    <n v="10"/>
    <n v="1.0014947683109119"/>
    <n v="2.8358208955223882E-2"/>
    <n v="1"/>
  </r>
  <r>
    <x v="296"/>
    <x v="7"/>
    <x v="1"/>
    <n v="382"/>
    <d v="2026-04-02T00:00:00"/>
    <d v="2026-04-09T00:00:00"/>
    <d v="2026-04-16T00:00:00"/>
    <n v="383"/>
    <s v="PK-144"/>
    <n v="7"/>
    <x v="0"/>
    <s v="N"/>
    <s v="Y"/>
    <s v="N"/>
    <n v="14"/>
    <n v="1.0026178010471205"/>
    <n v="1.8276762402088774E-2"/>
    <n v="0"/>
  </r>
  <r>
    <x v="297"/>
    <x v="11"/>
    <x v="2"/>
    <n v="622"/>
    <d v="2026-02-15T00:00:00"/>
    <d v="2026-02-21T00:00:00"/>
    <d v="2026-02-23T00:00:00"/>
    <n v="617"/>
    <s v="IM-256"/>
    <n v="3"/>
    <x v="0"/>
    <s v="N"/>
    <s v="Y"/>
    <s v="N"/>
    <n v="8"/>
    <n v="0.99196141479099675"/>
    <n v="4.8622366288492711E-3"/>
    <n v="0"/>
  </r>
  <r>
    <x v="298"/>
    <x v="13"/>
    <x v="2"/>
    <n v="178"/>
    <d v="2026-05-01T00:00:00"/>
    <d v="2026-05-11T00:00:00"/>
    <d v="2026-05-08T00:00:00"/>
    <n v="177"/>
    <s v="IM-145"/>
    <n v="14"/>
    <x v="0"/>
    <s v="Y"/>
    <s v="Y"/>
    <s v="Y"/>
    <n v="7"/>
    <n v="0.9943820224719101"/>
    <n v="7.909604519774012E-2"/>
    <n v="1"/>
  </r>
  <r>
    <x v="299"/>
    <x v="6"/>
    <x v="2"/>
    <n v="196"/>
    <d v="2026-04-15T00:00:00"/>
    <d v="2026-04-30T00:00:00"/>
    <d v="2026-04-27T00:00:00"/>
    <n v="194"/>
    <s v="IM-124"/>
    <n v="8"/>
    <x v="0"/>
    <s v="Y"/>
    <s v="Y"/>
    <s v="Y"/>
    <n v="12"/>
    <n v="0.98979591836734693"/>
    <n v="4.1237113402061855E-2"/>
    <n v="1"/>
  </r>
  <r>
    <x v="300"/>
    <x v="4"/>
    <x v="2"/>
    <n v="438"/>
    <d v="2026-03-28T00:00:00"/>
    <d v="2026-04-09T00:00:00"/>
    <d v="2026-04-07T00:00:00"/>
    <n v="434"/>
    <s v="IM-213"/>
    <n v="7"/>
    <x v="0"/>
    <s v="Y"/>
    <s v="Y"/>
    <s v="Y"/>
    <n v="10"/>
    <n v="0.9908675799086758"/>
    <n v="1.6129032258064516E-2"/>
    <n v="1"/>
  </r>
  <r>
    <x v="301"/>
    <x v="2"/>
    <x v="2"/>
    <n v="232"/>
    <d v="2026-03-06T00:00:00"/>
    <d v="2026-03-17T00:00:00"/>
    <d v="2026-03-14T00:00:00"/>
    <n v="229"/>
    <s v="IM-264"/>
    <n v="6"/>
    <x v="0"/>
    <s v="Y"/>
    <s v="Y"/>
    <s v="Y"/>
    <n v="8"/>
    <n v="0.98706896551724133"/>
    <n v="2.6200873362445413E-2"/>
    <n v="1"/>
  </r>
  <r>
    <x v="302"/>
    <x v="18"/>
    <x v="0"/>
    <n v="699"/>
    <d v="2026-01-12T00:00:00"/>
    <d v="2026-01-27T00:00:00"/>
    <d v="2026-01-27T00:00:00"/>
    <n v="700"/>
    <s v="RM-192"/>
    <n v="18"/>
    <x v="0"/>
    <s v="Y"/>
    <s v="Y"/>
    <s v="Y"/>
    <n v="15"/>
    <n v="1.0014306151645207"/>
    <n v="2.5714285714285714E-2"/>
    <n v="1"/>
  </r>
  <r>
    <x v="303"/>
    <x v="18"/>
    <x v="0"/>
    <n v="959"/>
    <d v="2026-04-27T00:00:00"/>
    <d v="2026-05-05T00:00:00"/>
    <d v="2026-05-02T00:00:00"/>
    <n v="955"/>
    <s v="RM-116"/>
    <n v="1"/>
    <x v="0"/>
    <s v="Y"/>
    <s v="Y"/>
    <s v="Y"/>
    <n v="5"/>
    <n v="0.99582898852971846"/>
    <n v="1.0471204188481676E-3"/>
    <n v="1"/>
  </r>
  <r>
    <x v="304"/>
    <x v="7"/>
    <x v="2"/>
    <n v="459"/>
    <d v="2026-04-24T00:00:00"/>
    <d v="2026-05-09T00:00:00"/>
    <d v="2026-05-07T00:00:00"/>
    <n v="466"/>
    <s v="IM-178"/>
    <n v="17"/>
    <x v="0"/>
    <s v="Y"/>
    <s v="Y"/>
    <s v="Y"/>
    <n v="13"/>
    <n v="1.0152505446623095"/>
    <n v="3.6480686695278972E-2"/>
    <n v="1"/>
  </r>
  <r>
    <x v="305"/>
    <x v="10"/>
    <x v="1"/>
    <n v="438"/>
    <d v="2026-01-25T00:00:00"/>
    <d v="2026-02-09T00:00:00"/>
    <d v="2026-02-06T00:00:00"/>
    <n v="432"/>
    <s v="PK-226"/>
    <n v="19"/>
    <x v="0"/>
    <s v="Y"/>
    <s v="Y"/>
    <s v="Y"/>
    <n v="12"/>
    <n v="0.98630136986301364"/>
    <n v="4.3981481481481483E-2"/>
    <n v="1"/>
  </r>
  <r>
    <x v="306"/>
    <x v="1"/>
    <x v="2"/>
    <n v="770"/>
    <d v="2026-03-13T00:00:00"/>
    <d v="2026-03-26T00:00:00"/>
    <d v="2026-03-29T00:00:00"/>
    <n v="763"/>
    <s v="IM-273"/>
    <n v="1"/>
    <x v="0"/>
    <s v="N"/>
    <s v="Y"/>
    <s v="N"/>
    <n v="16"/>
    <n v="0.99090909090909096"/>
    <n v="1.3106159895150721E-3"/>
    <n v="0"/>
  </r>
  <r>
    <x v="307"/>
    <x v="17"/>
    <x v="1"/>
    <n v="344"/>
    <d v="2026-06-02T00:00:00"/>
    <d v="2026-06-12T00:00:00"/>
    <d v="2026-06-11T00:00:00"/>
    <n v="346"/>
    <s v="PK-118"/>
    <n v="6"/>
    <x v="0"/>
    <s v="Y"/>
    <s v="Y"/>
    <s v="Y"/>
    <n v="9"/>
    <n v="1.0058139534883721"/>
    <n v="1.7341040462427744E-2"/>
    <n v="1"/>
  </r>
  <r>
    <x v="308"/>
    <x v="1"/>
    <x v="0"/>
    <n v="357"/>
    <d v="2026-03-31T00:00:00"/>
    <d v="2026-04-10T00:00:00"/>
    <m/>
    <m/>
    <s v="RM-199"/>
    <m/>
    <x v="1"/>
    <s v="N/A"/>
    <s v="N/A"/>
    <s v="N/A"/>
    <s v="N/A"/>
    <s v="N/A"/>
    <s v="N/A"/>
    <s v=""/>
  </r>
  <r>
    <x v="309"/>
    <x v="17"/>
    <x v="0"/>
    <n v="997"/>
    <d v="2026-02-26T00:00:00"/>
    <d v="2026-03-04T00:00:00"/>
    <d v="2026-03-03T00:00:00"/>
    <n v="995"/>
    <s v="RM-165"/>
    <n v="26"/>
    <x v="0"/>
    <s v="Y"/>
    <s v="Y"/>
    <s v="Y"/>
    <n v="5"/>
    <n v="0.99799398194583755"/>
    <n v="2.6130653266331658E-2"/>
    <n v="1"/>
  </r>
  <r>
    <x v="310"/>
    <x v="3"/>
    <x v="0"/>
    <n v="288"/>
    <d v="2026-04-13T00:00:00"/>
    <d v="2026-04-24T00:00:00"/>
    <d v="2026-04-24T00:00:00"/>
    <n v="291"/>
    <s v="RM-187"/>
    <n v="13"/>
    <x v="0"/>
    <s v="Y"/>
    <s v="Y"/>
    <s v="Y"/>
    <n v="11"/>
    <n v="1.0104166666666667"/>
    <n v="4.4673539518900345E-2"/>
    <n v="1"/>
  </r>
  <r>
    <x v="311"/>
    <x v="6"/>
    <x v="0"/>
    <n v="204"/>
    <d v="2026-05-16T00:00:00"/>
    <d v="2026-05-24T00:00:00"/>
    <d v="2026-05-23T00:00:00"/>
    <n v="206"/>
    <s v="RM-100"/>
    <n v="4"/>
    <x v="0"/>
    <s v="Y"/>
    <s v="Y"/>
    <s v="Y"/>
    <n v="7"/>
    <n v="1.0098039215686274"/>
    <n v="1.9417475728155338E-2"/>
    <n v="1"/>
  </r>
  <r>
    <x v="312"/>
    <x v="0"/>
    <x v="0"/>
    <n v="262"/>
    <d v="2026-03-20T00:00:00"/>
    <d v="2026-03-25T00:00:00"/>
    <d v="2026-03-25T00:00:00"/>
    <n v="258"/>
    <s v="RM-282"/>
    <n v="0"/>
    <x v="0"/>
    <s v="Y"/>
    <s v="Y"/>
    <s v="Y"/>
    <n v="5"/>
    <n v="0.98473282442748089"/>
    <n v="0"/>
    <n v="1"/>
  </r>
  <r>
    <x v="313"/>
    <x v="1"/>
    <x v="0"/>
    <n v="321"/>
    <d v="2026-04-11T00:00:00"/>
    <d v="2026-04-25T00:00:00"/>
    <d v="2026-05-03T00:00:00"/>
    <n v="323"/>
    <s v="RM-128"/>
    <n v="5"/>
    <x v="0"/>
    <s v="N"/>
    <s v="Y"/>
    <s v="N"/>
    <n v="22"/>
    <n v="1.0062305295950156"/>
    <n v="1.5479876160990712E-2"/>
    <n v="0"/>
  </r>
  <r>
    <x v="314"/>
    <x v="2"/>
    <x v="2"/>
    <n v="160"/>
    <d v="2026-02-13T00:00:00"/>
    <d v="2026-02-19T00:00:00"/>
    <d v="2026-02-19T00:00:00"/>
    <n v="160"/>
    <s v="IM-193"/>
    <n v="5"/>
    <x v="0"/>
    <s v="Y"/>
    <s v="Y"/>
    <s v="Y"/>
    <n v="6"/>
    <n v="1"/>
    <n v="3.125E-2"/>
    <n v="1"/>
  </r>
  <r>
    <x v="315"/>
    <x v="8"/>
    <x v="1"/>
    <n v="551"/>
    <d v="2026-05-14T00:00:00"/>
    <d v="2026-05-19T00:00:00"/>
    <d v="2026-05-27T00:00:00"/>
    <n v="551"/>
    <s v="PK-167"/>
    <n v="46"/>
    <x v="0"/>
    <s v="N"/>
    <s v="Y"/>
    <s v="N"/>
    <n v="13"/>
    <n v="1"/>
    <n v="8.3484573502722328E-2"/>
    <n v="0"/>
  </r>
  <r>
    <x v="316"/>
    <x v="18"/>
    <x v="0"/>
    <n v="667"/>
    <d v="2026-01-23T00:00:00"/>
    <d v="2026-01-28T00:00:00"/>
    <d v="2026-01-27T00:00:00"/>
    <n v="675"/>
    <s v="RM-141"/>
    <n v="36"/>
    <x v="0"/>
    <s v="Y"/>
    <s v="Y"/>
    <s v="Y"/>
    <n v="4"/>
    <n v="1.0119940029985008"/>
    <n v="5.3333333333333337E-2"/>
    <n v="1"/>
  </r>
  <r>
    <x v="317"/>
    <x v="16"/>
    <x v="0"/>
    <n v="588"/>
    <d v="2026-03-17T00:00:00"/>
    <d v="2026-04-01T00:00:00"/>
    <d v="2026-03-29T00:00:00"/>
    <n v="589"/>
    <s v="RM-225"/>
    <n v="7"/>
    <x v="0"/>
    <s v="Y"/>
    <s v="Y"/>
    <s v="Y"/>
    <n v="12"/>
    <n v="1.0017006802721089"/>
    <n v="1.1884550084889643E-2"/>
    <n v="1"/>
  </r>
  <r>
    <x v="318"/>
    <x v="7"/>
    <x v="0"/>
    <n v="881"/>
    <d v="2026-05-21T00:00:00"/>
    <d v="2026-05-31T00:00:00"/>
    <d v="2026-05-28T00:00:00"/>
    <n v="883"/>
    <s v="RM-190"/>
    <n v="38"/>
    <x v="0"/>
    <s v="Y"/>
    <s v="Y"/>
    <s v="Y"/>
    <n v="7"/>
    <n v="1.0022701475595914"/>
    <n v="4.3035107587768968E-2"/>
    <n v="1"/>
  </r>
  <r>
    <x v="319"/>
    <x v="14"/>
    <x v="2"/>
    <n v="668"/>
    <d v="2026-05-12T00:00:00"/>
    <d v="2026-05-18T00:00:00"/>
    <d v="2026-05-18T00:00:00"/>
    <n v="661"/>
    <s v="IM-236"/>
    <n v="24"/>
    <x v="0"/>
    <s v="Y"/>
    <s v="Y"/>
    <s v="Y"/>
    <n v="6"/>
    <n v="0.98952095808383234"/>
    <n v="3.6308623298033284E-2"/>
    <n v="1"/>
  </r>
  <r>
    <x v="320"/>
    <x v="17"/>
    <x v="0"/>
    <n v="357"/>
    <d v="2026-04-07T00:00:00"/>
    <d v="2026-04-21T00:00:00"/>
    <d v="2026-04-18T00:00:00"/>
    <n v="355"/>
    <s v="RM-286"/>
    <n v="7"/>
    <x v="0"/>
    <s v="Y"/>
    <s v="Y"/>
    <s v="Y"/>
    <n v="11"/>
    <n v="0.99439775910364148"/>
    <n v="1.9718309859154931E-2"/>
    <n v="1"/>
  </r>
  <r>
    <x v="321"/>
    <x v="12"/>
    <x v="2"/>
    <n v="122"/>
    <d v="2026-05-14T00:00:00"/>
    <d v="2026-05-27T00:00:00"/>
    <d v="2026-06-01T00:00:00"/>
    <n v="101"/>
    <s v="IM-127"/>
    <n v="1"/>
    <x v="0"/>
    <s v="N"/>
    <s v="N"/>
    <s v="N"/>
    <n v="18"/>
    <n v="0.82786885245901642"/>
    <n v="9.9009900990099011E-3"/>
    <n v="0"/>
  </r>
  <r>
    <x v="322"/>
    <x v="9"/>
    <x v="0"/>
    <n v="687"/>
    <d v="2026-01-20T00:00:00"/>
    <d v="2026-01-31T00:00:00"/>
    <d v="2026-01-29T00:00:00"/>
    <n v="686"/>
    <s v="RM-177"/>
    <n v="41"/>
    <x v="0"/>
    <s v="Y"/>
    <s v="Y"/>
    <s v="Y"/>
    <n v="9"/>
    <n v="0.99854439592430855"/>
    <n v="5.9766763848396499E-2"/>
    <n v="1"/>
  </r>
  <r>
    <x v="323"/>
    <x v="4"/>
    <x v="0"/>
    <n v="387"/>
    <d v="2026-03-09T00:00:00"/>
    <d v="2026-03-22T00:00:00"/>
    <d v="2026-03-19T00:00:00"/>
    <n v="316"/>
    <s v="RM-214"/>
    <n v="6"/>
    <x v="0"/>
    <s v="Y"/>
    <s v="N"/>
    <s v="N"/>
    <n v="10"/>
    <n v="0.81653746770025837"/>
    <n v="1.8987341772151899E-2"/>
    <n v="0"/>
  </r>
  <r>
    <x v="324"/>
    <x v="10"/>
    <x v="1"/>
    <n v="531"/>
    <d v="2026-04-25T00:00:00"/>
    <d v="2026-05-10T00:00:00"/>
    <d v="2026-05-08T00:00:00"/>
    <n v="541"/>
    <s v="PK-179"/>
    <n v="37"/>
    <x v="0"/>
    <s v="Y"/>
    <s v="Y"/>
    <s v="Y"/>
    <n v="13"/>
    <n v="1.0188323917137476"/>
    <n v="6.839186691312385E-2"/>
    <n v="1"/>
  </r>
  <r>
    <x v="325"/>
    <x v="11"/>
    <x v="0"/>
    <n v="683"/>
    <d v="2026-03-21T00:00:00"/>
    <d v="2026-03-30T00:00:00"/>
    <d v="2026-03-30T00:00:00"/>
    <n v="672"/>
    <s v="RM-220"/>
    <n v="1"/>
    <x v="0"/>
    <s v="Y"/>
    <s v="Y"/>
    <s v="Y"/>
    <n v="9"/>
    <n v="0.98389458272327968"/>
    <n v="1.488095238095238E-3"/>
    <n v="1"/>
  </r>
  <r>
    <x v="326"/>
    <x v="11"/>
    <x v="1"/>
    <n v="793"/>
    <d v="2026-02-23T00:00:00"/>
    <d v="2026-03-05T00:00:00"/>
    <d v="2026-03-04T00:00:00"/>
    <n v="798"/>
    <s v="PK-282"/>
    <n v="2"/>
    <x v="0"/>
    <s v="Y"/>
    <s v="Y"/>
    <s v="Y"/>
    <n v="9"/>
    <n v="1.0063051702395964"/>
    <n v="2.5062656641604009E-3"/>
    <n v="1"/>
  </r>
  <r>
    <x v="327"/>
    <x v="3"/>
    <x v="2"/>
    <n v="888"/>
    <d v="2026-01-05T00:00:00"/>
    <d v="2026-01-15T00:00:00"/>
    <d v="2026-01-14T00:00:00"/>
    <n v="906"/>
    <s v="IM-132"/>
    <n v="73"/>
    <x v="0"/>
    <s v="Y"/>
    <s v="Y"/>
    <s v="Y"/>
    <n v="9"/>
    <n v="1.0202702702702702"/>
    <n v="8.0573951434878582E-2"/>
    <n v="1"/>
  </r>
  <r>
    <x v="328"/>
    <x v="11"/>
    <x v="2"/>
    <n v="944"/>
    <d v="2026-02-27T00:00:00"/>
    <d v="2026-03-06T00:00:00"/>
    <d v="2026-03-04T00:00:00"/>
    <n v="835"/>
    <s v="IM-125"/>
    <n v="1"/>
    <x v="0"/>
    <s v="Y"/>
    <s v="N"/>
    <s v="N"/>
    <n v="5"/>
    <n v="0.88453389830508478"/>
    <n v="1.1976047904191617E-3"/>
    <n v="0"/>
  </r>
  <r>
    <x v="329"/>
    <x v="3"/>
    <x v="1"/>
    <n v="542"/>
    <d v="2026-05-27T00:00:00"/>
    <d v="2026-06-08T00:00:00"/>
    <d v="2026-06-13T00:00:00"/>
    <n v="520"/>
    <s v="PK-254"/>
    <n v="43"/>
    <x v="0"/>
    <s v="N"/>
    <s v="N"/>
    <s v="N"/>
    <n v="17"/>
    <n v="0.95940959409594095"/>
    <n v="8.269230769230769E-2"/>
    <n v="0"/>
  </r>
  <r>
    <x v="330"/>
    <x v="6"/>
    <x v="2"/>
    <n v="455"/>
    <d v="2026-02-25T00:00:00"/>
    <d v="2026-03-07T00:00:00"/>
    <m/>
    <m/>
    <s v="IM-171"/>
    <m/>
    <x v="1"/>
    <s v="N/A"/>
    <s v="N/A"/>
    <s v="N/A"/>
    <s v="N/A"/>
    <s v="N/A"/>
    <s v="N/A"/>
    <s v=""/>
  </r>
  <r>
    <x v="331"/>
    <x v="3"/>
    <x v="1"/>
    <n v="652"/>
    <d v="2026-05-29T00:00:00"/>
    <d v="2026-06-06T00:00:00"/>
    <d v="2026-06-06T00:00:00"/>
    <n v="550"/>
    <s v="PK-283"/>
    <n v="36"/>
    <x v="0"/>
    <s v="Y"/>
    <s v="N"/>
    <s v="N"/>
    <n v="8"/>
    <n v="0.84355828220858897"/>
    <n v="6.545454545454546E-2"/>
    <n v="0"/>
  </r>
  <r>
    <x v="332"/>
    <x v="11"/>
    <x v="2"/>
    <n v="133"/>
    <d v="2026-04-02T00:00:00"/>
    <d v="2026-04-17T00:00:00"/>
    <m/>
    <m/>
    <s v="IM-153"/>
    <m/>
    <x v="1"/>
    <s v="N/A"/>
    <s v="N/A"/>
    <s v="N/A"/>
    <s v="N/A"/>
    <s v="N/A"/>
    <s v="N/A"/>
    <s v=""/>
  </r>
  <r>
    <x v="333"/>
    <x v="19"/>
    <x v="1"/>
    <n v="596"/>
    <d v="2026-03-19T00:00:00"/>
    <d v="2026-03-28T00:00:00"/>
    <d v="2026-03-28T00:00:00"/>
    <n v="586"/>
    <s v="PK-164"/>
    <n v="28"/>
    <x v="0"/>
    <s v="Y"/>
    <s v="Y"/>
    <s v="Y"/>
    <n v="9"/>
    <n v="0.98322147651006708"/>
    <n v="4.778156996587031E-2"/>
    <n v="1"/>
  </r>
  <r>
    <x v="334"/>
    <x v="15"/>
    <x v="1"/>
    <n v="114"/>
    <d v="2026-05-21T00:00:00"/>
    <d v="2026-05-29T00:00:00"/>
    <d v="2026-05-29T00:00:00"/>
    <n v="112"/>
    <s v="PK-260"/>
    <n v="2"/>
    <x v="0"/>
    <s v="Y"/>
    <s v="Y"/>
    <s v="Y"/>
    <n v="8"/>
    <n v="0.98245614035087714"/>
    <n v="1.7857142857142856E-2"/>
    <n v="1"/>
  </r>
  <r>
    <x v="335"/>
    <x v="10"/>
    <x v="0"/>
    <n v="483"/>
    <d v="2026-03-27T00:00:00"/>
    <d v="2026-04-11T00:00:00"/>
    <d v="2026-04-10T00:00:00"/>
    <n v="474"/>
    <s v="RM-231"/>
    <n v="12"/>
    <x v="0"/>
    <s v="Y"/>
    <s v="Y"/>
    <s v="Y"/>
    <n v="14"/>
    <n v="0.98136645962732916"/>
    <n v="2.5316455696202531E-2"/>
    <n v="1"/>
  </r>
  <r>
    <x v="336"/>
    <x v="5"/>
    <x v="0"/>
    <n v="598"/>
    <d v="2026-04-07T00:00:00"/>
    <d v="2026-04-12T00:00:00"/>
    <d v="2026-04-14T00:00:00"/>
    <n v="508"/>
    <s v="RM-175"/>
    <n v="2"/>
    <x v="0"/>
    <s v="N"/>
    <s v="N"/>
    <s v="N"/>
    <n v="7"/>
    <n v="0.84949832775919731"/>
    <n v="3.937007874015748E-3"/>
    <n v="0"/>
  </r>
  <r>
    <x v="337"/>
    <x v="0"/>
    <x v="0"/>
    <n v="302"/>
    <d v="2026-04-25T00:00:00"/>
    <d v="2026-04-30T00:00:00"/>
    <d v="2026-04-30T00:00:00"/>
    <n v="301"/>
    <s v="RM-137"/>
    <n v="3"/>
    <x v="0"/>
    <s v="Y"/>
    <s v="Y"/>
    <s v="Y"/>
    <n v="5"/>
    <n v="0.99668874172185429"/>
    <n v="9.9667774086378731E-3"/>
    <n v="1"/>
  </r>
  <r>
    <x v="338"/>
    <x v="5"/>
    <x v="1"/>
    <n v="666"/>
    <d v="2026-04-13T00:00:00"/>
    <d v="2026-04-19T00:00:00"/>
    <d v="2026-04-19T00:00:00"/>
    <n v="663"/>
    <s v="PK-294"/>
    <n v="0"/>
    <x v="0"/>
    <s v="Y"/>
    <s v="Y"/>
    <s v="Y"/>
    <n v="6"/>
    <n v="0.99549549549549554"/>
    <n v="0"/>
    <n v="1"/>
  </r>
  <r>
    <x v="339"/>
    <x v="19"/>
    <x v="2"/>
    <n v="470"/>
    <d v="2026-05-27T00:00:00"/>
    <d v="2026-06-03T00:00:00"/>
    <d v="2026-06-02T00:00:00"/>
    <n v="462"/>
    <s v="unknown_SKU"/>
    <n v="17"/>
    <x v="0"/>
    <s v="Y"/>
    <s v="Y"/>
    <s v="Y"/>
    <n v="6"/>
    <n v="0.98297872340425529"/>
    <n v="3.67965367965368E-2"/>
    <n v="1"/>
  </r>
  <r>
    <x v="340"/>
    <x v="6"/>
    <x v="0"/>
    <n v="844"/>
    <d v="2026-01-29T00:00:00"/>
    <d v="2026-02-13T00:00:00"/>
    <d v="2026-02-10T00:00:00"/>
    <n v="850"/>
    <s v="RM-116"/>
    <n v="16"/>
    <x v="0"/>
    <s v="Y"/>
    <s v="Y"/>
    <s v="Y"/>
    <n v="12"/>
    <n v="1.0071090047393365"/>
    <n v="1.8823529411764704E-2"/>
    <n v="1"/>
  </r>
  <r>
    <x v="341"/>
    <x v="9"/>
    <x v="0"/>
    <n v="386"/>
    <d v="2026-03-06T00:00:00"/>
    <d v="2026-03-14T00:00:00"/>
    <d v="2026-03-14T00:00:00"/>
    <n v="393"/>
    <s v="RM-220"/>
    <n v="11"/>
    <x v="0"/>
    <s v="Y"/>
    <s v="Y"/>
    <s v="Y"/>
    <n v="8"/>
    <n v="1.0181347150259068"/>
    <n v="2.7989821882951654E-2"/>
    <n v="1"/>
  </r>
  <r>
    <x v="342"/>
    <x v="7"/>
    <x v="0"/>
    <n v="437"/>
    <d v="2026-01-24T00:00:00"/>
    <d v="2026-01-30T00:00:00"/>
    <d v="2026-01-30T00:00:00"/>
    <n v="431"/>
    <s v="RM-133"/>
    <n v="27"/>
    <x v="0"/>
    <s v="Y"/>
    <s v="Y"/>
    <s v="Y"/>
    <n v="6"/>
    <n v="0.98627002288329524"/>
    <n v="6.2645011600928072E-2"/>
    <n v="1"/>
  </r>
  <r>
    <x v="343"/>
    <x v="11"/>
    <x v="1"/>
    <n v="471"/>
    <d v="2026-04-16T00:00:00"/>
    <d v="2026-04-29T00:00:00"/>
    <d v="2026-04-28T00:00:00"/>
    <n v="396"/>
    <s v="PK-132"/>
    <n v="6"/>
    <x v="0"/>
    <s v="Y"/>
    <s v="N"/>
    <s v="N"/>
    <n v="12"/>
    <n v="0.84076433121019112"/>
    <n v="1.5151515151515152E-2"/>
    <n v="0"/>
  </r>
  <r>
    <x v="344"/>
    <x v="14"/>
    <x v="0"/>
    <n v="197"/>
    <d v="2026-02-16T00:00:00"/>
    <d v="2026-02-28T00:00:00"/>
    <d v="2026-02-26T00:00:00"/>
    <n v="197"/>
    <s v="RM-158"/>
    <n v="4"/>
    <x v="0"/>
    <s v="Y"/>
    <s v="Y"/>
    <s v="Y"/>
    <n v="10"/>
    <n v="1"/>
    <n v="2.030456852791878E-2"/>
    <n v="1"/>
  </r>
  <r>
    <x v="345"/>
    <x v="15"/>
    <x v="0"/>
    <n v="358"/>
    <d v="2026-05-11T00:00:00"/>
    <d v="2026-05-24T00:00:00"/>
    <d v="2026-05-22T00:00:00"/>
    <n v="361"/>
    <s v="RM-148"/>
    <n v="4"/>
    <x v="0"/>
    <s v="Y"/>
    <s v="Y"/>
    <s v="Y"/>
    <n v="11"/>
    <n v="1.0083798882681565"/>
    <n v="1.1080332409972299E-2"/>
    <n v="1"/>
  </r>
  <r>
    <x v="346"/>
    <x v="10"/>
    <x v="2"/>
    <n v="812"/>
    <d v="2026-02-25T00:00:00"/>
    <d v="2026-03-07T00:00:00"/>
    <d v="2026-03-08T00:00:00"/>
    <n v="815"/>
    <s v="IM-209"/>
    <n v="51"/>
    <x v="0"/>
    <s v="N"/>
    <s v="Y"/>
    <s v="N"/>
    <n v="11"/>
    <n v="1.0036945812807883"/>
    <n v="6.2576687116564417E-2"/>
    <n v="0"/>
  </r>
  <r>
    <x v="347"/>
    <x v="6"/>
    <x v="0"/>
    <n v="954"/>
    <d v="2026-03-07T00:00:00"/>
    <d v="2026-03-13T00:00:00"/>
    <d v="2026-03-11T00:00:00"/>
    <n v="961"/>
    <s v="RM-156"/>
    <n v="12"/>
    <x v="0"/>
    <s v="Y"/>
    <s v="Y"/>
    <s v="Y"/>
    <n v="4"/>
    <n v="1.0073375262054507"/>
    <n v="1.2486992715920915E-2"/>
    <n v="1"/>
  </r>
  <r>
    <x v="348"/>
    <x v="0"/>
    <x v="0"/>
    <n v="965"/>
    <d v="2026-04-15T00:00:00"/>
    <d v="2026-04-23T00:00:00"/>
    <d v="2026-04-23T00:00:00"/>
    <n v="969"/>
    <s v="RM-244"/>
    <n v="15"/>
    <x v="0"/>
    <s v="Y"/>
    <s v="Y"/>
    <s v="Y"/>
    <n v="8"/>
    <n v="1.0041450777202072"/>
    <n v="1.5479876160990712E-2"/>
    <n v="1"/>
  </r>
  <r>
    <x v="349"/>
    <x v="3"/>
    <x v="1"/>
    <n v="92"/>
    <d v="2026-05-22T00:00:00"/>
    <d v="2026-05-28T00:00:00"/>
    <d v="2026-05-28T00:00:00"/>
    <n v="84"/>
    <s v="PK-104"/>
    <n v="6"/>
    <x v="0"/>
    <s v="Y"/>
    <s v="N"/>
    <s v="N"/>
    <n v="6"/>
    <n v="0.91304347826086951"/>
    <n v="7.1428571428571425E-2"/>
    <n v="0"/>
  </r>
  <r>
    <x v="350"/>
    <x v="2"/>
    <x v="0"/>
    <n v="124"/>
    <d v="2026-01-07T00:00:00"/>
    <d v="2026-01-13T00:00:00"/>
    <d v="2026-01-12T00:00:00"/>
    <n v="125"/>
    <s v="RM-171"/>
    <n v="1"/>
    <x v="0"/>
    <s v="Y"/>
    <s v="Y"/>
    <s v="Y"/>
    <n v="5"/>
    <n v="1.0080645161290323"/>
    <n v="8.0000000000000002E-3"/>
    <n v="1"/>
  </r>
  <r>
    <x v="351"/>
    <x v="11"/>
    <x v="0"/>
    <n v="836"/>
    <d v="2026-05-03T00:00:00"/>
    <d v="2026-05-08T00:00:00"/>
    <d v="2026-05-06T00:00:00"/>
    <n v="829"/>
    <s v="RM-267"/>
    <n v="8"/>
    <x v="0"/>
    <s v="Y"/>
    <s v="Y"/>
    <s v="Y"/>
    <n v="3"/>
    <n v="0.99162679425837319"/>
    <n v="9.6501809408926411E-3"/>
    <n v="1"/>
  </r>
  <r>
    <x v="352"/>
    <x v="2"/>
    <x v="2"/>
    <n v="748"/>
    <d v="2026-02-12T00:00:00"/>
    <d v="2026-02-27T00:00:00"/>
    <d v="2026-02-27T00:00:00"/>
    <n v="736"/>
    <s v="IM-270"/>
    <n v="25"/>
    <x v="0"/>
    <s v="Y"/>
    <s v="Y"/>
    <s v="Y"/>
    <n v="15"/>
    <n v="0.98395721925133695"/>
    <n v="3.3967391304347824E-2"/>
    <n v="1"/>
  </r>
  <r>
    <x v="353"/>
    <x v="18"/>
    <x v="2"/>
    <n v="408"/>
    <d v="2026-05-04T00:00:00"/>
    <d v="2026-05-17T00:00:00"/>
    <d v="2026-05-14T00:00:00"/>
    <n v="387"/>
    <s v="IM-112"/>
    <n v="7"/>
    <x v="0"/>
    <s v="Y"/>
    <s v="N"/>
    <s v="N"/>
    <n v="10"/>
    <n v="0.94852941176470584"/>
    <n v="1.8087855297157621E-2"/>
    <n v="0"/>
  </r>
  <r>
    <x v="354"/>
    <x v="15"/>
    <x v="0"/>
    <n v="959"/>
    <d v="2026-02-06T00:00:00"/>
    <d v="2026-02-12T00:00:00"/>
    <d v="2026-02-18T00:00:00"/>
    <n v="942"/>
    <s v="RM-158"/>
    <n v="9"/>
    <x v="0"/>
    <s v="N"/>
    <s v="Y"/>
    <s v="N"/>
    <n v="12"/>
    <n v="0.98227320125130346"/>
    <n v="9.5541401273885346E-3"/>
    <n v="0"/>
  </r>
  <r>
    <x v="355"/>
    <x v="15"/>
    <x v="1"/>
    <n v="648"/>
    <d v="2026-05-04T00:00:00"/>
    <d v="2026-05-09T00:00:00"/>
    <d v="2026-05-06T00:00:00"/>
    <n v="637"/>
    <s v="PK-201"/>
    <n v="2"/>
    <x v="0"/>
    <s v="Y"/>
    <s v="Y"/>
    <s v="Y"/>
    <n v="2"/>
    <n v="0.98302469135802473"/>
    <n v="3.1397174254317113E-3"/>
    <n v="1"/>
  </r>
  <r>
    <x v="356"/>
    <x v="7"/>
    <x v="1"/>
    <n v="953"/>
    <d v="2026-04-24T00:00:00"/>
    <d v="2026-04-30T00:00:00"/>
    <d v="2026-04-27T00:00:00"/>
    <n v="957"/>
    <s v="unknown_SKU"/>
    <n v="10"/>
    <x v="0"/>
    <s v="Y"/>
    <s v="Y"/>
    <s v="Y"/>
    <n v="3"/>
    <n v="1.0041972717733474"/>
    <n v="1.0449320794148381E-2"/>
    <n v="1"/>
  </r>
  <r>
    <x v="357"/>
    <x v="14"/>
    <x v="0"/>
    <n v="730"/>
    <d v="2026-03-29T00:00:00"/>
    <d v="2026-04-06T00:00:00"/>
    <d v="2026-04-15T00:00:00"/>
    <n v="724"/>
    <s v="RM-279"/>
    <n v="30"/>
    <x v="0"/>
    <s v="N"/>
    <s v="Y"/>
    <s v="N"/>
    <n v="17"/>
    <n v="0.99178082191780825"/>
    <n v="4.1436464088397788E-2"/>
    <n v="0"/>
  </r>
  <r>
    <x v="358"/>
    <x v="11"/>
    <x v="0"/>
    <n v="443"/>
    <d v="2026-04-04T00:00:00"/>
    <d v="2026-04-14T00:00:00"/>
    <d v="2026-04-18T00:00:00"/>
    <n v="444"/>
    <s v="RM-117"/>
    <n v="2"/>
    <x v="0"/>
    <s v="N"/>
    <s v="Y"/>
    <s v="N"/>
    <n v="14"/>
    <n v="1.0022573363431151"/>
    <n v="4.5045045045045045E-3"/>
    <n v="0"/>
  </r>
  <r>
    <x v="359"/>
    <x v="9"/>
    <x v="0"/>
    <n v="388"/>
    <d v="2026-05-30T00:00:00"/>
    <d v="2026-06-11T00:00:00"/>
    <m/>
    <m/>
    <s v="RM-129"/>
    <m/>
    <x v="1"/>
    <s v="N/A"/>
    <s v="N/A"/>
    <s v="N/A"/>
    <s v="N/A"/>
    <s v="N/A"/>
    <s v="N/A"/>
    <s v=""/>
  </r>
  <r>
    <x v="360"/>
    <x v="2"/>
    <x v="0"/>
    <n v="967"/>
    <d v="2026-01-30T00:00:00"/>
    <d v="2026-02-04T00:00:00"/>
    <d v="2026-02-01T00:00:00"/>
    <n v="958"/>
    <s v="RM-266"/>
    <n v="50"/>
    <x v="0"/>
    <s v="Y"/>
    <s v="Y"/>
    <s v="Y"/>
    <n v="2"/>
    <n v="0.99069286452947258"/>
    <n v="5.2192066805845511E-2"/>
    <n v="1"/>
  </r>
  <r>
    <x v="361"/>
    <x v="9"/>
    <x v="0"/>
    <n v="956"/>
    <d v="2026-02-25T00:00:00"/>
    <d v="2026-03-06T00:00:00"/>
    <d v="2026-03-05T00:00:00"/>
    <n v="958"/>
    <s v="RM-185"/>
    <n v="36"/>
    <x v="0"/>
    <s v="Y"/>
    <s v="Y"/>
    <s v="Y"/>
    <n v="8"/>
    <n v="1.002092050209205"/>
    <n v="3.7578288100208766E-2"/>
    <n v="1"/>
  </r>
  <r>
    <x v="362"/>
    <x v="6"/>
    <x v="1"/>
    <n v="863"/>
    <d v="2026-05-16T00:00:00"/>
    <d v="2026-05-27T00:00:00"/>
    <d v="2026-06-01T00:00:00"/>
    <n v="834"/>
    <s v="PK-163"/>
    <n v="7"/>
    <x v="0"/>
    <s v="N"/>
    <s v="N"/>
    <s v="N"/>
    <n v="16"/>
    <n v="0.96639629200463495"/>
    <n v="8.3932853717026377E-3"/>
    <n v="0"/>
  </r>
  <r>
    <x v="363"/>
    <x v="7"/>
    <x v="2"/>
    <n v="523"/>
    <d v="2026-01-14T00:00:00"/>
    <d v="2026-01-24T00:00:00"/>
    <d v="2026-01-21T00:00:00"/>
    <n v="482"/>
    <s v="IM-237"/>
    <n v="9"/>
    <x v="0"/>
    <s v="Y"/>
    <s v="N"/>
    <s v="N"/>
    <n v="7"/>
    <n v="0.92160611854684515"/>
    <n v="1.8672199170124481E-2"/>
    <n v="0"/>
  </r>
  <r>
    <x v="364"/>
    <x v="11"/>
    <x v="1"/>
    <n v="758"/>
    <d v="2026-05-29T00:00:00"/>
    <d v="2026-06-04T00:00:00"/>
    <d v="2026-06-02T00:00:00"/>
    <n v="769"/>
    <s v="PK-117"/>
    <n v="12"/>
    <x v="0"/>
    <s v="Y"/>
    <s v="Y"/>
    <s v="Y"/>
    <n v="4"/>
    <n v="1.0145118733509235"/>
    <n v="1.5604681404421327E-2"/>
    <n v="1"/>
  </r>
  <r>
    <x v="365"/>
    <x v="7"/>
    <x v="0"/>
    <n v="296"/>
    <d v="2026-05-30T00:00:00"/>
    <d v="2026-06-04T00:00:00"/>
    <d v="2026-06-09T00:00:00"/>
    <n v="297"/>
    <s v="RM-159"/>
    <n v="13"/>
    <x v="0"/>
    <s v="N"/>
    <s v="Y"/>
    <s v="N"/>
    <n v="10"/>
    <n v="1.0033783783783783"/>
    <n v="4.3771043771043773E-2"/>
    <n v="0"/>
  </r>
  <r>
    <x v="366"/>
    <x v="10"/>
    <x v="1"/>
    <n v="373"/>
    <d v="2026-01-22T00:00:00"/>
    <d v="2026-02-01T00:00:00"/>
    <d v="2026-02-01T00:00:00"/>
    <n v="366"/>
    <s v="PK-253"/>
    <n v="9"/>
    <x v="0"/>
    <s v="Y"/>
    <s v="Y"/>
    <s v="Y"/>
    <n v="10"/>
    <n v="0.98123324396782841"/>
    <n v="2.4590163934426229E-2"/>
    <n v="1"/>
  </r>
  <r>
    <x v="367"/>
    <x v="8"/>
    <x v="0"/>
    <n v="226"/>
    <d v="2026-05-05T00:00:00"/>
    <d v="2026-05-13T00:00:00"/>
    <d v="2026-05-10T00:00:00"/>
    <n v="228"/>
    <s v="RM-253"/>
    <n v="5"/>
    <x v="0"/>
    <s v="Y"/>
    <s v="Y"/>
    <s v="Y"/>
    <n v="5"/>
    <n v="1.0088495575221239"/>
    <n v="2.1929824561403508E-2"/>
    <n v="1"/>
  </r>
  <r>
    <x v="368"/>
    <x v="2"/>
    <x v="2"/>
    <n v="989"/>
    <d v="2026-01-30T00:00:00"/>
    <d v="2026-02-12T00:00:00"/>
    <d v="2026-02-11T00:00:00"/>
    <n v="998"/>
    <s v="IM-274"/>
    <n v="18"/>
    <x v="0"/>
    <s v="Y"/>
    <s v="Y"/>
    <s v="Y"/>
    <n v="12"/>
    <n v="1.0091001011122345"/>
    <n v="1.8036072144288578E-2"/>
    <n v="1"/>
  </r>
  <r>
    <x v="369"/>
    <x v="12"/>
    <x v="2"/>
    <n v="112"/>
    <d v="2026-01-16T00:00:00"/>
    <d v="2026-01-22T00:00:00"/>
    <d v="2026-01-29T00:00:00"/>
    <n v="113"/>
    <s v="IM-171"/>
    <n v="2"/>
    <x v="0"/>
    <s v="N"/>
    <s v="Y"/>
    <s v="N"/>
    <n v="13"/>
    <n v="1.0089285714285714"/>
    <n v="1.7699115044247787E-2"/>
    <n v="0"/>
  </r>
  <r>
    <x v="370"/>
    <x v="13"/>
    <x v="0"/>
    <n v="386"/>
    <d v="2026-02-07T00:00:00"/>
    <d v="2026-02-20T00:00:00"/>
    <d v="2026-03-01T00:00:00"/>
    <n v="347"/>
    <s v="RM-120"/>
    <n v="21"/>
    <x v="0"/>
    <s v="N"/>
    <s v="N"/>
    <s v="N"/>
    <n v="22"/>
    <n v="0.89896373056994816"/>
    <n v="6.0518731988472622E-2"/>
    <n v="0"/>
  </r>
  <r>
    <x v="371"/>
    <x v="11"/>
    <x v="2"/>
    <n v="569"/>
    <d v="2026-01-16T00:00:00"/>
    <d v="2026-01-23T00:00:00"/>
    <d v="2026-01-21T00:00:00"/>
    <n v="573"/>
    <s v="IM-294"/>
    <n v="5"/>
    <x v="0"/>
    <s v="Y"/>
    <s v="Y"/>
    <s v="Y"/>
    <n v="5"/>
    <n v="1.0070298769771528"/>
    <n v="8.7260034904013961E-3"/>
    <n v="1"/>
  </r>
  <r>
    <x v="372"/>
    <x v="2"/>
    <x v="1"/>
    <n v="582"/>
    <d v="2026-04-23T00:00:00"/>
    <d v="2026-05-04T00:00:00"/>
    <d v="2026-05-04T00:00:00"/>
    <n v="572"/>
    <s v="PK-226"/>
    <n v="19"/>
    <x v="0"/>
    <s v="Y"/>
    <s v="Y"/>
    <s v="Y"/>
    <n v="11"/>
    <n v="0.98281786941580751"/>
    <n v="3.3216783216783216E-2"/>
    <n v="1"/>
  </r>
  <r>
    <x v="373"/>
    <x v="2"/>
    <x v="0"/>
    <n v="686"/>
    <d v="2026-04-22T00:00:00"/>
    <d v="2026-05-07T00:00:00"/>
    <d v="2026-05-07T00:00:00"/>
    <n v="680"/>
    <s v="RM-260"/>
    <n v="20"/>
    <x v="0"/>
    <s v="Y"/>
    <s v="Y"/>
    <s v="Y"/>
    <n v="15"/>
    <n v="0.99125364431486884"/>
    <n v="2.9411764705882353E-2"/>
    <n v="1"/>
  </r>
  <r>
    <x v="374"/>
    <x v="16"/>
    <x v="0"/>
    <n v="150"/>
    <d v="2026-03-29T00:00:00"/>
    <d v="2026-04-10T00:00:00"/>
    <d v="2026-04-10T00:00:00"/>
    <n v="149"/>
    <s v="RM-200"/>
    <n v="2"/>
    <x v="0"/>
    <s v="Y"/>
    <s v="Y"/>
    <s v="Y"/>
    <n v="12"/>
    <n v="0.99333333333333329"/>
    <n v="1.3422818791946308E-2"/>
    <n v="1"/>
  </r>
  <r>
    <x v="375"/>
    <x v="18"/>
    <x v="0"/>
    <n v="187"/>
    <d v="2026-01-27T00:00:00"/>
    <d v="2026-02-07T00:00:00"/>
    <d v="2026-02-07T00:00:00"/>
    <n v="184"/>
    <s v="RM-118"/>
    <n v="7"/>
    <x v="0"/>
    <s v="Y"/>
    <s v="Y"/>
    <s v="Y"/>
    <n v="11"/>
    <n v="0.98395721925133695"/>
    <n v="3.8043478260869568E-2"/>
    <n v="1"/>
  </r>
  <r>
    <x v="376"/>
    <x v="7"/>
    <x v="1"/>
    <n v="805"/>
    <d v="2026-04-18T00:00:00"/>
    <d v="2026-04-28T00:00:00"/>
    <d v="2026-04-25T00:00:00"/>
    <n v="794"/>
    <s v="PK-242"/>
    <n v="1"/>
    <x v="0"/>
    <s v="Y"/>
    <s v="Y"/>
    <s v="Y"/>
    <n v="7"/>
    <n v="0.98633540372670803"/>
    <n v="1.2594458438287153E-3"/>
    <n v="1"/>
  </r>
  <r>
    <x v="377"/>
    <x v="4"/>
    <x v="0"/>
    <n v="894"/>
    <d v="2026-03-07T00:00:00"/>
    <d v="2026-03-16T00:00:00"/>
    <d v="2026-03-13T00:00:00"/>
    <n v="881"/>
    <s v="RM-132"/>
    <n v="4"/>
    <x v="0"/>
    <s v="Y"/>
    <s v="Y"/>
    <s v="Y"/>
    <n v="6"/>
    <n v="0.9854586129753915"/>
    <n v="4.5402951191827468E-3"/>
    <n v="1"/>
  </r>
  <r>
    <x v="378"/>
    <x v="5"/>
    <x v="1"/>
    <n v="340"/>
    <d v="2026-04-10T00:00:00"/>
    <d v="2026-04-24T00:00:00"/>
    <d v="2026-04-24T00:00:00"/>
    <n v="313"/>
    <s v="PK-152"/>
    <n v="2"/>
    <x v="0"/>
    <s v="Y"/>
    <s v="N"/>
    <s v="N"/>
    <n v="14"/>
    <n v="0.9205882352941176"/>
    <n v="6.3897763578274758E-3"/>
    <n v="0"/>
  </r>
  <r>
    <x v="379"/>
    <x v="1"/>
    <x v="0"/>
    <n v="820"/>
    <d v="2026-04-23T00:00:00"/>
    <d v="2026-05-03T00:00:00"/>
    <d v="2026-04-30T00:00:00"/>
    <n v="677"/>
    <s v="RM-158"/>
    <n v="4"/>
    <x v="0"/>
    <s v="Y"/>
    <s v="N"/>
    <s v="N"/>
    <n v="7"/>
    <n v="0.82560975609756093"/>
    <n v="5.9084194977843431E-3"/>
    <n v="0"/>
  </r>
  <r>
    <x v="380"/>
    <x v="13"/>
    <x v="0"/>
    <n v="767"/>
    <d v="2026-03-24T00:00:00"/>
    <d v="2026-04-06T00:00:00"/>
    <d v="2026-04-15T00:00:00"/>
    <n v="776"/>
    <s v="RM-244"/>
    <n v="17"/>
    <x v="0"/>
    <s v="N"/>
    <s v="Y"/>
    <s v="N"/>
    <n v="22"/>
    <n v="1.0117340286831813"/>
    <n v="2.1907216494845359E-2"/>
    <n v="0"/>
  </r>
  <r>
    <x v="381"/>
    <x v="11"/>
    <x v="1"/>
    <n v="571"/>
    <d v="2026-01-13T00:00:00"/>
    <d v="2026-01-27T00:00:00"/>
    <d v="2026-01-25T00:00:00"/>
    <n v="525"/>
    <s v="PK-175"/>
    <n v="1"/>
    <x v="0"/>
    <s v="Y"/>
    <s v="N"/>
    <s v="N"/>
    <n v="12"/>
    <n v="0.91943957968476353"/>
    <n v="1.9047619047619048E-3"/>
    <n v="0"/>
  </r>
  <r>
    <x v="382"/>
    <x v="11"/>
    <x v="1"/>
    <n v="411"/>
    <d v="2026-02-03T00:00:00"/>
    <d v="2026-02-18T00:00:00"/>
    <d v="2026-02-17T00:00:00"/>
    <n v="414"/>
    <s v="PK-132"/>
    <n v="6"/>
    <x v="0"/>
    <s v="Y"/>
    <s v="Y"/>
    <s v="Y"/>
    <n v="14"/>
    <n v="1.0072992700729928"/>
    <n v="1.4492753623188406E-2"/>
    <n v="1"/>
  </r>
  <r>
    <x v="383"/>
    <x v="4"/>
    <x v="0"/>
    <n v="233"/>
    <d v="2026-01-13T00:00:00"/>
    <d v="2026-01-26T00:00:00"/>
    <d v="2026-01-26T00:00:00"/>
    <n v="208"/>
    <s v="RM-267"/>
    <n v="5"/>
    <x v="0"/>
    <s v="Y"/>
    <s v="N"/>
    <s v="N"/>
    <n v="13"/>
    <n v="0.89270386266094426"/>
    <n v="2.403846153846154E-2"/>
    <n v="0"/>
  </r>
  <r>
    <x v="384"/>
    <x v="14"/>
    <x v="2"/>
    <n v="93"/>
    <d v="2026-05-03T00:00:00"/>
    <d v="2026-05-17T00:00:00"/>
    <d v="2026-05-17T00:00:00"/>
    <n v="93"/>
    <s v="IM-280"/>
    <n v="0"/>
    <x v="0"/>
    <s v="Y"/>
    <s v="Y"/>
    <s v="Y"/>
    <n v="14"/>
    <n v="1"/>
    <n v="0"/>
    <n v="1"/>
  </r>
  <r>
    <x v="385"/>
    <x v="8"/>
    <x v="2"/>
    <n v="961"/>
    <d v="2026-02-07T00:00:00"/>
    <d v="2026-02-18T00:00:00"/>
    <d v="2026-02-26T00:00:00"/>
    <n v="945"/>
    <s v="IM-161"/>
    <n v="42"/>
    <x v="0"/>
    <s v="N"/>
    <s v="Y"/>
    <s v="N"/>
    <n v="19"/>
    <n v="0.98335067637877216"/>
    <n v="4.4444444444444446E-2"/>
    <n v="0"/>
  </r>
  <r>
    <x v="386"/>
    <x v="19"/>
    <x v="1"/>
    <n v="125"/>
    <d v="2026-01-30T00:00:00"/>
    <d v="2026-02-11T00:00:00"/>
    <d v="2026-02-09T00:00:00"/>
    <n v="127"/>
    <s v="PK-298"/>
    <n v="1"/>
    <x v="0"/>
    <s v="Y"/>
    <s v="Y"/>
    <s v="Y"/>
    <n v="10"/>
    <n v="1.016"/>
    <n v="7.874015748031496E-3"/>
    <n v="1"/>
  </r>
  <r>
    <x v="387"/>
    <x v="10"/>
    <x v="0"/>
    <n v="653"/>
    <d v="2026-03-03T00:00:00"/>
    <d v="2026-03-16T00:00:00"/>
    <d v="2026-03-13T00:00:00"/>
    <n v="652"/>
    <s v="RM-168"/>
    <n v="18"/>
    <x v="0"/>
    <s v="Y"/>
    <s v="Y"/>
    <s v="Y"/>
    <n v="10"/>
    <n v="0.99846860643185298"/>
    <n v="2.7607361963190184E-2"/>
    <n v="1"/>
  </r>
  <r>
    <x v="388"/>
    <x v="1"/>
    <x v="1"/>
    <n v="529"/>
    <d v="2026-04-16T00:00:00"/>
    <d v="2026-04-22T00:00:00"/>
    <d v="2026-04-22T00:00:00"/>
    <n v="523"/>
    <s v="PK-243"/>
    <n v="4"/>
    <x v="0"/>
    <s v="Y"/>
    <s v="Y"/>
    <s v="Y"/>
    <n v="6"/>
    <n v="0.98865784499054821"/>
    <n v="7.6481835564053535E-3"/>
    <n v="1"/>
  </r>
  <r>
    <x v="389"/>
    <x v="2"/>
    <x v="0"/>
    <n v="513"/>
    <d v="2026-03-05T00:00:00"/>
    <d v="2026-03-16T00:00:00"/>
    <d v="2026-03-15T00:00:00"/>
    <n v="504"/>
    <s v="RM-208"/>
    <n v="18"/>
    <x v="0"/>
    <s v="Y"/>
    <s v="Y"/>
    <s v="Y"/>
    <n v="10"/>
    <n v="0.98245614035087714"/>
    <n v="3.5714285714285712E-2"/>
    <n v="1"/>
  </r>
  <r>
    <x v="390"/>
    <x v="14"/>
    <x v="1"/>
    <n v="187"/>
    <d v="2026-02-04T00:00:00"/>
    <d v="2026-02-14T00:00:00"/>
    <d v="2026-02-12T00:00:00"/>
    <n v="189"/>
    <s v="PK-216"/>
    <n v="1"/>
    <x v="0"/>
    <s v="Y"/>
    <s v="Y"/>
    <s v="Y"/>
    <n v="8"/>
    <n v="1.0106951871657754"/>
    <n v="5.2910052910052907E-3"/>
    <n v="1"/>
  </r>
  <r>
    <x v="391"/>
    <x v="12"/>
    <x v="2"/>
    <n v="309"/>
    <d v="2026-01-14T00:00:00"/>
    <d v="2026-01-20T00:00:00"/>
    <d v="2026-01-26T00:00:00"/>
    <n v="306"/>
    <s v="IM-154"/>
    <n v="4"/>
    <x v="0"/>
    <s v="N"/>
    <s v="Y"/>
    <s v="N"/>
    <n v="12"/>
    <n v="0.99029126213592233"/>
    <n v="1.3071895424836602E-2"/>
    <n v="0"/>
  </r>
  <r>
    <x v="392"/>
    <x v="1"/>
    <x v="0"/>
    <n v="461"/>
    <d v="2026-05-31T00:00:00"/>
    <d v="2026-06-15T00:00:00"/>
    <d v="2026-06-15T00:00:00"/>
    <n v="465"/>
    <s v="RM-177"/>
    <n v="1"/>
    <x v="0"/>
    <s v="Y"/>
    <s v="Y"/>
    <s v="Y"/>
    <n v="15"/>
    <n v="1.0086767895878526"/>
    <n v="2.1505376344086021E-3"/>
    <n v="1"/>
  </r>
  <r>
    <x v="393"/>
    <x v="2"/>
    <x v="2"/>
    <n v="927"/>
    <d v="2026-05-18T00:00:00"/>
    <d v="2026-05-25T00:00:00"/>
    <d v="2026-05-23T00:00:00"/>
    <n v="805"/>
    <s v="IM-134"/>
    <n v="8"/>
    <x v="0"/>
    <s v="Y"/>
    <s v="N"/>
    <s v="N"/>
    <n v="5"/>
    <n v="0.86839266450916941"/>
    <n v="9.9378881987577643E-3"/>
    <n v="0"/>
  </r>
  <r>
    <x v="394"/>
    <x v="6"/>
    <x v="1"/>
    <n v="833"/>
    <d v="2026-03-29T00:00:00"/>
    <d v="2026-04-10T00:00:00"/>
    <d v="2026-04-08T00:00:00"/>
    <n v="844"/>
    <s v="PK-180"/>
    <n v="50"/>
    <x v="0"/>
    <s v="Y"/>
    <s v="Y"/>
    <s v="Y"/>
    <n v="10"/>
    <n v="1.0132052821128452"/>
    <n v="5.9241706161137442E-2"/>
    <n v="1"/>
  </r>
  <r>
    <x v="395"/>
    <x v="2"/>
    <x v="2"/>
    <n v="461"/>
    <d v="2026-05-24T00:00:00"/>
    <d v="2026-06-08T00:00:00"/>
    <d v="2026-06-12T00:00:00"/>
    <n v="467"/>
    <s v="IM-242"/>
    <n v="5"/>
    <x v="0"/>
    <s v="N"/>
    <s v="Y"/>
    <s v="N"/>
    <n v="19"/>
    <n v="1.0130151843817787"/>
    <n v="1.0706638115631691E-2"/>
    <n v="0"/>
  </r>
  <r>
    <x v="396"/>
    <x v="19"/>
    <x v="1"/>
    <n v="666"/>
    <d v="2026-05-05T00:00:00"/>
    <d v="2026-05-13T00:00:00"/>
    <d v="2026-05-12T00:00:00"/>
    <n v="676"/>
    <s v="PK-280"/>
    <n v="37"/>
    <x v="0"/>
    <s v="Y"/>
    <s v="Y"/>
    <s v="Y"/>
    <n v="7"/>
    <n v="1.015015015015015"/>
    <n v="5.473372781065089E-2"/>
    <n v="1"/>
  </r>
  <r>
    <x v="397"/>
    <x v="16"/>
    <x v="2"/>
    <n v="516"/>
    <d v="2026-05-04T00:00:00"/>
    <d v="2026-05-14T00:00:00"/>
    <d v="2026-05-14T00:00:00"/>
    <n v="417"/>
    <s v="IM-241"/>
    <n v="4"/>
    <x v="0"/>
    <s v="Y"/>
    <s v="N"/>
    <s v="N"/>
    <n v="10"/>
    <n v="0.80813953488372092"/>
    <n v="9.5923261390887284E-3"/>
    <n v="0"/>
  </r>
  <r>
    <x v="398"/>
    <x v="6"/>
    <x v="0"/>
    <n v="240"/>
    <d v="2026-03-04T00:00:00"/>
    <d v="2026-03-13T00:00:00"/>
    <d v="2026-03-11T00:00:00"/>
    <n v="239"/>
    <s v="RM-297"/>
    <n v="9"/>
    <x v="0"/>
    <s v="Y"/>
    <s v="Y"/>
    <s v="Y"/>
    <n v="7"/>
    <n v="0.99583333333333335"/>
    <n v="3.7656903765690378E-2"/>
    <n v="1"/>
  </r>
  <r>
    <x v="399"/>
    <x v="6"/>
    <x v="1"/>
    <n v="107"/>
    <d v="2026-03-06T00:00:00"/>
    <d v="2026-03-12T00:00:00"/>
    <d v="2026-03-09T00:00:00"/>
    <n v="107"/>
    <s v="PK-160"/>
    <n v="5"/>
    <x v="0"/>
    <s v="Y"/>
    <s v="Y"/>
    <s v="Y"/>
    <n v="3"/>
    <n v="1"/>
    <n v="4.6728971962616821E-2"/>
    <n v="1"/>
  </r>
  <r>
    <x v="400"/>
    <x v="19"/>
    <x v="0"/>
    <n v="630"/>
    <d v="2026-01-15T00:00:00"/>
    <d v="2026-01-29T00:00:00"/>
    <d v="2026-01-29T00:00:00"/>
    <n v="634"/>
    <s v="RM-265"/>
    <n v="18"/>
    <x v="0"/>
    <s v="Y"/>
    <s v="Y"/>
    <s v="Y"/>
    <n v="14"/>
    <n v="1.0063492063492063"/>
    <n v="2.8391167192429023E-2"/>
    <n v="1"/>
  </r>
  <r>
    <x v="401"/>
    <x v="0"/>
    <x v="1"/>
    <n v="476"/>
    <d v="2026-02-05T00:00:00"/>
    <d v="2026-02-14T00:00:00"/>
    <d v="2026-02-12T00:00:00"/>
    <n v="472"/>
    <s v="PK-172"/>
    <n v="6"/>
    <x v="0"/>
    <s v="Y"/>
    <s v="Y"/>
    <s v="Y"/>
    <n v="7"/>
    <n v="0.99159663865546221"/>
    <n v="1.2711864406779662E-2"/>
    <n v="1"/>
  </r>
  <r>
    <x v="402"/>
    <x v="16"/>
    <x v="0"/>
    <n v="436"/>
    <d v="2026-04-23T00:00:00"/>
    <d v="2026-05-01T00:00:00"/>
    <d v="2026-05-05T00:00:00"/>
    <n v="366"/>
    <s v="RM-206"/>
    <n v="1"/>
    <x v="0"/>
    <s v="N"/>
    <s v="N"/>
    <s v="N"/>
    <n v="12"/>
    <n v="0.83944954128440363"/>
    <n v="2.7322404371584699E-3"/>
    <n v="0"/>
  </r>
  <r>
    <x v="403"/>
    <x v="18"/>
    <x v="1"/>
    <n v="548"/>
    <d v="2026-03-21T00:00:00"/>
    <d v="2026-04-01T00:00:00"/>
    <d v="2026-03-31T00:00:00"/>
    <n v="538"/>
    <s v="PK-168"/>
    <n v="15"/>
    <x v="0"/>
    <s v="Y"/>
    <s v="Y"/>
    <s v="Y"/>
    <n v="10"/>
    <n v="0.98175182481751821"/>
    <n v="2.7881040892193308E-2"/>
    <n v="1"/>
  </r>
  <r>
    <x v="404"/>
    <x v="13"/>
    <x v="1"/>
    <n v="839"/>
    <d v="2026-01-13T00:00:00"/>
    <d v="2026-01-23T00:00:00"/>
    <d v="2026-01-21T00:00:00"/>
    <n v="824"/>
    <s v="PK-109"/>
    <n v="52"/>
    <x v="0"/>
    <s v="Y"/>
    <s v="Y"/>
    <s v="Y"/>
    <n v="8"/>
    <n v="0.98212157330154948"/>
    <n v="6.3106796116504854E-2"/>
    <n v="1"/>
  </r>
  <r>
    <x v="405"/>
    <x v="0"/>
    <x v="1"/>
    <n v="313"/>
    <d v="2026-05-22T00:00:00"/>
    <d v="2026-05-31T00:00:00"/>
    <d v="2026-05-30T00:00:00"/>
    <n v="314"/>
    <s v="PK-130"/>
    <n v="6"/>
    <x v="0"/>
    <s v="Y"/>
    <s v="Y"/>
    <s v="Y"/>
    <n v="8"/>
    <n v="1.0031948881789137"/>
    <n v="1.9108280254777069E-2"/>
    <n v="1"/>
  </r>
  <r>
    <x v="406"/>
    <x v="5"/>
    <x v="2"/>
    <n v="736"/>
    <d v="2026-01-17T00:00:00"/>
    <d v="2026-01-28T00:00:00"/>
    <d v="2026-01-28T00:00:00"/>
    <n v="751"/>
    <s v="IM-185"/>
    <n v="4"/>
    <x v="0"/>
    <s v="Y"/>
    <s v="Y"/>
    <s v="Y"/>
    <n v="11"/>
    <n v="1.0203804347826086"/>
    <n v="5.3262316910785623E-3"/>
    <n v="1"/>
  </r>
  <r>
    <x v="407"/>
    <x v="1"/>
    <x v="2"/>
    <n v="523"/>
    <d v="2026-04-15T00:00:00"/>
    <d v="2026-04-25T00:00:00"/>
    <d v="2026-04-23T00:00:00"/>
    <n v="530"/>
    <s v="IM-299"/>
    <n v="7"/>
    <x v="0"/>
    <s v="Y"/>
    <s v="Y"/>
    <s v="Y"/>
    <n v="8"/>
    <n v="1.0133843212237095"/>
    <n v="1.3207547169811321E-2"/>
    <n v="1"/>
  </r>
  <r>
    <x v="408"/>
    <x v="15"/>
    <x v="1"/>
    <n v="372"/>
    <d v="2026-04-12T00:00:00"/>
    <d v="2026-04-24T00:00:00"/>
    <d v="2026-04-21T00:00:00"/>
    <n v="368"/>
    <s v="PK-284"/>
    <n v="2"/>
    <x v="0"/>
    <s v="Y"/>
    <s v="Y"/>
    <s v="Y"/>
    <n v="9"/>
    <n v="0.989247311827957"/>
    <n v="5.434782608695652E-3"/>
    <n v="1"/>
  </r>
  <r>
    <x v="409"/>
    <x v="7"/>
    <x v="1"/>
    <n v="705"/>
    <d v="2026-01-17T00:00:00"/>
    <d v="2026-01-31T00:00:00"/>
    <d v="2026-02-04T00:00:00"/>
    <n v="695"/>
    <s v="PK-231"/>
    <n v="21"/>
    <x v="0"/>
    <s v="N"/>
    <s v="Y"/>
    <s v="N"/>
    <n v="18"/>
    <n v="0.98581560283687941"/>
    <n v="3.0215827338129497E-2"/>
    <n v="0"/>
  </r>
  <r>
    <x v="410"/>
    <x v="3"/>
    <x v="2"/>
    <n v="548"/>
    <d v="2026-02-22T00:00:00"/>
    <d v="2026-03-05T00:00:00"/>
    <d v="2026-03-12T00:00:00"/>
    <n v="444"/>
    <s v="IM-223"/>
    <n v="33"/>
    <x v="0"/>
    <s v="N"/>
    <s v="N"/>
    <s v="N"/>
    <n v="18"/>
    <n v="0.81021897810218979"/>
    <n v="7.4324324324324328E-2"/>
    <n v="0"/>
  </r>
  <r>
    <x v="411"/>
    <x v="18"/>
    <x v="2"/>
    <n v="781"/>
    <d v="2026-03-04T00:00:00"/>
    <d v="2026-03-13T00:00:00"/>
    <d v="2026-03-12T00:00:00"/>
    <n v="654"/>
    <s v="IM-175"/>
    <n v="37"/>
    <x v="0"/>
    <s v="Y"/>
    <s v="N"/>
    <s v="N"/>
    <n v="8"/>
    <n v="0.83738796414852756"/>
    <n v="5.657492354740061E-2"/>
    <n v="0"/>
  </r>
  <r>
    <x v="412"/>
    <x v="16"/>
    <x v="1"/>
    <n v="476"/>
    <d v="2026-01-08T00:00:00"/>
    <d v="2026-01-22T00:00:00"/>
    <d v="2026-01-19T00:00:00"/>
    <n v="485"/>
    <s v="PK-202"/>
    <n v="6"/>
    <x v="0"/>
    <s v="Y"/>
    <s v="Y"/>
    <s v="Y"/>
    <n v="11"/>
    <n v="1.01890756302521"/>
    <n v="1.2371134020618556E-2"/>
    <n v="1"/>
  </r>
  <r>
    <x v="413"/>
    <x v="7"/>
    <x v="0"/>
    <n v="81"/>
    <d v="2026-01-20T00:00:00"/>
    <d v="2026-01-31T00:00:00"/>
    <d v="2026-01-30T00:00:00"/>
    <n v="83"/>
    <s v="RM-255"/>
    <n v="4"/>
    <x v="0"/>
    <s v="Y"/>
    <s v="Y"/>
    <s v="Y"/>
    <n v="10"/>
    <n v="1.0246913580246915"/>
    <n v="4.8192771084337352E-2"/>
    <n v="1"/>
  </r>
  <r>
    <x v="414"/>
    <x v="15"/>
    <x v="1"/>
    <n v="632"/>
    <d v="2026-04-21T00:00:00"/>
    <d v="2026-05-06T00:00:00"/>
    <d v="2026-05-06T00:00:00"/>
    <n v="643"/>
    <s v="PK-121"/>
    <n v="6"/>
    <x v="0"/>
    <s v="Y"/>
    <s v="Y"/>
    <s v="Y"/>
    <n v="15"/>
    <n v="1.0174050632911393"/>
    <n v="9.3312597200622092E-3"/>
    <n v="1"/>
  </r>
  <r>
    <x v="415"/>
    <x v="16"/>
    <x v="2"/>
    <n v="218"/>
    <d v="2026-01-19T00:00:00"/>
    <d v="2026-01-26T00:00:00"/>
    <d v="2026-02-04T00:00:00"/>
    <n v="222"/>
    <s v="IM-268"/>
    <n v="1"/>
    <x v="0"/>
    <s v="N"/>
    <s v="Y"/>
    <s v="N"/>
    <n v="16"/>
    <n v="1.0183486238532109"/>
    <n v="4.5045045045045045E-3"/>
    <n v="0"/>
  </r>
  <r>
    <x v="416"/>
    <x v="10"/>
    <x v="0"/>
    <n v="248"/>
    <d v="2026-03-23T00:00:00"/>
    <d v="2026-04-05T00:00:00"/>
    <d v="2026-04-04T00:00:00"/>
    <n v="239"/>
    <s v="RM-167"/>
    <n v="19"/>
    <x v="0"/>
    <s v="Y"/>
    <s v="N"/>
    <s v="N"/>
    <n v="12"/>
    <n v="0.96370967741935487"/>
    <n v="7.9497907949790794E-2"/>
    <n v="0"/>
  </r>
  <r>
    <x v="417"/>
    <x v="14"/>
    <x v="1"/>
    <n v="354"/>
    <d v="2026-05-15T00:00:00"/>
    <d v="2026-05-29T00:00:00"/>
    <d v="2026-05-29T00:00:00"/>
    <n v="356"/>
    <s v="PK-209"/>
    <n v="11"/>
    <x v="0"/>
    <s v="Y"/>
    <s v="Y"/>
    <s v="Y"/>
    <n v="14"/>
    <n v="1.0056497175141244"/>
    <n v="3.0898876404494381E-2"/>
    <n v="1"/>
  </r>
  <r>
    <x v="418"/>
    <x v="2"/>
    <x v="2"/>
    <n v="916"/>
    <d v="2026-01-26T00:00:00"/>
    <d v="2026-02-01T00:00:00"/>
    <d v="2026-01-29T00:00:00"/>
    <n v="915"/>
    <s v="IM-194"/>
    <n v="7"/>
    <x v="0"/>
    <s v="Y"/>
    <s v="Y"/>
    <s v="Y"/>
    <n v="3"/>
    <n v="0.99890829694323147"/>
    <n v="7.6502732240437158E-3"/>
    <n v="1"/>
  </r>
  <r>
    <x v="419"/>
    <x v="3"/>
    <x v="0"/>
    <n v="813"/>
    <d v="2026-04-01T00:00:00"/>
    <d v="2026-04-06T00:00:00"/>
    <d v="2026-04-04T00:00:00"/>
    <n v="808"/>
    <s v="RM-214"/>
    <n v="44"/>
    <x v="0"/>
    <s v="Y"/>
    <s v="Y"/>
    <s v="Y"/>
    <n v="3"/>
    <n v="0.99384993849938497"/>
    <n v="5.4455445544554455E-2"/>
    <n v="1"/>
  </r>
  <r>
    <x v="420"/>
    <x v="2"/>
    <x v="1"/>
    <n v="185"/>
    <d v="2026-02-03T00:00:00"/>
    <d v="2026-02-14T00:00:00"/>
    <d v="2026-02-11T00:00:00"/>
    <n v="185"/>
    <s v="PK-178"/>
    <n v="9"/>
    <x v="0"/>
    <s v="Y"/>
    <s v="Y"/>
    <s v="Y"/>
    <n v="8"/>
    <n v="1"/>
    <n v="4.8648648648648651E-2"/>
    <n v="1"/>
  </r>
  <r>
    <x v="421"/>
    <x v="4"/>
    <x v="0"/>
    <n v="402"/>
    <d v="2026-02-19T00:00:00"/>
    <d v="2026-03-04T00:00:00"/>
    <d v="2026-03-02T00:00:00"/>
    <n v="399"/>
    <s v="RM-167"/>
    <n v="5"/>
    <x v="0"/>
    <s v="Y"/>
    <s v="Y"/>
    <s v="Y"/>
    <n v="11"/>
    <n v="0.9925373134328358"/>
    <n v="1.2531328320802004E-2"/>
    <n v="1"/>
  </r>
  <r>
    <x v="422"/>
    <x v="11"/>
    <x v="0"/>
    <n v="806"/>
    <d v="2026-02-02T00:00:00"/>
    <d v="2026-02-08T00:00:00"/>
    <d v="2026-02-06T00:00:00"/>
    <n v="794"/>
    <s v="RM-253"/>
    <n v="7"/>
    <x v="0"/>
    <s v="Y"/>
    <s v="Y"/>
    <s v="Y"/>
    <n v="4"/>
    <n v="0.98511166253101734"/>
    <n v="8.8161209068010078E-3"/>
    <n v="1"/>
  </r>
  <r>
    <x v="423"/>
    <x v="8"/>
    <x v="1"/>
    <n v="641"/>
    <d v="2026-01-24T00:00:00"/>
    <d v="2026-02-05T00:00:00"/>
    <d v="2026-02-05T00:00:00"/>
    <n v="629"/>
    <s v="PK-225"/>
    <n v="24"/>
    <x v="0"/>
    <s v="Y"/>
    <s v="Y"/>
    <s v="Y"/>
    <n v="12"/>
    <n v="0.98127925117004677"/>
    <n v="3.8155802861685212E-2"/>
    <n v="1"/>
  </r>
  <r>
    <x v="424"/>
    <x v="9"/>
    <x v="2"/>
    <n v="880"/>
    <d v="2026-04-20T00:00:00"/>
    <d v="2026-05-03T00:00:00"/>
    <d v="2026-05-02T00:00:00"/>
    <n v="887"/>
    <s v="IM-208"/>
    <n v="46"/>
    <x v="0"/>
    <s v="Y"/>
    <s v="Y"/>
    <s v="Y"/>
    <n v="12"/>
    <n v="1.0079545454545455"/>
    <n v="5.1860202931228859E-2"/>
    <n v="1"/>
  </r>
  <r>
    <x v="425"/>
    <x v="13"/>
    <x v="1"/>
    <n v="917"/>
    <d v="2026-01-05T00:00:00"/>
    <d v="2026-01-12T00:00:00"/>
    <d v="2026-01-17T00:00:00"/>
    <n v="919"/>
    <s v="PK-191"/>
    <n v="48"/>
    <x v="0"/>
    <s v="N"/>
    <s v="Y"/>
    <s v="N"/>
    <n v="12"/>
    <n v="1.0021810250817884"/>
    <n v="5.2230685527747553E-2"/>
    <n v="0"/>
  </r>
  <r>
    <x v="426"/>
    <x v="5"/>
    <x v="1"/>
    <n v="136"/>
    <d v="2026-01-27T00:00:00"/>
    <d v="2026-02-02T00:00:00"/>
    <d v="2026-02-09T00:00:00"/>
    <n v="110"/>
    <s v="PK-174"/>
    <n v="1"/>
    <x v="0"/>
    <s v="N"/>
    <s v="N"/>
    <s v="N"/>
    <n v="13"/>
    <n v="0.80882352941176472"/>
    <n v="9.0909090909090905E-3"/>
    <n v="0"/>
  </r>
  <r>
    <x v="427"/>
    <x v="18"/>
    <x v="1"/>
    <n v="907"/>
    <d v="2026-02-02T00:00:00"/>
    <d v="2026-02-13T00:00:00"/>
    <d v="2026-02-13T00:00:00"/>
    <n v="765"/>
    <s v="PK-110"/>
    <n v="24"/>
    <x v="0"/>
    <s v="Y"/>
    <s v="N"/>
    <s v="N"/>
    <n v="11"/>
    <n v="0.8434399117971334"/>
    <n v="3.1372549019607843E-2"/>
    <n v="0"/>
  </r>
  <r>
    <x v="428"/>
    <x v="11"/>
    <x v="0"/>
    <n v="337"/>
    <d v="2026-03-27T00:00:00"/>
    <d v="2026-04-04T00:00:00"/>
    <d v="2026-04-01T00:00:00"/>
    <n v="333"/>
    <s v="RM-138"/>
    <n v="0"/>
    <x v="0"/>
    <s v="Y"/>
    <s v="Y"/>
    <s v="Y"/>
    <n v="5"/>
    <n v="0.98813056379821962"/>
    <n v="0"/>
    <n v="1"/>
  </r>
  <r>
    <x v="429"/>
    <x v="0"/>
    <x v="1"/>
    <n v="367"/>
    <d v="2026-03-19T00:00:00"/>
    <d v="2026-04-03T00:00:00"/>
    <d v="2026-04-01T00:00:00"/>
    <n v="368"/>
    <s v="PK-137"/>
    <n v="1"/>
    <x v="0"/>
    <s v="Y"/>
    <s v="Y"/>
    <s v="Y"/>
    <n v="13"/>
    <n v="1.0027247956403269"/>
    <n v="2.717391304347826E-3"/>
    <n v="1"/>
  </r>
  <r>
    <x v="430"/>
    <x v="3"/>
    <x v="0"/>
    <n v="883"/>
    <d v="2026-04-11T00:00:00"/>
    <d v="2026-04-26T00:00:00"/>
    <d v="2026-04-24T00:00:00"/>
    <n v="897"/>
    <s v="RM-177"/>
    <n v="64"/>
    <x v="0"/>
    <s v="Y"/>
    <s v="Y"/>
    <s v="Y"/>
    <n v="13"/>
    <n v="1.0158550396375992"/>
    <n v="7.1348940914158304E-2"/>
    <n v="1"/>
  </r>
  <r>
    <x v="431"/>
    <x v="4"/>
    <x v="0"/>
    <n v="962"/>
    <d v="2026-02-11T00:00:00"/>
    <d v="2026-02-18T00:00:00"/>
    <d v="2026-02-15T00:00:00"/>
    <n v="950"/>
    <s v="RM-117"/>
    <n v="18"/>
    <x v="0"/>
    <s v="Y"/>
    <s v="Y"/>
    <s v="Y"/>
    <n v="4"/>
    <n v="0.98752598752598753"/>
    <n v="1.8947368421052633E-2"/>
    <n v="1"/>
  </r>
  <r>
    <x v="432"/>
    <x v="17"/>
    <x v="0"/>
    <n v="743"/>
    <d v="2026-05-08T00:00:00"/>
    <d v="2026-05-15T00:00:00"/>
    <d v="2026-05-14T00:00:00"/>
    <n v="737"/>
    <s v="RM-293"/>
    <n v="2"/>
    <x v="0"/>
    <s v="Y"/>
    <s v="Y"/>
    <s v="Y"/>
    <n v="6"/>
    <n v="0.99192462987886942"/>
    <n v="2.7137042062415195E-3"/>
    <n v="1"/>
  </r>
  <r>
    <x v="433"/>
    <x v="7"/>
    <x v="1"/>
    <n v="844"/>
    <d v="2026-02-08T00:00:00"/>
    <d v="2026-02-20T00:00:00"/>
    <d v="2026-02-24T00:00:00"/>
    <n v="830"/>
    <s v="PK-288"/>
    <n v="31"/>
    <x v="0"/>
    <s v="N"/>
    <s v="Y"/>
    <s v="N"/>
    <n v="16"/>
    <n v="0.98341232227488151"/>
    <n v="3.7349397590361447E-2"/>
    <n v="0"/>
  </r>
  <r>
    <x v="434"/>
    <x v="4"/>
    <x v="0"/>
    <n v="508"/>
    <d v="2026-05-28T00:00:00"/>
    <d v="2026-06-05T00:00:00"/>
    <d v="2026-06-05T00:00:00"/>
    <n v="509"/>
    <s v="RM-139"/>
    <n v="4"/>
    <x v="0"/>
    <s v="Y"/>
    <s v="Y"/>
    <s v="Y"/>
    <n v="8"/>
    <n v="1.0019685039370079"/>
    <n v="7.8585461689587421E-3"/>
    <n v="1"/>
  </r>
  <r>
    <x v="435"/>
    <x v="18"/>
    <x v="1"/>
    <n v="84"/>
    <d v="2026-05-15T00:00:00"/>
    <d v="2026-05-20T00:00:00"/>
    <d v="2026-05-19T00:00:00"/>
    <n v="68"/>
    <s v="PK-200"/>
    <n v="3"/>
    <x v="0"/>
    <s v="Y"/>
    <s v="N"/>
    <s v="N"/>
    <n v="4"/>
    <n v="0.80952380952380953"/>
    <n v="4.4117647058823532E-2"/>
    <n v="0"/>
  </r>
  <r>
    <x v="436"/>
    <x v="3"/>
    <x v="1"/>
    <n v="84"/>
    <d v="2026-05-31T00:00:00"/>
    <d v="2026-06-09T00:00:00"/>
    <d v="2026-06-15T00:00:00"/>
    <n v="69"/>
    <s v="PK-150"/>
    <n v="3"/>
    <x v="0"/>
    <s v="N"/>
    <s v="N"/>
    <s v="N"/>
    <n v="15"/>
    <n v="0.8214285714285714"/>
    <n v="4.3478260869565216E-2"/>
    <n v="0"/>
  </r>
  <r>
    <x v="437"/>
    <x v="0"/>
    <x v="0"/>
    <n v="646"/>
    <d v="2026-03-30T00:00:00"/>
    <d v="2026-04-11T00:00:00"/>
    <d v="2026-04-10T00:00:00"/>
    <n v="647"/>
    <s v="RM-140"/>
    <n v="4"/>
    <x v="0"/>
    <s v="Y"/>
    <s v="Y"/>
    <s v="Y"/>
    <n v="11"/>
    <n v="1.0015479876160991"/>
    <n v="6.1823802163833074E-3"/>
    <n v="1"/>
  </r>
  <r>
    <x v="438"/>
    <x v="11"/>
    <x v="1"/>
    <n v="640"/>
    <d v="2026-05-19T00:00:00"/>
    <d v="2026-05-24T00:00:00"/>
    <d v="2026-05-31T00:00:00"/>
    <n v="644"/>
    <s v="PK-100"/>
    <n v="1"/>
    <x v="0"/>
    <s v="N"/>
    <s v="Y"/>
    <s v="N"/>
    <n v="12"/>
    <n v="1.0062500000000001"/>
    <n v="1.5527950310559005E-3"/>
    <n v="0"/>
  </r>
  <r>
    <x v="439"/>
    <x v="10"/>
    <x v="1"/>
    <n v="375"/>
    <d v="2026-03-18T00:00:00"/>
    <d v="2026-03-31T00:00:00"/>
    <d v="2026-03-28T00:00:00"/>
    <n v="376"/>
    <s v="PK-208"/>
    <n v="17"/>
    <x v="0"/>
    <s v="Y"/>
    <s v="Y"/>
    <s v="Y"/>
    <n v="10"/>
    <n v="1.0026666666666666"/>
    <n v="4.5212765957446811E-2"/>
    <n v="1"/>
  </r>
  <r>
    <x v="440"/>
    <x v="9"/>
    <x v="1"/>
    <n v="87"/>
    <d v="2026-04-05T00:00:00"/>
    <d v="2026-04-20T00:00:00"/>
    <d v="2026-04-20T00:00:00"/>
    <n v="88"/>
    <s v="PK-226"/>
    <n v="3"/>
    <x v="0"/>
    <s v="Y"/>
    <s v="Y"/>
    <s v="Y"/>
    <n v="15"/>
    <n v="1.0114942528735633"/>
    <n v="3.4090909090909088E-2"/>
    <n v="1"/>
  </r>
  <r>
    <x v="441"/>
    <x v="19"/>
    <x v="0"/>
    <n v="960"/>
    <d v="2026-03-03T00:00:00"/>
    <d v="2026-03-17T00:00:00"/>
    <d v="2026-03-26T00:00:00"/>
    <n v="824"/>
    <s v="RM-267"/>
    <n v="13"/>
    <x v="0"/>
    <s v="N"/>
    <s v="N"/>
    <s v="N"/>
    <n v="23"/>
    <n v="0.85833333333333328"/>
    <n v="1.5776699029126214E-2"/>
    <n v="0"/>
  </r>
  <r>
    <x v="442"/>
    <x v="8"/>
    <x v="0"/>
    <n v="506"/>
    <d v="2026-05-18T00:00:00"/>
    <d v="2026-05-27T00:00:00"/>
    <m/>
    <m/>
    <s v="RM-270"/>
    <m/>
    <x v="1"/>
    <s v="N/A"/>
    <s v="N/A"/>
    <s v="N/A"/>
    <s v="N/A"/>
    <s v="N/A"/>
    <s v="N/A"/>
    <s v=""/>
  </r>
  <r>
    <x v="443"/>
    <x v="5"/>
    <x v="0"/>
    <n v="320"/>
    <d v="2026-03-08T00:00:00"/>
    <d v="2026-03-19T00:00:00"/>
    <d v="2026-03-19T00:00:00"/>
    <n v="315"/>
    <s v="RM-278"/>
    <n v="3"/>
    <x v="0"/>
    <s v="Y"/>
    <s v="Y"/>
    <s v="Y"/>
    <n v="11"/>
    <n v="0.984375"/>
    <n v="9.5238095238095247E-3"/>
    <n v="1"/>
  </r>
  <r>
    <x v="444"/>
    <x v="10"/>
    <x v="1"/>
    <n v="630"/>
    <d v="2026-04-06T00:00:00"/>
    <d v="2026-04-18T00:00:00"/>
    <d v="2026-04-16T00:00:00"/>
    <n v="638"/>
    <s v="PK-133"/>
    <n v="19"/>
    <x v="0"/>
    <s v="Y"/>
    <s v="Y"/>
    <s v="Y"/>
    <n v="10"/>
    <n v="1.0126984126984127"/>
    <n v="2.9780564263322883E-2"/>
    <n v="1"/>
  </r>
  <r>
    <x v="445"/>
    <x v="14"/>
    <x v="2"/>
    <n v="477"/>
    <d v="2026-03-13T00:00:00"/>
    <d v="2026-03-18T00:00:00"/>
    <d v="2026-03-22T00:00:00"/>
    <n v="482"/>
    <s v="IM-260"/>
    <n v="20"/>
    <x v="0"/>
    <s v="N"/>
    <s v="Y"/>
    <s v="N"/>
    <n v="9"/>
    <n v="1.0104821802935011"/>
    <n v="4.1493775933609957E-2"/>
    <n v="0"/>
  </r>
  <r>
    <x v="446"/>
    <x v="4"/>
    <x v="0"/>
    <n v="835"/>
    <d v="2026-02-16T00:00:00"/>
    <d v="2026-02-28T00:00:00"/>
    <d v="2026-03-04T00:00:00"/>
    <n v="745"/>
    <s v="RM-293"/>
    <n v="17"/>
    <x v="0"/>
    <s v="N"/>
    <s v="N"/>
    <s v="N"/>
    <n v="16"/>
    <n v="0.89221556886227549"/>
    <n v="2.2818791946308724E-2"/>
    <n v="0"/>
  </r>
  <r>
    <x v="447"/>
    <x v="11"/>
    <x v="1"/>
    <n v="962"/>
    <d v="2026-04-13T00:00:00"/>
    <d v="2026-04-27T00:00:00"/>
    <d v="2026-05-04T00:00:00"/>
    <n v="979"/>
    <s v="PK-248"/>
    <n v="14"/>
    <x v="0"/>
    <s v="N"/>
    <s v="Y"/>
    <s v="N"/>
    <n v="21"/>
    <n v="1.0176715176715176"/>
    <n v="1.4300306435137897E-2"/>
    <n v="0"/>
  </r>
  <r>
    <x v="448"/>
    <x v="9"/>
    <x v="1"/>
    <n v="384"/>
    <d v="2026-04-14T00:00:00"/>
    <d v="2026-04-23T00:00:00"/>
    <d v="2026-04-23T00:00:00"/>
    <n v="382"/>
    <s v="PK-231"/>
    <n v="4"/>
    <x v="0"/>
    <s v="Y"/>
    <s v="Y"/>
    <s v="Y"/>
    <n v="9"/>
    <n v="0.99479166666666663"/>
    <n v="1.0471204188481676E-2"/>
    <n v="1"/>
  </r>
  <r>
    <x v="449"/>
    <x v="11"/>
    <x v="2"/>
    <n v="693"/>
    <d v="2026-04-16T00:00:00"/>
    <d v="2026-04-24T00:00:00"/>
    <d v="2026-04-22T00:00:00"/>
    <n v="701"/>
    <s v="IM-224"/>
    <n v="5"/>
    <x v="0"/>
    <s v="Y"/>
    <s v="Y"/>
    <s v="Y"/>
    <n v="6"/>
    <n v="1.0115440115440115"/>
    <n v="7.1326676176890159E-3"/>
    <n v="1"/>
  </r>
  <r>
    <x v="450"/>
    <x v="10"/>
    <x v="1"/>
    <n v="225"/>
    <d v="2026-05-28T00:00:00"/>
    <d v="2026-06-12T00:00:00"/>
    <d v="2026-06-13T00:00:00"/>
    <n v="228"/>
    <s v="PK-130"/>
    <n v="10"/>
    <x v="0"/>
    <s v="N"/>
    <s v="Y"/>
    <s v="N"/>
    <n v="16"/>
    <n v="1.0133333333333334"/>
    <n v="4.3859649122807015E-2"/>
    <n v="0"/>
  </r>
  <r>
    <x v="451"/>
    <x v="9"/>
    <x v="1"/>
    <n v="755"/>
    <d v="2026-05-31T00:00:00"/>
    <d v="2026-06-06T00:00:00"/>
    <d v="2026-06-14T00:00:00"/>
    <n v="765"/>
    <s v="PK-154"/>
    <n v="50"/>
    <x v="0"/>
    <s v="N"/>
    <s v="Y"/>
    <s v="N"/>
    <n v="14"/>
    <n v="1.0132450331125828"/>
    <n v="6.535947712418301E-2"/>
    <n v="0"/>
  </r>
  <r>
    <x v="452"/>
    <x v="9"/>
    <x v="2"/>
    <n v="737"/>
    <d v="2026-03-29T00:00:00"/>
    <d v="2026-04-04T00:00:00"/>
    <d v="2026-04-05T00:00:00"/>
    <n v="733"/>
    <s v="IM-276"/>
    <n v="6"/>
    <x v="0"/>
    <s v="N"/>
    <s v="Y"/>
    <s v="N"/>
    <n v="7"/>
    <n v="0.99457259158751699"/>
    <n v="8.1855388813096858E-3"/>
    <n v="0"/>
  </r>
  <r>
    <x v="453"/>
    <x v="0"/>
    <x v="1"/>
    <n v="734"/>
    <d v="2026-05-06T00:00:00"/>
    <d v="2026-05-13T00:00:00"/>
    <d v="2026-05-11T00:00:00"/>
    <n v="739"/>
    <s v="PK-175"/>
    <n v="11"/>
    <x v="0"/>
    <s v="Y"/>
    <s v="Y"/>
    <s v="Y"/>
    <n v="5"/>
    <n v="1.0068119891008174"/>
    <n v="1.4884979702300407E-2"/>
    <n v="1"/>
  </r>
  <r>
    <x v="454"/>
    <x v="18"/>
    <x v="0"/>
    <n v="564"/>
    <d v="2026-02-09T00:00:00"/>
    <d v="2026-02-23T00:00:00"/>
    <d v="2026-02-21T00:00:00"/>
    <n v="497"/>
    <s v="RM-189"/>
    <n v="23"/>
    <x v="0"/>
    <s v="Y"/>
    <s v="N"/>
    <s v="N"/>
    <n v="12"/>
    <n v="0.88120567375886527"/>
    <n v="4.6277665995975853E-2"/>
    <n v="0"/>
  </r>
  <r>
    <x v="455"/>
    <x v="8"/>
    <x v="0"/>
    <n v="409"/>
    <d v="2026-05-07T00:00:00"/>
    <d v="2026-05-15T00:00:00"/>
    <d v="2026-05-14T00:00:00"/>
    <n v="407"/>
    <s v="RM-160"/>
    <n v="20"/>
    <x v="0"/>
    <s v="Y"/>
    <s v="Y"/>
    <s v="Y"/>
    <n v="7"/>
    <n v="0.99511002444987773"/>
    <n v="4.9140049140049137E-2"/>
    <n v="1"/>
  </r>
  <r>
    <x v="456"/>
    <x v="17"/>
    <x v="1"/>
    <n v="915"/>
    <d v="2026-01-26T00:00:00"/>
    <d v="2026-02-09T00:00:00"/>
    <d v="2026-02-07T00:00:00"/>
    <n v="801"/>
    <s v="PK-174"/>
    <n v="16"/>
    <x v="0"/>
    <s v="Y"/>
    <s v="N"/>
    <s v="N"/>
    <n v="12"/>
    <n v="0.87540983606557377"/>
    <n v="1.9975031210986267E-2"/>
    <n v="0"/>
  </r>
  <r>
    <x v="457"/>
    <x v="14"/>
    <x v="2"/>
    <n v="243"/>
    <d v="2026-04-10T00:00:00"/>
    <d v="2026-04-15T00:00:00"/>
    <d v="2026-04-13T00:00:00"/>
    <n v="238"/>
    <s v="IM-283"/>
    <n v="4"/>
    <x v="0"/>
    <s v="Y"/>
    <s v="N"/>
    <s v="N"/>
    <n v="3"/>
    <n v="0.97942386831275718"/>
    <n v="1.680672268907563E-2"/>
    <n v="0"/>
  </r>
  <r>
    <x v="458"/>
    <x v="19"/>
    <x v="1"/>
    <n v="172"/>
    <d v="2026-01-21T00:00:00"/>
    <d v="2026-01-28T00:00:00"/>
    <d v="2026-01-27T00:00:00"/>
    <n v="170"/>
    <s v="PK-139"/>
    <n v="3"/>
    <x v="0"/>
    <s v="Y"/>
    <s v="Y"/>
    <s v="Y"/>
    <n v="6"/>
    <n v="0.98837209302325579"/>
    <n v="1.7647058823529412E-2"/>
    <n v="1"/>
  </r>
  <r>
    <x v="459"/>
    <x v="7"/>
    <x v="1"/>
    <n v="966"/>
    <d v="2026-05-02T00:00:00"/>
    <d v="2026-05-10T00:00:00"/>
    <d v="2026-05-10T00:00:00"/>
    <n v="951"/>
    <s v="PK-259"/>
    <n v="39"/>
    <x v="0"/>
    <s v="Y"/>
    <s v="Y"/>
    <s v="Y"/>
    <n v="8"/>
    <n v="0.98447204968944102"/>
    <n v="4.1009463722397478E-2"/>
    <n v="1"/>
  </r>
  <r>
    <x v="460"/>
    <x v="10"/>
    <x v="0"/>
    <n v="553"/>
    <d v="2026-05-28T00:00:00"/>
    <d v="2026-06-11T00:00:00"/>
    <d v="2026-06-10T00:00:00"/>
    <n v="552"/>
    <s v="RM-289"/>
    <n v="35"/>
    <x v="0"/>
    <s v="Y"/>
    <s v="Y"/>
    <s v="Y"/>
    <n v="13"/>
    <n v="0.99819168173598549"/>
    <n v="6.3405797101449279E-2"/>
    <n v="1"/>
  </r>
  <r>
    <x v="461"/>
    <x v="4"/>
    <x v="0"/>
    <n v="615"/>
    <d v="2026-01-17T00:00:00"/>
    <d v="2026-01-26T00:00:00"/>
    <d v="2026-01-23T00:00:00"/>
    <n v="626"/>
    <s v="RM-248"/>
    <n v="6"/>
    <x v="0"/>
    <s v="Y"/>
    <s v="Y"/>
    <s v="Y"/>
    <n v="6"/>
    <n v="1.0178861788617886"/>
    <n v="9.5846645367412137E-3"/>
    <n v="1"/>
  </r>
  <r>
    <x v="462"/>
    <x v="5"/>
    <x v="1"/>
    <n v="355"/>
    <d v="2026-05-05T00:00:00"/>
    <d v="2026-05-10T00:00:00"/>
    <d v="2026-05-08T00:00:00"/>
    <n v="357"/>
    <s v="PK-214"/>
    <n v="2"/>
    <x v="0"/>
    <s v="Y"/>
    <s v="Y"/>
    <s v="Y"/>
    <n v="3"/>
    <n v="1.0056338028169014"/>
    <n v="5.6022408963585435E-3"/>
    <n v="1"/>
  </r>
  <r>
    <x v="463"/>
    <x v="17"/>
    <x v="1"/>
    <n v="988"/>
    <d v="2026-03-26T00:00:00"/>
    <d v="2026-04-05T00:00:00"/>
    <d v="2026-04-02T00:00:00"/>
    <n v="981"/>
    <s v="PK-149"/>
    <n v="38"/>
    <x v="0"/>
    <s v="Y"/>
    <s v="Y"/>
    <s v="Y"/>
    <n v="7"/>
    <n v="0.99291497975708498"/>
    <n v="3.8735983690112129E-2"/>
    <n v="1"/>
  </r>
  <r>
    <x v="464"/>
    <x v="15"/>
    <x v="0"/>
    <n v="672"/>
    <d v="2026-02-10T00:00:00"/>
    <d v="2026-02-19T00:00:00"/>
    <d v="2026-02-22T00:00:00"/>
    <n v="668"/>
    <s v="RM-245"/>
    <n v="12"/>
    <x v="0"/>
    <s v="N"/>
    <s v="Y"/>
    <s v="N"/>
    <n v="12"/>
    <n v="0.99404761904761907"/>
    <n v="1.7964071856287425E-2"/>
    <n v="0"/>
  </r>
  <r>
    <x v="465"/>
    <x v="0"/>
    <x v="1"/>
    <n v="125"/>
    <d v="2026-05-02T00:00:00"/>
    <d v="2026-05-13T00:00:00"/>
    <d v="2026-05-13T00:00:00"/>
    <n v="116"/>
    <s v="PK-216"/>
    <n v="2"/>
    <x v="0"/>
    <s v="Y"/>
    <s v="N"/>
    <s v="N"/>
    <n v="11"/>
    <n v="0.92800000000000005"/>
    <n v="1.7241379310344827E-2"/>
    <n v="0"/>
  </r>
  <r>
    <x v="466"/>
    <x v="12"/>
    <x v="0"/>
    <n v="616"/>
    <d v="2026-01-13T00:00:00"/>
    <d v="2026-01-25T00:00:00"/>
    <d v="2026-01-24T00:00:00"/>
    <n v="519"/>
    <s v="RM-175"/>
    <n v="0"/>
    <x v="0"/>
    <s v="Y"/>
    <s v="N"/>
    <s v="N"/>
    <n v="11"/>
    <n v="0.84253246753246758"/>
    <n v="0"/>
    <n v="0"/>
  </r>
  <r>
    <x v="467"/>
    <x v="5"/>
    <x v="0"/>
    <n v="176"/>
    <d v="2026-06-02T00:00:00"/>
    <d v="2026-06-07T00:00:00"/>
    <d v="2026-06-10T00:00:00"/>
    <n v="177"/>
    <s v="RM-257"/>
    <n v="2"/>
    <x v="0"/>
    <s v="N"/>
    <s v="Y"/>
    <s v="N"/>
    <n v="8"/>
    <n v="1.0056818181818181"/>
    <n v="1.1299435028248588E-2"/>
    <n v="0"/>
  </r>
  <r>
    <x v="468"/>
    <x v="3"/>
    <x v="0"/>
    <n v="747"/>
    <d v="2026-01-11T00:00:00"/>
    <d v="2026-01-21T00:00:00"/>
    <d v="2026-01-25T00:00:00"/>
    <n v="643"/>
    <s v="RM-252"/>
    <n v="24"/>
    <x v="0"/>
    <s v="N"/>
    <s v="N"/>
    <s v="N"/>
    <n v="14"/>
    <n v="0.86077643908969215"/>
    <n v="3.7325038880248837E-2"/>
    <n v="0"/>
  </r>
  <r>
    <x v="469"/>
    <x v="9"/>
    <x v="1"/>
    <n v="183"/>
    <d v="2026-01-08T00:00:00"/>
    <d v="2026-01-22T00:00:00"/>
    <d v="2026-01-19T00:00:00"/>
    <n v="184"/>
    <s v="PK-271"/>
    <n v="8"/>
    <x v="0"/>
    <s v="Y"/>
    <s v="Y"/>
    <s v="Y"/>
    <n v="11"/>
    <n v="1.0054644808743169"/>
    <n v="4.3478260869565216E-2"/>
    <n v="1"/>
  </r>
  <r>
    <x v="470"/>
    <x v="16"/>
    <x v="0"/>
    <n v="553"/>
    <d v="2026-04-04T00:00:00"/>
    <d v="2026-04-13T00:00:00"/>
    <d v="2026-04-12T00:00:00"/>
    <n v="557"/>
    <s v="RM-282"/>
    <n v="1"/>
    <x v="0"/>
    <s v="Y"/>
    <s v="Y"/>
    <s v="Y"/>
    <n v="8"/>
    <n v="1.0072332730560578"/>
    <n v="1.7953321364452424E-3"/>
    <n v="1"/>
  </r>
  <r>
    <x v="471"/>
    <x v="10"/>
    <x v="0"/>
    <n v="263"/>
    <d v="2026-04-20T00:00:00"/>
    <d v="2026-04-29T00:00:00"/>
    <d v="2026-04-27T00:00:00"/>
    <n v="264"/>
    <s v="RM-156"/>
    <n v="17"/>
    <x v="0"/>
    <s v="Y"/>
    <s v="Y"/>
    <s v="Y"/>
    <n v="7"/>
    <n v="1.0038022813688212"/>
    <n v="6.4393939393939392E-2"/>
    <n v="1"/>
  </r>
  <r>
    <x v="472"/>
    <x v="19"/>
    <x v="1"/>
    <n v="707"/>
    <d v="2026-03-29T00:00:00"/>
    <d v="2026-04-04T00:00:00"/>
    <d v="2026-04-12T00:00:00"/>
    <n v="702"/>
    <s v="unknown_SKU"/>
    <n v="33"/>
    <x v="0"/>
    <s v="N"/>
    <s v="Y"/>
    <s v="N"/>
    <n v="14"/>
    <n v="0.99292786421499291"/>
    <n v="4.7008547008547008E-2"/>
    <n v="0"/>
  </r>
  <r>
    <x v="473"/>
    <x v="6"/>
    <x v="0"/>
    <n v="131"/>
    <d v="2026-03-29T00:00:00"/>
    <d v="2026-04-03T00:00:00"/>
    <d v="2026-03-31T00:00:00"/>
    <n v="130"/>
    <s v="RM-200"/>
    <n v="1"/>
    <x v="0"/>
    <s v="Y"/>
    <s v="Y"/>
    <s v="Y"/>
    <n v="2"/>
    <n v="0.99236641221374045"/>
    <n v="7.6923076923076927E-3"/>
    <n v="1"/>
  </r>
  <r>
    <x v="474"/>
    <x v="11"/>
    <x v="0"/>
    <n v="289"/>
    <d v="2026-02-24T00:00:00"/>
    <d v="2026-03-02T00:00:00"/>
    <m/>
    <m/>
    <s v="RM-294"/>
    <m/>
    <x v="1"/>
    <s v="N/A"/>
    <s v="N/A"/>
    <s v="N/A"/>
    <s v="N/A"/>
    <s v="N/A"/>
    <s v="N/A"/>
    <s v=""/>
  </r>
  <r>
    <x v="475"/>
    <x v="0"/>
    <x v="0"/>
    <n v="979"/>
    <d v="2026-01-07T00:00:00"/>
    <d v="2026-01-12T00:00:00"/>
    <d v="2026-01-14T00:00:00"/>
    <n v="981"/>
    <s v="RM-104"/>
    <n v="31"/>
    <x v="0"/>
    <s v="N"/>
    <s v="Y"/>
    <s v="N"/>
    <n v="7"/>
    <n v="1.0020429009193055"/>
    <n v="3.1600407747196739E-2"/>
    <n v="0"/>
  </r>
  <r>
    <x v="476"/>
    <x v="7"/>
    <x v="0"/>
    <n v="600"/>
    <d v="2026-02-15T00:00:00"/>
    <d v="2026-02-24T00:00:00"/>
    <d v="2026-02-21T00:00:00"/>
    <n v="540"/>
    <s v="RM-171"/>
    <n v="35"/>
    <x v="0"/>
    <s v="Y"/>
    <s v="N"/>
    <s v="N"/>
    <n v="6"/>
    <n v="0.9"/>
    <n v="6.4814814814814811E-2"/>
    <n v="0"/>
  </r>
  <r>
    <x v="477"/>
    <x v="8"/>
    <x v="2"/>
    <n v="565"/>
    <d v="2026-01-29T00:00:00"/>
    <d v="2026-02-13T00:00:00"/>
    <d v="2026-02-21T00:00:00"/>
    <n v="560"/>
    <s v="IM-171"/>
    <n v="12"/>
    <x v="0"/>
    <s v="N"/>
    <s v="Y"/>
    <s v="N"/>
    <n v="23"/>
    <n v="0.99115044247787609"/>
    <n v="2.1428571428571429E-2"/>
    <n v="0"/>
  </r>
  <r>
    <x v="478"/>
    <x v="19"/>
    <x v="2"/>
    <n v="540"/>
    <d v="2026-04-09T00:00:00"/>
    <d v="2026-04-20T00:00:00"/>
    <d v="2026-04-17T00:00:00"/>
    <n v="541"/>
    <s v="IM-123"/>
    <n v="16"/>
    <x v="0"/>
    <s v="Y"/>
    <s v="Y"/>
    <s v="Y"/>
    <n v="8"/>
    <n v="1.0018518518518518"/>
    <n v="2.9574861367837338E-2"/>
    <n v="1"/>
  </r>
  <r>
    <x v="479"/>
    <x v="2"/>
    <x v="1"/>
    <n v="353"/>
    <d v="2026-01-28T00:00:00"/>
    <d v="2026-02-02T00:00:00"/>
    <d v="2026-01-30T00:00:00"/>
    <n v="355"/>
    <s v="PK-146"/>
    <n v="0"/>
    <x v="0"/>
    <s v="Y"/>
    <s v="Y"/>
    <s v="Y"/>
    <n v="2"/>
    <n v="1.0056657223796035"/>
    <n v="0"/>
    <n v="1"/>
  </r>
  <r>
    <x v="480"/>
    <x v="19"/>
    <x v="2"/>
    <n v="214"/>
    <d v="2026-03-25T00:00:00"/>
    <d v="2026-03-31T00:00:00"/>
    <d v="2026-03-28T00:00:00"/>
    <n v="213"/>
    <s v="IM-241"/>
    <n v="11"/>
    <x v="0"/>
    <s v="Y"/>
    <s v="Y"/>
    <s v="Y"/>
    <n v="3"/>
    <n v="0.99532710280373837"/>
    <n v="5.1643192488262914E-2"/>
    <n v="1"/>
  </r>
  <r>
    <x v="481"/>
    <x v="13"/>
    <x v="0"/>
    <n v="585"/>
    <d v="2026-03-14T00:00:00"/>
    <d v="2026-03-22T00:00:00"/>
    <d v="2026-03-22T00:00:00"/>
    <n v="582"/>
    <s v="RM-163"/>
    <n v="5"/>
    <x v="0"/>
    <s v="Y"/>
    <s v="Y"/>
    <s v="Y"/>
    <n v="8"/>
    <n v="0.99487179487179489"/>
    <n v="8.5910652920962206E-3"/>
    <n v="1"/>
  </r>
  <r>
    <x v="482"/>
    <x v="19"/>
    <x v="1"/>
    <n v="887"/>
    <d v="2026-01-18T00:00:00"/>
    <d v="2026-01-27T00:00:00"/>
    <d v="2026-02-03T00:00:00"/>
    <n v="899"/>
    <s v="PK-119"/>
    <n v="17"/>
    <x v="0"/>
    <s v="N"/>
    <s v="Y"/>
    <s v="N"/>
    <n v="16"/>
    <n v="1.0135287485907554"/>
    <n v="1.8909899888765295E-2"/>
    <n v="0"/>
  </r>
  <r>
    <x v="483"/>
    <x v="5"/>
    <x v="1"/>
    <n v="190"/>
    <d v="2026-03-13T00:00:00"/>
    <d v="2026-03-21T00:00:00"/>
    <d v="2026-03-18T00:00:00"/>
    <n v="192"/>
    <s v="PK-116"/>
    <n v="2"/>
    <x v="0"/>
    <s v="Y"/>
    <s v="Y"/>
    <s v="Y"/>
    <n v="5"/>
    <n v="1.0105263157894737"/>
    <n v="1.0416666666666666E-2"/>
    <n v="1"/>
  </r>
  <r>
    <x v="484"/>
    <x v="18"/>
    <x v="2"/>
    <n v="352"/>
    <d v="2026-05-06T00:00:00"/>
    <d v="2026-05-11T00:00:00"/>
    <d v="2026-05-10T00:00:00"/>
    <n v="352"/>
    <s v="IM-149"/>
    <n v="7"/>
    <x v="0"/>
    <s v="Y"/>
    <s v="Y"/>
    <s v="Y"/>
    <n v="4"/>
    <n v="1"/>
    <n v="1.9886363636363636E-2"/>
    <n v="1"/>
  </r>
  <r>
    <x v="485"/>
    <x v="2"/>
    <x v="0"/>
    <n v="550"/>
    <d v="2026-05-29T00:00:00"/>
    <d v="2026-06-12T00:00:00"/>
    <d v="2026-06-09T00:00:00"/>
    <n v="558"/>
    <s v="RM-278"/>
    <n v="22"/>
    <x v="0"/>
    <s v="Y"/>
    <s v="Y"/>
    <s v="Y"/>
    <n v="11"/>
    <n v="1.0145454545454546"/>
    <n v="3.9426523297491037E-2"/>
    <n v="1"/>
  </r>
  <r>
    <x v="486"/>
    <x v="13"/>
    <x v="0"/>
    <n v="557"/>
    <d v="2026-03-01T00:00:00"/>
    <d v="2026-03-09T00:00:00"/>
    <d v="2026-03-08T00:00:00"/>
    <n v="553"/>
    <s v="RM-103"/>
    <n v="27"/>
    <x v="0"/>
    <s v="Y"/>
    <s v="Y"/>
    <s v="Y"/>
    <n v="7"/>
    <n v="0.99281867145421898"/>
    <n v="4.8824593128390596E-2"/>
    <n v="1"/>
  </r>
  <r>
    <x v="487"/>
    <x v="1"/>
    <x v="0"/>
    <n v="548"/>
    <d v="2026-02-27T00:00:00"/>
    <d v="2026-03-13T00:00:00"/>
    <d v="2026-03-13T00:00:00"/>
    <n v="557"/>
    <s v="RM-108"/>
    <n v="4"/>
    <x v="0"/>
    <s v="Y"/>
    <s v="Y"/>
    <s v="Y"/>
    <n v="14"/>
    <n v="1.0164233576642336"/>
    <n v="7.1813285457809697E-3"/>
    <n v="1"/>
  </r>
  <r>
    <x v="488"/>
    <x v="0"/>
    <x v="2"/>
    <n v="414"/>
    <d v="2026-04-18T00:00:00"/>
    <d v="2026-04-26T00:00:00"/>
    <d v="2026-05-05T00:00:00"/>
    <n v="413"/>
    <s v="IM-284"/>
    <n v="9"/>
    <x v="0"/>
    <s v="N"/>
    <s v="Y"/>
    <s v="N"/>
    <n v="17"/>
    <n v="0.99758454106280192"/>
    <n v="2.1791767554479417E-2"/>
    <n v="0"/>
  </r>
  <r>
    <x v="489"/>
    <x v="14"/>
    <x v="1"/>
    <n v="854"/>
    <d v="2026-02-22T00:00:00"/>
    <d v="2026-02-28T00:00:00"/>
    <d v="2026-02-25T00:00:00"/>
    <n v="745"/>
    <s v="PK-123"/>
    <n v="7"/>
    <x v="0"/>
    <s v="Y"/>
    <s v="N"/>
    <s v="N"/>
    <n v="3"/>
    <n v="0.8723653395784543"/>
    <n v="9.3959731543624154E-3"/>
    <n v="0"/>
  </r>
  <r>
    <x v="490"/>
    <x v="3"/>
    <x v="0"/>
    <n v="904"/>
    <d v="2026-02-20T00:00:00"/>
    <d v="2026-03-07T00:00:00"/>
    <d v="2026-03-04T00:00:00"/>
    <n v="821"/>
    <s v="RM-212"/>
    <n v="37"/>
    <x v="0"/>
    <s v="Y"/>
    <s v="N"/>
    <s v="N"/>
    <n v="12"/>
    <n v="0.9081858407079646"/>
    <n v="4.5066991473812421E-2"/>
    <n v="0"/>
  </r>
  <r>
    <x v="491"/>
    <x v="10"/>
    <x v="0"/>
    <n v="873"/>
    <d v="2026-02-09T00:00:00"/>
    <d v="2026-02-18T00:00:00"/>
    <d v="2026-02-17T00:00:00"/>
    <n v="858"/>
    <s v="RM-112"/>
    <n v="82"/>
    <x v="0"/>
    <s v="Y"/>
    <s v="Y"/>
    <s v="Y"/>
    <n v="8"/>
    <n v="0.98281786941580751"/>
    <n v="9.5571095571095568E-2"/>
    <n v="1"/>
  </r>
  <r>
    <x v="492"/>
    <x v="5"/>
    <x v="2"/>
    <n v="984"/>
    <d v="2026-01-13T00:00:00"/>
    <d v="2026-01-24T00:00:00"/>
    <d v="2026-01-27T00:00:00"/>
    <n v="983"/>
    <s v="IM-208"/>
    <n v="8"/>
    <x v="0"/>
    <s v="N"/>
    <s v="Y"/>
    <s v="N"/>
    <n v="14"/>
    <n v="0.99898373983739841"/>
    <n v="8.1383519837232958E-3"/>
    <n v="0"/>
  </r>
  <r>
    <x v="493"/>
    <x v="14"/>
    <x v="0"/>
    <n v="698"/>
    <d v="2026-05-19T00:00:00"/>
    <d v="2026-05-28T00:00:00"/>
    <d v="2026-05-25T00:00:00"/>
    <n v="703"/>
    <s v="RM-227"/>
    <n v="10"/>
    <x v="0"/>
    <s v="Y"/>
    <s v="Y"/>
    <s v="Y"/>
    <n v="6"/>
    <n v="1.0071633237822351"/>
    <n v="1.422475106685633E-2"/>
    <n v="1"/>
  </r>
  <r>
    <x v="494"/>
    <x v="7"/>
    <x v="0"/>
    <n v="487"/>
    <d v="2026-04-13T00:00:00"/>
    <d v="2026-04-19T00:00:00"/>
    <d v="2026-04-17T00:00:00"/>
    <n v="442"/>
    <s v="RM-125"/>
    <n v="6"/>
    <x v="0"/>
    <s v="Y"/>
    <s v="N"/>
    <s v="N"/>
    <n v="4"/>
    <n v="0.9075975359342916"/>
    <n v="1.3574660633484163E-2"/>
    <n v="0"/>
  </r>
  <r>
    <x v="495"/>
    <x v="6"/>
    <x v="2"/>
    <n v="793"/>
    <d v="2026-05-17T00:00:00"/>
    <d v="2026-05-22T00:00:00"/>
    <d v="2026-05-20T00:00:00"/>
    <n v="803"/>
    <s v="IM-184"/>
    <n v="42"/>
    <x v="0"/>
    <s v="Y"/>
    <s v="Y"/>
    <s v="Y"/>
    <n v="3"/>
    <n v="1.0126103404791928"/>
    <n v="5.2303860523038606E-2"/>
    <n v="1"/>
  </r>
  <r>
    <x v="496"/>
    <x v="15"/>
    <x v="2"/>
    <n v="718"/>
    <d v="2026-01-29T00:00:00"/>
    <d v="2026-02-09T00:00:00"/>
    <d v="2026-02-06T00:00:00"/>
    <n v="706"/>
    <s v="IM-154"/>
    <n v="9"/>
    <x v="0"/>
    <s v="Y"/>
    <s v="Y"/>
    <s v="Y"/>
    <n v="8"/>
    <n v="0.98328690807799446"/>
    <n v="1.2747875354107648E-2"/>
    <n v="1"/>
  </r>
  <r>
    <x v="497"/>
    <x v="15"/>
    <x v="0"/>
    <n v="194"/>
    <d v="2026-04-08T00:00:00"/>
    <d v="2026-04-17T00:00:00"/>
    <d v="2026-04-16T00:00:00"/>
    <n v="192"/>
    <s v="RM-293"/>
    <n v="4"/>
    <x v="0"/>
    <s v="Y"/>
    <s v="Y"/>
    <s v="Y"/>
    <n v="8"/>
    <n v="0.98969072164948457"/>
    <n v="2.0833333333333332E-2"/>
    <n v="1"/>
  </r>
  <r>
    <x v="498"/>
    <x v="1"/>
    <x v="2"/>
    <n v="240"/>
    <d v="2026-03-08T00:00:00"/>
    <d v="2026-03-21T00:00:00"/>
    <d v="2026-03-21T00:00:00"/>
    <n v="236"/>
    <s v="IM-297"/>
    <n v="2"/>
    <x v="0"/>
    <s v="Y"/>
    <s v="Y"/>
    <s v="Y"/>
    <n v="13"/>
    <n v="0.98333333333333328"/>
    <n v="8.4745762711864406E-3"/>
    <n v="1"/>
  </r>
  <r>
    <x v="499"/>
    <x v="19"/>
    <x v="1"/>
    <n v="601"/>
    <d v="2026-04-25T00:00:00"/>
    <d v="2026-05-05T00:00:00"/>
    <d v="2026-05-04T00:00:00"/>
    <n v="595"/>
    <s v="PK-187"/>
    <n v="1"/>
    <x v="0"/>
    <s v="Y"/>
    <s v="Y"/>
    <s v="Y"/>
    <n v="9"/>
    <n v="0.99001663893510816"/>
    <n v="1.6806722689075631E-3"/>
    <n v="1"/>
  </r>
  <r>
    <x v="500"/>
    <x v="14"/>
    <x v="1"/>
    <n v="792"/>
    <d v="2026-04-02T00:00:00"/>
    <d v="2026-04-14T00:00:00"/>
    <d v="2026-04-15T00:00:00"/>
    <n v="789"/>
    <s v="PK-164"/>
    <n v="9"/>
    <x v="0"/>
    <s v="N"/>
    <s v="Y"/>
    <s v="N"/>
    <n v="13"/>
    <n v="0.99621212121212122"/>
    <n v="1.1406844106463879E-2"/>
    <n v="0"/>
  </r>
  <r>
    <x v="501"/>
    <x v="10"/>
    <x v="1"/>
    <n v="875"/>
    <d v="2026-05-26T00:00:00"/>
    <d v="2026-06-10T00:00:00"/>
    <d v="2026-06-13T00:00:00"/>
    <n v="885"/>
    <s v="PK-240"/>
    <n v="70"/>
    <x v="0"/>
    <s v="N"/>
    <s v="Y"/>
    <s v="N"/>
    <n v="18"/>
    <n v="1.0114285714285713"/>
    <n v="7.909604519774012E-2"/>
    <n v="0"/>
  </r>
  <r>
    <x v="502"/>
    <x v="11"/>
    <x v="1"/>
    <n v="337"/>
    <d v="2026-03-22T00:00:00"/>
    <d v="2026-03-31T00:00:00"/>
    <d v="2026-04-07T00:00:00"/>
    <n v="338"/>
    <s v="PK-181"/>
    <n v="1"/>
    <x v="0"/>
    <s v="N"/>
    <s v="Y"/>
    <s v="N"/>
    <n v="16"/>
    <n v="1.0029673590504451"/>
    <n v="2.9585798816568047E-3"/>
    <n v="0"/>
  </r>
  <r>
    <x v="503"/>
    <x v="5"/>
    <x v="1"/>
    <n v="552"/>
    <d v="2026-02-25T00:00:00"/>
    <d v="2026-03-08T00:00:00"/>
    <d v="2026-03-08T00:00:00"/>
    <n v="559"/>
    <s v="PK-103"/>
    <n v="3"/>
    <x v="0"/>
    <s v="Y"/>
    <s v="Y"/>
    <s v="Y"/>
    <n v="11"/>
    <n v="1.0126811594202898"/>
    <n v="5.3667262969588547E-3"/>
    <n v="1"/>
  </r>
  <r>
    <x v="504"/>
    <x v="6"/>
    <x v="1"/>
    <n v="980"/>
    <d v="2026-02-26T00:00:00"/>
    <d v="2026-03-13T00:00:00"/>
    <d v="2026-03-10T00:00:00"/>
    <n v="977"/>
    <s v="PK-225"/>
    <n v="65"/>
    <x v="0"/>
    <s v="Y"/>
    <s v="Y"/>
    <s v="Y"/>
    <n v="12"/>
    <n v="0.99693877551020404"/>
    <n v="6.6530194472876156E-2"/>
    <n v="1"/>
  </r>
  <r>
    <x v="505"/>
    <x v="7"/>
    <x v="0"/>
    <n v="488"/>
    <d v="2026-05-28T00:00:00"/>
    <d v="2026-06-07T00:00:00"/>
    <d v="2026-06-06T00:00:00"/>
    <n v="481"/>
    <s v="RM-246"/>
    <n v="20"/>
    <x v="0"/>
    <s v="Y"/>
    <s v="Y"/>
    <s v="Y"/>
    <n v="9"/>
    <n v="0.98565573770491799"/>
    <n v="4.1580041580041582E-2"/>
    <n v="1"/>
  </r>
  <r>
    <x v="506"/>
    <x v="6"/>
    <x v="2"/>
    <n v="764"/>
    <d v="2026-01-20T00:00:00"/>
    <d v="2026-01-29T00:00:00"/>
    <d v="2026-02-05T00:00:00"/>
    <n v="759"/>
    <s v="IM-119"/>
    <n v="32"/>
    <x v="0"/>
    <s v="N"/>
    <s v="Y"/>
    <s v="N"/>
    <n v="16"/>
    <n v="0.99345549738219896"/>
    <n v="4.2160737812911728E-2"/>
    <n v="0"/>
  </r>
  <r>
    <x v="507"/>
    <x v="16"/>
    <x v="1"/>
    <n v="858"/>
    <d v="2026-02-14T00:00:00"/>
    <d v="2026-02-24T00:00:00"/>
    <d v="2026-02-22T00:00:00"/>
    <n v="711"/>
    <s v="PK-139"/>
    <n v="2"/>
    <x v="0"/>
    <s v="Y"/>
    <s v="N"/>
    <s v="N"/>
    <n v="8"/>
    <n v="0.82867132867132864"/>
    <n v="2.8129395218002813E-3"/>
    <n v="0"/>
  </r>
  <r>
    <x v="508"/>
    <x v="2"/>
    <x v="1"/>
    <n v="565"/>
    <d v="2026-01-25T00:00:00"/>
    <d v="2026-02-06T00:00:00"/>
    <d v="2026-02-05T00:00:00"/>
    <n v="564"/>
    <s v="PK-236"/>
    <n v="10"/>
    <x v="0"/>
    <s v="Y"/>
    <s v="Y"/>
    <s v="Y"/>
    <n v="11"/>
    <n v="0.99823008849557526"/>
    <n v="1.7730496453900711E-2"/>
    <n v="1"/>
  </r>
  <r>
    <x v="509"/>
    <x v="13"/>
    <x v="2"/>
    <n v="771"/>
    <d v="2026-05-01T00:00:00"/>
    <d v="2026-05-07T00:00:00"/>
    <d v="2026-05-13T00:00:00"/>
    <n v="642"/>
    <s v="IM-260"/>
    <n v="24"/>
    <x v="0"/>
    <s v="N"/>
    <s v="N"/>
    <s v="N"/>
    <n v="12"/>
    <n v="0.83268482490272377"/>
    <n v="3.7383177570093455E-2"/>
    <n v="0"/>
  </r>
  <r>
    <x v="510"/>
    <x v="12"/>
    <x v="0"/>
    <n v="122"/>
    <d v="2026-04-06T00:00:00"/>
    <d v="2026-04-11T00:00:00"/>
    <d v="2026-04-09T00:00:00"/>
    <n v="121"/>
    <s v="RM-246"/>
    <n v="2"/>
    <x v="0"/>
    <s v="Y"/>
    <s v="Y"/>
    <s v="Y"/>
    <n v="3"/>
    <n v="0.99180327868852458"/>
    <n v="1.6528925619834711E-2"/>
    <n v="1"/>
  </r>
  <r>
    <x v="511"/>
    <x v="15"/>
    <x v="0"/>
    <n v="132"/>
    <d v="2026-05-31T00:00:00"/>
    <d v="2026-06-06T00:00:00"/>
    <d v="2026-06-06T00:00:00"/>
    <n v="132"/>
    <s v="RM-228"/>
    <n v="0"/>
    <x v="0"/>
    <s v="Y"/>
    <s v="Y"/>
    <s v="Y"/>
    <n v="6"/>
    <n v="1"/>
    <n v="0"/>
    <n v="1"/>
  </r>
  <r>
    <x v="512"/>
    <x v="9"/>
    <x v="0"/>
    <n v="693"/>
    <d v="2026-01-19T00:00:00"/>
    <d v="2026-01-30T00:00:00"/>
    <d v="2026-01-28T00:00:00"/>
    <n v="697"/>
    <s v="RM-170"/>
    <n v="2"/>
    <x v="0"/>
    <s v="Y"/>
    <s v="Y"/>
    <s v="Y"/>
    <n v="9"/>
    <n v="1.0057720057720059"/>
    <n v="2.8694404591104736E-3"/>
    <n v="1"/>
  </r>
  <r>
    <x v="513"/>
    <x v="8"/>
    <x v="1"/>
    <n v="975"/>
    <d v="2026-01-06T00:00:00"/>
    <d v="2026-01-11T00:00:00"/>
    <d v="2026-01-11T00:00:00"/>
    <n v="971"/>
    <s v="PK-179"/>
    <n v="61"/>
    <x v="0"/>
    <s v="Y"/>
    <s v="Y"/>
    <s v="Y"/>
    <n v="5"/>
    <n v="0.99589743589743585"/>
    <n v="6.2821833161688975E-2"/>
    <n v="1"/>
  </r>
  <r>
    <x v="514"/>
    <x v="18"/>
    <x v="1"/>
    <n v="400"/>
    <d v="2026-03-21T00:00:00"/>
    <d v="2026-03-29T00:00:00"/>
    <d v="2026-03-26T00:00:00"/>
    <n v="396"/>
    <s v="PK-208"/>
    <n v="0"/>
    <x v="0"/>
    <s v="Y"/>
    <s v="Y"/>
    <s v="Y"/>
    <n v="5"/>
    <n v="0.99"/>
    <n v="0"/>
    <n v="1"/>
  </r>
  <r>
    <x v="515"/>
    <x v="5"/>
    <x v="0"/>
    <n v="884"/>
    <d v="2026-01-21T00:00:00"/>
    <d v="2026-01-27T00:00:00"/>
    <d v="2026-01-28T00:00:00"/>
    <n v="893"/>
    <s v="RM-169"/>
    <n v="7"/>
    <x v="0"/>
    <s v="N"/>
    <s v="Y"/>
    <s v="N"/>
    <n v="7"/>
    <n v="1.0101809954751131"/>
    <n v="7.8387458006718928E-3"/>
    <n v="0"/>
  </r>
  <r>
    <x v="516"/>
    <x v="0"/>
    <x v="1"/>
    <n v="758"/>
    <d v="2026-01-19T00:00:00"/>
    <d v="2026-01-30T00:00:00"/>
    <d v="2026-01-30T00:00:00"/>
    <n v="754"/>
    <s v="PK-205"/>
    <n v="6"/>
    <x v="0"/>
    <s v="Y"/>
    <s v="Y"/>
    <s v="Y"/>
    <n v="11"/>
    <n v="0.99472295514511877"/>
    <n v="7.9575596816976128E-3"/>
    <n v="1"/>
  </r>
  <r>
    <x v="517"/>
    <x v="6"/>
    <x v="0"/>
    <n v="85"/>
    <d v="2026-05-09T00:00:00"/>
    <d v="2026-05-16T00:00:00"/>
    <d v="2026-05-14T00:00:00"/>
    <n v="84"/>
    <s v="RM-269"/>
    <n v="4"/>
    <x v="0"/>
    <s v="Y"/>
    <s v="Y"/>
    <s v="Y"/>
    <n v="5"/>
    <n v="0.9882352941176471"/>
    <n v="4.7619047619047616E-2"/>
    <n v="1"/>
  </r>
  <r>
    <x v="518"/>
    <x v="19"/>
    <x v="0"/>
    <n v="624"/>
    <d v="2026-03-13T00:00:00"/>
    <d v="2026-03-22T00:00:00"/>
    <d v="2026-03-31T00:00:00"/>
    <n v="635"/>
    <s v="RM-265"/>
    <n v="7"/>
    <x v="0"/>
    <s v="N"/>
    <s v="Y"/>
    <s v="N"/>
    <n v="18"/>
    <n v="1.0176282051282051"/>
    <n v="1.1023622047244094E-2"/>
    <n v="0"/>
  </r>
  <r>
    <x v="519"/>
    <x v="13"/>
    <x v="0"/>
    <n v="806"/>
    <d v="2026-02-17T00:00:00"/>
    <d v="2026-02-24T00:00:00"/>
    <d v="2026-02-22T00:00:00"/>
    <n v="751"/>
    <s v="RM-228"/>
    <n v="35"/>
    <x v="0"/>
    <s v="Y"/>
    <s v="N"/>
    <s v="N"/>
    <n v="5"/>
    <n v="0.93176178660049624"/>
    <n v="4.6604527296937419E-2"/>
    <n v="0"/>
  </r>
  <r>
    <x v="520"/>
    <x v="12"/>
    <x v="0"/>
    <n v="251"/>
    <d v="2026-01-17T00:00:00"/>
    <d v="2026-02-01T00:00:00"/>
    <d v="2026-02-09T00:00:00"/>
    <n v="248"/>
    <s v="RM-263"/>
    <n v="1"/>
    <x v="0"/>
    <s v="N"/>
    <s v="Y"/>
    <s v="N"/>
    <n v="23"/>
    <n v="0.98804780876494025"/>
    <n v="4.0322580645161289E-3"/>
    <n v="0"/>
  </r>
  <r>
    <x v="521"/>
    <x v="0"/>
    <x v="0"/>
    <n v="189"/>
    <d v="2026-04-18T00:00:00"/>
    <d v="2026-05-03T00:00:00"/>
    <d v="2026-04-30T00:00:00"/>
    <n v="186"/>
    <s v="RM-155"/>
    <n v="2"/>
    <x v="0"/>
    <s v="Y"/>
    <s v="Y"/>
    <s v="Y"/>
    <n v="12"/>
    <n v="0.98412698412698407"/>
    <n v="1.0752688172043012E-2"/>
    <n v="1"/>
  </r>
  <r>
    <x v="522"/>
    <x v="8"/>
    <x v="0"/>
    <n v="722"/>
    <d v="2026-02-28T00:00:00"/>
    <d v="2026-03-11T00:00:00"/>
    <d v="2026-03-14T00:00:00"/>
    <n v="719"/>
    <s v="RM-256"/>
    <n v="2"/>
    <x v="0"/>
    <s v="N"/>
    <s v="Y"/>
    <s v="N"/>
    <n v="14"/>
    <n v="0.99584487534626043"/>
    <n v="2.7816411682892906E-3"/>
    <n v="0"/>
  </r>
  <r>
    <x v="523"/>
    <x v="9"/>
    <x v="0"/>
    <n v="775"/>
    <d v="2026-02-18T00:00:00"/>
    <d v="2026-02-26T00:00:00"/>
    <d v="2026-02-28T00:00:00"/>
    <n v="764"/>
    <s v="RM-172"/>
    <n v="29"/>
    <x v="0"/>
    <s v="N"/>
    <s v="Y"/>
    <s v="N"/>
    <n v="10"/>
    <n v="0.98580645161290326"/>
    <n v="3.7958115183246072E-2"/>
    <n v="0"/>
  </r>
  <r>
    <x v="524"/>
    <x v="4"/>
    <x v="1"/>
    <n v="752"/>
    <d v="2026-04-06T00:00:00"/>
    <d v="2026-04-14T00:00:00"/>
    <m/>
    <m/>
    <s v="PK-185"/>
    <m/>
    <x v="1"/>
    <s v="N/A"/>
    <s v="N/A"/>
    <s v="N/A"/>
    <s v="N/A"/>
    <s v="N/A"/>
    <s v="N/A"/>
    <s v=""/>
  </r>
  <r>
    <x v="525"/>
    <x v="16"/>
    <x v="0"/>
    <n v="753"/>
    <d v="2026-04-29T00:00:00"/>
    <d v="2026-05-07T00:00:00"/>
    <d v="2026-05-07T00:00:00"/>
    <n v="624"/>
    <s v="RM-237"/>
    <n v="3"/>
    <x v="0"/>
    <s v="Y"/>
    <s v="N"/>
    <s v="N"/>
    <n v="8"/>
    <n v="0.82868525896414347"/>
    <n v="4.807692307692308E-3"/>
    <n v="0"/>
  </r>
  <r>
    <x v="526"/>
    <x v="6"/>
    <x v="0"/>
    <n v="824"/>
    <d v="2026-05-05T00:00:00"/>
    <d v="2026-05-13T00:00:00"/>
    <d v="2026-05-11T00:00:00"/>
    <n v="821"/>
    <s v="RM-126"/>
    <n v="14"/>
    <x v="0"/>
    <s v="Y"/>
    <s v="Y"/>
    <s v="Y"/>
    <n v="6"/>
    <n v="0.99635922330097082"/>
    <n v="1.705237515225335E-2"/>
    <n v="1"/>
  </r>
  <r>
    <x v="527"/>
    <x v="3"/>
    <x v="1"/>
    <n v="761"/>
    <d v="2026-05-18T00:00:00"/>
    <d v="2026-05-30T00:00:00"/>
    <d v="2026-06-03T00:00:00"/>
    <n v="750"/>
    <s v="PK-242"/>
    <n v="56"/>
    <x v="0"/>
    <s v="N"/>
    <s v="Y"/>
    <s v="N"/>
    <n v="16"/>
    <n v="0.98554533508541398"/>
    <n v="7.4666666666666673E-2"/>
    <n v="0"/>
  </r>
  <r>
    <x v="528"/>
    <x v="16"/>
    <x v="0"/>
    <n v="168"/>
    <d v="2026-02-16T00:00:00"/>
    <d v="2026-03-02T00:00:00"/>
    <d v="2026-03-06T00:00:00"/>
    <n v="167"/>
    <s v="RM-222"/>
    <n v="2"/>
    <x v="0"/>
    <s v="N"/>
    <s v="Y"/>
    <s v="N"/>
    <n v="18"/>
    <n v="0.99404761904761907"/>
    <n v="1.1976047904191617E-2"/>
    <n v="0"/>
  </r>
  <r>
    <x v="529"/>
    <x v="10"/>
    <x v="1"/>
    <n v="494"/>
    <d v="2026-01-30T00:00:00"/>
    <d v="2026-02-08T00:00:00"/>
    <d v="2026-02-06T00:00:00"/>
    <n v="493"/>
    <s v="PK-230"/>
    <n v="20"/>
    <x v="0"/>
    <s v="Y"/>
    <s v="Y"/>
    <s v="Y"/>
    <n v="7"/>
    <n v="0.99797570850202433"/>
    <n v="4.0567951318458417E-2"/>
    <n v="1"/>
  </r>
  <r>
    <x v="530"/>
    <x v="3"/>
    <x v="1"/>
    <n v="633"/>
    <d v="2026-02-15T00:00:00"/>
    <d v="2026-02-24T00:00:00"/>
    <d v="2026-02-21T00:00:00"/>
    <n v="577"/>
    <s v="PK-279"/>
    <n v="49"/>
    <x v="0"/>
    <s v="Y"/>
    <s v="N"/>
    <s v="N"/>
    <n v="6"/>
    <n v="0.91153238546603477"/>
    <n v="8.4922010398613523E-2"/>
    <n v="0"/>
  </r>
  <r>
    <x v="531"/>
    <x v="17"/>
    <x v="1"/>
    <n v="193"/>
    <d v="2026-03-13T00:00:00"/>
    <d v="2026-03-18T00:00:00"/>
    <d v="2026-03-16T00:00:00"/>
    <n v="190"/>
    <s v="PK-181"/>
    <n v="4"/>
    <x v="0"/>
    <s v="Y"/>
    <s v="Y"/>
    <s v="Y"/>
    <n v="3"/>
    <n v="0.98445595854922274"/>
    <n v="2.1052631578947368E-2"/>
    <n v="1"/>
  </r>
  <r>
    <x v="532"/>
    <x v="5"/>
    <x v="2"/>
    <n v="302"/>
    <d v="2026-02-07T00:00:00"/>
    <d v="2026-02-15T00:00:00"/>
    <d v="2026-02-18T00:00:00"/>
    <n v="306"/>
    <s v="IM-199"/>
    <n v="3"/>
    <x v="0"/>
    <s v="N"/>
    <s v="Y"/>
    <s v="N"/>
    <n v="11"/>
    <n v="1.0132450331125828"/>
    <n v="9.8039215686274508E-3"/>
    <n v="0"/>
  </r>
  <r>
    <x v="533"/>
    <x v="0"/>
    <x v="0"/>
    <n v="738"/>
    <d v="2026-02-20T00:00:00"/>
    <d v="2026-03-05T00:00:00"/>
    <d v="2026-03-02T00:00:00"/>
    <n v="751"/>
    <s v="RM-175"/>
    <n v="14"/>
    <x v="0"/>
    <s v="Y"/>
    <s v="Y"/>
    <s v="Y"/>
    <n v="10"/>
    <n v="1.0176151761517616"/>
    <n v="1.8641810918774968E-2"/>
    <n v="1"/>
  </r>
  <r>
    <x v="534"/>
    <x v="6"/>
    <x v="1"/>
    <n v="217"/>
    <d v="2026-03-06T00:00:00"/>
    <d v="2026-03-14T00:00:00"/>
    <d v="2026-03-12T00:00:00"/>
    <n v="220"/>
    <s v="PK-287"/>
    <n v="9"/>
    <x v="0"/>
    <s v="Y"/>
    <s v="Y"/>
    <s v="Y"/>
    <n v="6"/>
    <n v="1.0138248847926268"/>
    <n v="4.0909090909090909E-2"/>
    <n v="1"/>
  </r>
  <r>
    <x v="535"/>
    <x v="17"/>
    <x v="1"/>
    <n v="863"/>
    <d v="2026-02-05T00:00:00"/>
    <d v="2026-02-10T00:00:00"/>
    <d v="2026-02-10T00:00:00"/>
    <n v="847"/>
    <s v="PK-299"/>
    <n v="10"/>
    <x v="0"/>
    <s v="Y"/>
    <s v="Y"/>
    <s v="Y"/>
    <n v="5"/>
    <n v="0.98146002317497105"/>
    <n v="1.1806375442739079E-2"/>
    <n v="1"/>
  </r>
  <r>
    <x v="536"/>
    <x v="11"/>
    <x v="0"/>
    <n v="896"/>
    <d v="2026-04-02T00:00:00"/>
    <d v="2026-04-11T00:00:00"/>
    <d v="2026-04-11T00:00:00"/>
    <n v="910"/>
    <s v="RM-108"/>
    <n v="8"/>
    <x v="0"/>
    <s v="Y"/>
    <s v="Y"/>
    <s v="Y"/>
    <n v="9"/>
    <n v="1.015625"/>
    <n v="8.7912087912087912E-3"/>
    <n v="1"/>
  </r>
  <r>
    <x v="537"/>
    <x v="10"/>
    <x v="0"/>
    <n v="132"/>
    <d v="2026-02-07T00:00:00"/>
    <d v="2026-02-17T00:00:00"/>
    <d v="2026-02-15T00:00:00"/>
    <n v="131"/>
    <s v="RM-168"/>
    <n v="1"/>
    <x v="0"/>
    <s v="Y"/>
    <s v="Y"/>
    <s v="Y"/>
    <n v="8"/>
    <n v="0.99242424242424243"/>
    <n v="7.6335877862595417E-3"/>
    <n v="1"/>
  </r>
  <r>
    <x v="538"/>
    <x v="19"/>
    <x v="2"/>
    <n v="89"/>
    <d v="2026-03-27T00:00:00"/>
    <d v="2026-04-03T00:00:00"/>
    <d v="2026-04-02T00:00:00"/>
    <n v="90"/>
    <s v="IM-204"/>
    <n v="2"/>
    <x v="0"/>
    <s v="Y"/>
    <s v="Y"/>
    <s v="Y"/>
    <n v="6"/>
    <n v="1.0112359550561798"/>
    <n v="2.2222222222222223E-2"/>
    <n v="1"/>
  </r>
  <r>
    <x v="539"/>
    <x v="10"/>
    <x v="0"/>
    <n v="308"/>
    <d v="2026-03-11T00:00:00"/>
    <d v="2026-03-18T00:00:00"/>
    <d v="2026-03-19T00:00:00"/>
    <n v="303"/>
    <s v="RM-127"/>
    <n v="29"/>
    <x v="0"/>
    <s v="N"/>
    <s v="Y"/>
    <s v="N"/>
    <n v="8"/>
    <n v="0.98376623376623373"/>
    <n v="9.5709570957095716E-2"/>
    <n v="0"/>
  </r>
  <r>
    <x v="540"/>
    <x v="3"/>
    <x v="2"/>
    <n v="838"/>
    <d v="2026-03-10T00:00:00"/>
    <d v="2026-03-23T00:00:00"/>
    <d v="2026-03-30T00:00:00"/>
    <n v="822"/>
    <s v="IM-107"/>
    <n v="8"/>
    <x v="0"/>
    <s v="N"/>
    <s v="Y"/>
    <s v="N"/>
    <n v="20"/>
    <n v="0.98090692124105017"/>
    <n v="9.7323600973236012E-3"/>
    <n v="0"/>
  </r>
  <r>
    <x v="541"/>
    <x v="13"/>
    <x v="1"/>
    <n v="728"/>
    <d v="2026-03-02T00:00:00"/>
    <d v="2026-03-10T00:00:00"/>
    <d v="2026-03-07T00:00:00"/>
    <n v="735"/>
    <s v="PK-227"/>
    <n v="13"/>
    <x v="0"/>
    <s v="Y"/>
    <s v="Y"/>
    <s v="Y"/>
    <n v="5"/>
    <n v="1.0096153846153846"/>
    <n v="1.7687074829931974E-2"/>
    <n v="1"/>
  </r>
  <r>
    <x v="542"/>
    <x v="12"/>
    <x v="0"/>
    <n v="436"/>
    <d v="2026-02-27T00:00:00"/>
    <d v="2026-03-09T00:00:00"/>
    <d v="2026-03-09T00:00:00"/>
    <n v="371"/>
    <s v="RM-287"/>
    <n v="3"/>
    <x v="0"/>
    <s v="Y"/>
    <s v="N"/>
    <s v="N"/>
    <n v="10"/>
    <n v="0.8509174311926605"/>
    <n v="8.0862533692722376E-3"/>
    <n v="0"/>
  </r>
  <r>
    <x v="543"/>
    <x v="14"/>
    <x v="0"/>
    <n v="316"/>
    <d v="2026-03-02T00:00:00"/>
    <d v="2026-03-14T00:00:00"/>
    <d v="2026-03-15T00:00:00"/>
    <n v="311"/>
    <s v="RM-158"/>
    <n v="8"/>
    <x v="0"/>
    <s v="N"/>
    <s v="Y"/>
    <s v="N"/>
    <n v="13"/>
    <n v="0.98417721518987344"/>
    <n v="2.5723472668810289E-2"/>
    <n v="0"/>
  </r>
  <r>
    <x v="544"/>
    <x v="8"/>
    <x v="1"/>
    <n v="894"/>
    <d v="2026-01-06T00:00:00"/>
    <d v="2026-01-11T00:00:00"/>
    <d v="2026-01-10T00:00:00"/>
    <n v="890"/>
    <s v="PK-181"/>
    <n v="51"/>
    <x v="0"/>
    <s v="Y"/>
    <s v="Y"/>
    <s v="Y"/>
    <n v="4"/>
    <n v="0.99552572706935127"/>
    <n v="5.7303370786516851E-2"/>
    <n v="1"/>
  </r>
  <r>
    <x v="545"/>
    <x v="18"/>
    <x v="0"/>
    <n v="906"/>
    <d v="2026-04-27T00:00:00"/>
    <d v="2026-05-02T00:00:00"/>
    <d v="2026-05-02T00:00:00"/>
    <n v="919"/>
    <s v="RM-261"/>
    <n v="21"/>
    <x v="0"/>
    <s v="Y"/>
    <s v="Y"/>
    <s v="Y"/>
    <n v="5"/>
    <n v="1.0143487858719646"/>
    <n v="2.2850924918389554E-2"/>
    <n v="1"/>
  </r>
  <r>
    <x v="546"/>
    <x v="15"/>
    <x v="0"/>
    <n v="255"/>
    <d v="2026-01-12T00:00:00"/>
    <d v="2026-01-22T00:00:00"/>
    <d v="2026-01-19T00:00:00"/>
    <n v="252"/>
    <s v="RM-188"/>
    <n v="1"/>
    <x v="0"/>
    <s v="Y"/>
    <s v="Y"/>
    <s v="Y"/>
    <n v="7"/>
    <n v="0.9882352941176471"/>
    <n v="3.968253968253968E-3"/>
    <n v="1"/>
  </r>
  <r>
    <x v="547"/>
    <x v="19"/>
    <x v="0"/>
    <n v="864"/>
    <d v="2026-05-03T00:00:00"/>
    <d v="2026-05-08T00:00:00"/>
    <d v="2026-05-06T00:00:00"/>
    <n v="866"/>
    <s v="RM-152"/>
    <n v="37"/>
    <x v="0"/>
    <s v="Y"/>
    <s v="Y"/>
    <s v="Y"/>
    <n v="3"/>
    <n v="1.0023148148148149"/>
    <n v="4.2725173210161664E-2"/>
    <n v="1"/>
  </r>
  <r>
    <x v="548"/>
    <x v="6"/>
    <x v="1"/>
    <n v="221"/>
    <d v="2026-04-13T00:00:00"/>
    <d v="2026-04-25T00:00:00"/>
    <d v="2026-04-22T00:00:00"/>
    <n v="222"/>
    <s v="PK-208"/>
    <n v="9"/>
    <x v="0"/>
    <s v="Y"/>
    <s v="Y"/>
    <s v="Y"/>
    <n v="9"/>
    <n v="1.004524886877828"/>
    <n v="4.0540540540540543E-2"/>
    <n v="1"/>
  </r>
  <r>
    <x v="549"/>
    <x v="12"/>
    <x v="1"/>
    <n v="160"/>
    <d v="2026-03-14T00:00:00"/>
    <d v="2026-03-23T00:00:00"/>
    <d v="2026-03-21T00:00:00"/>
    <n v="145"/>
    <s v="PK-106"/>
    <n v="3"/>
    <x v="0"/>
    <s v="Y"/>
    <s v="N"/>
    <s v="N"/>
    <n v="7"/>
    <n v="0.90625"/>
    <n v="2.0689655172413793E-2"/>
    <n v="0"/>
  </r>
  <r>
    <x v="550"/>
    <x v="7"/>
    <x v="1"/>
    <n v="802"/>
    <d v="2026-05-07T00:00:00"/>
    <d v="2026-05-19T00:00:00"/>
    <d v="2026-05-17T00:00:00"/>
    <n v="787"/>
    <s v="PK-240"/>
    <n v="24"/>
    <x v="0"/>
    <s v="Y"/>
    <s v="Y"/>
    <s v="Y"/>
    <n v="10"/>
    <n v="0.98129675810473815"/>
    <n v="3.0495552731893267E-2"/>
    <n v="1"/>
  </r>
  <r>
    <x v="551"/>
    <x v="6"/>
    <x v="1"/>
    <n v="751"/>
    <d v="2026-05-11T00:00:00"/>
    <d v="2026-05-17T00:00:00"/>
    <d v="2026-05-17T00:00:00"/>
    <n v="713"/>
    <s v="PK-169"/>
    <n v="21"/>
    <x v="0"/>
    <s v="Y"/>
    <s v="N"/>
    <s v="N"/>
    <n v="6"/>
    <n v="0.94940079893475371"/>
    <n v="2.9453015427769985E-2"/>
    <n v="0"/>
  </r>
  <r>
    <x v="552"/>
    <x v="11"/>
    <x v="0"/>
    <n v="646"/>
    <d v="2026-04-04T00:00:00"/>
    <d v="2026-04-16T00:00:00"/>
    <d v="2026-04-13T00:00:00"/>
    <n v="651"/>
    <s v="RM-286"/>
    <n v="7"/>
    <x v="0"/>
    <s v="Y"/>
    <s v="Y"/>
    <s v="Y"/>
    <n v="9"/>
    <n v="1.0077399380804954"/>
    <n v="1.0752688172043012E-2"/>
    <n v="1"/>
  </r>
  <r>
    <x v="553"/>
    <x v="14"/>
    <x v="1"/>
    <n v="427"/>
    <d v="2026-05-28T00:00:00"/>
    <d v="2026-06-08T00:00:00"/>
    <d v="2026-06-06T00:00:00"/>
    <n v="434"/>
    <s v="PK-102"/>
    <n v="13"/>
    <x v="0"/>
    <s v="Y"/>
    <s v="Y"/>
    <s v="Y"/>
    <n v="9"/>
    <n v="1.0163934426229508"/>
    <n v="2.9953917050691243E-2"/>
    <n v="1"/>
  </r>
  <r>
    <x v="554"/>
    <x v="0"/>
    <x v="2"/>
    <n v="940"/>
    <d v="2026-02-01T00:00:00"/>
    <d v="2026-02-11T00:00:00"/>
    <d v="2026-02-08T00:00:00"/>
    <n v="786"/>
    <s v="IM-135"/>
    <n v="25"/>
    <x v="0"/>
    <s v="Y"/>
    <s v="N"/>
    <s v="N"/>
    <n v="7"/>
    <n v="0.83617021276595749"/>
    <n v="3.1806615776081425E-2"/>
    <n v="0"/>
  </r>
  <r>
    <x v="555"/>
    <x v="7"/>
    <x v="1"/>
    <n v="85"/>
    <d v="2026-01-27T00:00:00"/>
    <d v="2026-02-08T00:00:00"/>
    <d v="2026-02-12T00:00:00"/>
    <n v="70"/>
    <s v="PK-279"/>
    <n v="0"/>
    <x v="0"/>
    <s v="N"/>
    <s v="N"/>
    <s v="N"/>
    <n v="16"/>
    <n v="0.82352941176470584"/>
    <n v="0"/>
    <n v="0"/>
  </r>
  <r>
    <x v="556"/>
    <x v="9"/>
    <x v="0"/>
    <n v="171"/>
    <d v="2026-05-31T00:00:00"/>
    <d v="2026-06-12T00:00:00"/>
    <d v="2026-06-11T00:00:00"/>
    <n v="170"/>
    <s v="RM-105"/>
    <n v="3"/>
    <x v="0"/>
    <s v="Y"/>
    <s v="Y"/>
    <s v="Y"/>
    <n v="11"/>
    <n v="0.99415204678362568"/>
    <n v="1.7647058823529412E-2"/>
    <n v="1"/>
  </r>
  <r>
    <x v="557"/>
    <x v="5"/>
    <x v="0"/>
    <n v="826"/>
    <d v="2026-01-11T00:00:00"/>
    <d v="2026-01-20T00:00:00"/>
    <m/>
    <m/>
    <s v="RM-254"/>
    <m/>
    <x v="1"/>
    <s v="N/A"/>
    <s v="N/A"/>
    <s v="N/A"/>
    <s v="N/A"/>
    <s v="N/A"/>
    <s v="N/A"/>
    <s v=""/>
  </r>
  <r>
    <x v="558"/>
    <x v="7"/>
    <x v="2"/>
    <n v="921"/>
    <d v="2026-02-26T00:00:00"/>
    <d v="2026-03-09T00:00:00"/>
    <d v="2026-03-16T00:00:00"/>
    <n v="775"/>
    <s v="IM-203"/>
    <n v="44"/>
    <x v="0"/>
    <s v="N"/>
    <s v="N"/>
    <s v="N"/>
    <n v="18"/>
    <n v="0.84147665580890341"/>
    <n v="5.67741935483871E-2"/>
    <n v="0"/>
  </r>
  <r>
    <x v="559"/>
    <x v="14"/>
    <x v="1"/>
    <n v="296"/>
    <d v="2026-02-26T00:00:00"/>
    <d v="2026-03-10T00:00:00"/>
    <d v="2026-03-19T00:00:00"/>
    <n v="292"/>
    <s v="PK-210"/>
    <n v="0"/>
    <x v="0"/>
    <s v="N"/>
    <s v="Y"/>
    <s v="N"/>
    <n v="21"/>
    <n v="0.98648648648648651"/>
    <n v="0"/>
    <n v="0"/>
  </r>
  <r>
    <x v="560"/>
    <x v="7"/>
    <x v="0"/>
    <n v="486"/>
    <d v="2026-03-30T00:00:00"/>
    <d v="2026-04-11T00:00:00"/>
    <d v="2026-04-09T00:00:00"/>
    <n v="390"/>
    <s v="RM-116"/>
    <n v="21"/>
    <x v="0"/>
    <s v="Y"/>
    <s v="N"/>
    <s v="N"/>
    <n v="10"/>
    <n v="0.80246913580246915"/>
    <n v="5.3846153846153849E-2"/>
    <n v="0"/>
  </r>
  <r>
    <x v="561"/>
    <x v="18"/>
    <x v="0"/>
    <n v="766"/>
    <d v="2026-02-17T00:00:00"/>
    <d v="2026-03-03T00:00:00"/>
    <d v="2026-03-02T00:00:00"/>
    <n v="711"/>
    <s v="RM-280"/>
    <n v="13"/>
    <x v="0"/>
    <s v="Y"/>
    <s v="N"/>
    <s v="N"/>
    <n v="13"/>
    <n v="0.92819843342036557"/>
    <n v="1.8284106891701828E-2"/>
    <n v="0"/>
  </r>
  <r>
    <x v="562"/>
    <x v="14"/>
    <x v="0"/>
    <n v="740"/>
    <d v="2026-04-05T00:00:00"/>
    <d v="2026-04-11T00:00:00"/>
    <d v="2026-04-09T00:00:00"/>
    <n v="746"/>
    <s v="RM-295"/>
    <n v="17"/>
    <x v="0"/>
    <s v="Y"/>
    <s v="Y"/>
    <s v="Y"/>
    <n v="4"/>
    <n v="1.008108108108108"/>
    <n v="2.2788203753351208E-2"/>
    <n v="1"/>
  </r>
  <r>
    <x v="563"/>
    <x v="15"/>
    <x v="1"/>
    <n v="250"/>
    <d v="2026-02-05T00:00:00"/>
    <d v="2026-02-19T00:00:00"/>
    <d v="2026-02-28T00:00:00"/>
    <n v="250"/>
    <s v="PK-205"/>
    <n v="6"/>
    <x v="0"/>
    <s v="N"/>
    <s v="Y"/>
    <s v="N"/>
    <n v="23"/>
    <n v="1"/>
    <n v="2.4E-2"/>
    <n v="0"/>
  </r>
  <r>
    <x v="564"/>
    <x v="11"/>
    <x v="0"/>
    <n v="846"/>
    <d v="2026-02-03T00:00:00"/>
    <d v="2026-02-14T00:00:00"/>
    <d v="2026-02-13T00:00:00"/>
    <n v="830"/>
    <s v="RM-261"/>
    <n v="8"/>
    <x v="0"/>
    <s v="Y"/>
    <s v="Y"/>
    <s v="Y"/>
    <n v="10"/>
    <n v="0.98108747044917255"/>
    <n v="9.6385542168674707E-3"/>
    <n v="1"/>
  </r>
  <r>
    <x v="565"/>
    <x v="11"/>
    <x v="0"/>
    <n v="988"/>
    <d v="2026-03-19T00:00:00"/>
    <d v="2026-03-30T00:00:00"/>
    <d v="2026-04-07T00:00:00"/>
    <n v="976"/>
    <s v="RM-207"/>
    <n v="14"/>
    <x v="0"/>
    <s v="N"/>
    <s v="Y"/>
    <s v="N"/>
    <n v="19"/>
    <n v="0.98785425101214575"/>
    <n v="1.4344262295081968E-2"/>
    <n v="0"/>
  </r>
  <r>
    <x v="566"/>
    <x v="4"/>
    <x v="0"/>
    <n v="969"/>
    <d v="2026-04-13T00:00:00"/>
    <d v="2026-04-21T00:00:00"/>
    <d v="2026-04-20T00:00:00"/>
    <n v="900"/>
    <s v="RM-108"/>
    <n v="21"/>
    <x v="0"/>
    <s v="Y"/>
    <s v="N"/>
    <s v="N"/>
    <n v="7"/>
    <n v="0.92879256965944268"/>
    <n v="2.3333333333333334E-2"/>
    <n v="0"/>
  </r>
  <r>
    <x v="567"/>
    <x v="11"/>
    <x v="0"/>
    <n v="118"/>
    <d v="2026-02-02T00:00:00"/>
    <d v="2026-02-15T00:00:00"/>
    <d v="2026-02-14T00:00:00"/>
    <n v="117"/>
    <s v="RM-149"/>
    <n v="1"/>
    <x v="0"/>
    <s v="Y"/>
    <s v="Y"/>
    <s v="Y"/>
    <n v="12"/>
    <n v="0.99152542372881358"/>
    <n v="8.5470085470085479E-3"/>
    <n v="1"/>
  </r>
  <r>
    <x v="568"/>
    <x v="0"/>
    <x v="0"/>
    <n v="967"/>
    <d v="2026-02-08T00:00:00"/>
    <d v="2026-02-15T00:00:00"/>
    <d v="2026-02-14T00:00:00"/>
    <n v="954"/>
    <s v="RM-227"/>
    <n v="22"/>
    <x v="0"/>
    <s v="Y"/>
    <s v="Y"/>
    <s v="Y"/>
    <n v="6"/>
    <n v="0.98655635987590484"/>
    <n v="2.3060796645702306E-2"/>
    <n v="1"/>
  </r>
  <r>
    <x v="569"/>
    <x v="17"/>
    <x v="0"/>
    <n v="296"/>
    <d v="2026-03-13T00:00:00"/>
    <d v="2026-03-25T00:00:00"/>
    <d v="2026-03-22T00:00:00"/>
    <n v="285"/>
    <s v="RM-154"/>
    <n v="8"/>
    <x v="0"/>
    <s v="Y"/>
    <s v="N"/>
    <s v="N"/>
    <n v="9"/>
    <n v="0.96283783783783783"/>
    <n v="2.8070175438596492E-2"/>
    <n v="0"/>
  </r>
  <r>
    <x v="570"/>
    <x v="4"/>
    <x v="0"/>
    <n v="469"/>
    <d v="2026-01-25T00:00:00"/>
    <d v="2026-02-03T00:00:00"/>
    <d v="2026-02-01T00:00:00"/>
    <n v="470"/>
    <s v="RM-221"/>
    <n v="3"/>
    <x v="0"/>
    <s v="Y"/>
    <s v="Y"/>
    <s v="Y"/>
    <n v="7"/>
    <n v="1.0021321961620469"/>
    <n v="6.382978723404255E-3"/>
    <n v="1"/>
  </r>
  <r>
    <x v="571"/>
    <x v="11"/>
    <x v="2"/>
    <n v="270"/>
    <d v="2026-02-01T00:00:00"/>
    <d v="2026-02-10T00:00:00"/>
    <m/>
    <m/>
    <s v="IM-282"/>
    <m/>
    <x v="1"/>
    <s v="N/A"/>
    <s v="N/A"/>
    <s v="N/A"/>
    <s v="N/A"/>
    <s v="N/A"/>
    <s v="N/A"/>
    <s v=""/>
  </r>
  <r>
    <x v="572"/>
    <x v="11"/>
    <x v="0"/>
    <n v="883"/>
    <d v="2026-04-26T00:00:00"/>
    <d v="2026-05-08T00:00:00"/>
    <d v="2026-05-14T00:00:00"/>
    <n v="894"/>
    <s v="RM-109"/>
    <n v="2"/>
    <x v="0"/>
    <s v="N"/>
    <s v="Y"/>
    <s v="N"/>
    <n v="18"/>
    <n v="1.0124575311438277"/>
    <n v="2.2371364653243847E-3"/>
    <n v="0"/>
  </r>
  <r>
    <x v="573"/>
    <x v="17"/>
    <x v="2"/>
    <n v="690"/>
    <d v="2026-02-10T00:00:00"/>
    <d v="2026-02-24T00:00:00"/>
    <d v="2026-02-27T00:00:00"/>
    <n v="695"/>
    <s v="IM-276"/>
    <n v="17"/>
    <x v="0"/>
    <s v="N"/>
    <s v="Y"/>
    <s v="N"/>
    <n v="17"/>
    <n v="1.0072463768115942"/>
    <n v="2.4460431654676259E-2"/>
    <n v="0"/>
  </r>
  <r>
    <x v="574"/>
    <x v="5"/>
    <x v="0"/>
    <n v="991"/>
    <d v="2026-04-06T00:00:00"/>
    <d v="2026-04-16T00:00:00"/>
    <d v="2026-04-15T00:00:00"/>
    <n v="993"/>
    <s v="RM-243"/>
    <n v="3"/>
    <x v="0"/>
    <s v="Y"/>
    <s v="Y"/>
    <s v="Y"/>
    <n v="9"/>
    <n v="1.0020181634712411"/>
    <n v="3.0211480362537764E-3"/>
    <n v="1"/>
  </r>
  <r>
    <x v="575"/>
    <x v="9"/>
    <x v="0"/>
    <n v="197"/>
    <d v="2026-03-18T00:00:00"/>
    <d v="2026-03-31T00:00:00"/>
    <d v="2026-04-08T00:00:00"/>
    <n v="199"/>
    <s v="RM-292"/>
    <n v="10"/>
    <x v="0"/>
    <s v="N"/>
    <s v="Y"/>
    <s v="N"/>
    <n v="21"/>
    <n v="1.0101522842639594"/>
    <n v="5.0251256281407038E-2"/>
    <n v="0"/>
  </r>
  <r>
    <x v="576"/>
    <x v="7"/>
    <x v="2"/>
    <n v="557"/>
    <d v="2026-05-01T00:00:00"/>
    <d v="2026-05-10T00:00:00"/>
    <d v="2026-05-10T00:00:00"/>
    <n v="549"/>
    <s v="IM-217"/>
    <n v="25"/>
    <x v="0"/>
    <s v="Y"/>
    <s v="Y"/>
    <s v="Y"/>
    <n v="9"/>
    <n v="0.98563734290843807"/>
    <n v="4.553734061930783E-2"/>
    <n v="1"/>
  </r>
  <r>
    <x v="577"/>
    <x v="2"/>
    <x v="0"/>
    <n v="808"/>
    <d v="2026-04-09T00:00:00"/>
    <d v="2026-04-14T00:00:00"/>
    <d v="2026-04-14T00:00:00"/>
    <n v="810"/>
    <s v="RM-203"/>
    <n v="24"/>
    <x v="0"/>
    <s v="Y"/>
    <s v="Y"/>
    <s v="Y"/>
    <n v="5"/>
    <n v="1.0024752475247525"/>
    <n v="2.9629629629629631E-2"/>
    <n v="1"/>
  </r>
  <r>
    <x v="578"/>
    <x v="5"/>
    <x v="0"/>
    <n v="621"/>
    <d v="2026-03-04T00:00:00"/>
    <d v="2026-03-13T00:00:00"/>
    <d v="2026-03-18T00:00:00"/>
    <n v="616"/>
    <s v="RM-105"/>
    <n v="8"/>
    <x v="0"/>
    <s v="N"/>
    <s v="Y"/>
    <s v="N"/>
    <n v="14"/>
    <n v="0.99194847020933974"/>
    <n v="1.2987012987012988E-2"/>
    <n v="0"/>
  </r>
  <r>
    <x v="579"/>
    <x v="12"/>
    <x v="0"/>
    <n v="447"/>
    <d v="2026-04-24T00:00:00"/>
    <d v="2026-04-30T00:00:00"/>
    <d v="2026-04-30T00:00:00"/>
    <n v="445"/>
    <s v="RM-244"/>
    <n v="9"/>
    <x v="0"/>
    <s v="Y"/>
    <s v="Y"/>
    <s v="Y"/>
    <n v="6"/>
    <n v="0.99552572706935127"/>
    <n v="2.0224719101123594E-2"/>
    <n v="1"/>
  </r>
  <r>
    <x v="580"/>
    <x v="4"/>
    <x v="0"/>
    <n v="396"/>
    <d v="2026-02-22T00:00:00"/>
    <d v="2026-03-06T00:00:00"/>
    <d v="2026-03-04T00:00:00"/>
    <n v="398"/>
    <s v="RM-218"/>
    <n v="8"/>
    <x v="0"/>
    <s v="Y"/>
    <s v="Y"/>
    <s v="Y"/>
    <n v="10"/>
    <n v="1.005050505050505"/>
    <n v="2.0100502512562814E-2"/>
    <n v="1"/>
  </r>
  <r>
    <x v="581"/>
    <x v="16"/>
    <x v="1"/>
    <n v="678"/>
    <d v="2026-05-31T00:00:00"/>
    <d v="2026-06-09T00:00:00"/>
    <d v="2026-06-10T00:00:00"/>
    <n v="610"/>
    <s v="PK-255"/>
    <n v="3"/>
    <x v="0"/>
    <s v="N"/>
    <s v="N"/>
    <s v="N"/>
    <n v="10"/>
    <n v="0.89970501474926257"/>
    <n v="4.9180327868852463E-3"/>
    <n v="0"/>
  </r>
  <r>
    <x v="582"/>
    <x v="12"/>
    <x v="1"/>
    <n v="379"/>
    <d v="2026-04-23T00:00:00"/>
    <d v="2026-05-08T00:00:00"/>
    <d v="2026-05-05T00:00:00"/>
    <n v="304"/>
    <s v="PK-154"/>
    <n v="7"/>
    <x v="0"/>
    <s v="Y"/>
    <s v="N"/>
    <s v="N"/>
    <n v="12"/>
    <n v="0.80211081794195249"/>
    <n v="2.3026315789473683E-2"/>
    <n v="0"/>
  </r>
  <r>
    <x v="583"/>
    <x v="1"/>
    <x v="0"/>
    <n v="630"/>
    <d v="2026-05-24T00:00:00"/>
    <d v="2026-06-04T00:00:00"/>
    <d v="2026-06-03T00:00:00"/>
    <n v="625"/>
    <s v="RM-252"/>
    <n v="9"/>
    <x v="0"/>
    <s v="Y"/>
    <s v="Y"/>
    <s v="Y"/>
    <n v="10"/>
    <n v="0.99206349206349209"/>
    <n v="1.44E-2"/>
    <n v="1"/>
  </r>
  <r>
    <x v="584"/>
    <x v="10"/>
    <x v="0"/>
    <n v="612"/>
    <d v="2026-02-28T00:00:00"/>
    <d v="2026-03-05T00:00:00"/>
    <d v="2026-03-09T00:00:00"/>
    <n v="607"/>
    <s v="RM-295"/>
    <n v="11"/>
    <x v="0"/>
    <s v="N"/>
    <s v="Y"/>
    <s v="N"/>
    <n v="9"/>
    <n v="0.99183006535947715"/>
    <n v="1.8121911037891267E-2"/>
    <n v="0"/>
  </r>
  <r>
    <x v="585"/>
    <x v="10"/>
    <x v="0"/>
    <n v="581"/>
    <d v="2026-03-27T00:00:00"/>
    <d v="2026-04-02T00:00:00"/>
    <d v="2026-04-01T00:00:00"/>
    <n v="499"/>
    <s v="RM-215"/>
    <n v="42"/>
    <x v="0"/>
    <s v="Y"/>
    <s v="N"/>
    <s v="N"/>
    <n v="5"/>
    <n v="0.85886402753872637"/>
    <n v="8.4168336673346694E-2"/>
    <n v="0"/>
  </r>
  <r>
    <x v="586"/>
    <x v="14"/>
    <x v="0"/>
    <n v="457"/>
    <d v="2026-01-15T00:00:00"/>
    <d v="2026-01-22T00:00:00"/>
    <d v="2026-01-19T00:00:00"/>
    <n v="459"/>
    <s v="RM-168"/>
    <n v="5"/>
    <x v="0"/>
    <s v="Y"/>
    <s v="Y"/>
    <s v="Y"/>
    <n v="4"/>
    <n v="1.0043763676148796"/>
    <n v="1.0893246187363835E-2"/>
    <n v="1"/>
  </r>
  <r>
    <x v="587"/>
    <x v="5"/>
    <x v="0"/>
    <n v="938"/>
    <d v="2026-01-28T00:00:00"/>
    <d v="2026-02-07T00:00:00"/>
    <d v="2026-02-07T00:00:00"/>
    <n v="771"/>
    <s v="RM-241"/>
    <n v="10"/>
    <x v="0"/>
    <s v="Y"/>
    <s v="N"/>
    <s v="N"/>
    <n v="10"/>
    <n v="0.82196162046908317"/>
    <n v="1.2970168612191959E-2"/>
    <n v="0"/>
  </r>
  <r>
    <x v="588"/>
    <x v="15"/>
    <x v="1"/>
    <n v="547"/>
    <d v="2026-01-08T00:00:00"/>
    <d v="2026-01-19T00:00:00"/>
    <d v="2026-01-21T00:00:00"/>
    <n v="551"/>
    <s v="PK-257"/>
    <n v="4"/>
    <x v="0"/>
    <s v="N"/>
    <s v="Y"/>
    <s v="N"/>
    <n v="13"/>
    <n v="1.0073126142595978"/>
    <n v="7.2595281306715061E-3"/>
    <n v="0"/>
  </r>
  <r>
    <x v="589"/>
    <x v="12"/>
    <x v="0"/>
    <n v="741"/>
    <d v="2026-02-08T00:00:00"/>
    <d v="2026-02-19T00:00:00"/>
    <d v="2026-02-16T00:00:00"/>
    <n v="751"/>
    <s v="RM-208"/>
    <n v="18"/>
    <x v="0"/>
    <s v="Y"/>
    <s v="Y"/>
    <s v="Y"/>
    <n v="8"/>
    <n v="1.0134952766531713"/>
    <n v="2.3968042609853527E-2"/>
    <n v="1"/>
  </r>
  <r>
    <x v="590"/>
    <x v="11"/>
    <x v="1"/>
    <n v="215"/>
    <d v="2026-02-22T00:00:00"/>
    <d v="2026-03-04T00:00:00"/>
    <d v="2026-03-03T00:00:00"/>
    <n v="185"/>
    <s v="PK-138"/>
    <n v="2"/>
    <x v="0"/>
    <s v="Y"/>
    <s v="N"/>
    <s v="N"/>
    <n v="9"/>
    <n v="0.86046511627906974"/>
    <n v="1.0810810810810811E-2"/>
    <n v="0"/>
  </r>
  <r>
    <x v="591"/>
    <x v="12"/>
    <x v="1"/>
    <n v="431"/>
    <d v="2026-02-20T00:00:00"/>
    <d v="2026-02-26T00:00:00"/>
    <d v="2026-02-24T00:00:00"/>
    <n v="423"/>
    <s v="PK-130"/>
    <n v="7"/>
    <x v="0"/>
    <s v="Y"/>
    <s v="Y"/>
    <s v="Y"/>
    <n v="4"/>
    <n v="0.9814385150812065"/>
    <n v="1.6548463356973995E-2"/>
    <n v="1"/>
  </r>
  <r>
    <x v="592"/>
    <x v="0"/>
    <x v="2"/>
    <n v="766"/>
    <d v="2026-03-10T00:00:00"/>
    <d v="2026-03-15T00:00:00"/>
    <d v="2026-03-15T00:00:00"/>
    <n v="767"/>
    <s v="IM-194"/>
    <n v="2"/>
    <x v="0"/>
    <s v="Y"/>
    <s v="Y"/>
    <s v="Y"/>
    <n v="5"/>
    <n v="1.0013054830287207"/>
    <n v="2.6075619295958278E-3"/>
    <n v="1"/>
  </r>
  <r>
    <x v="593"/>
    <x v="2"/>
    <x v="0"/>
    <n v="261"/>
    <d v="2026-03-20T00:00:00"/>
    <d v="2026-03-25T00:00:00"/>
    <d v="2026-03-23T00:00:00"/>
    <n v="253"/>
    <s v="RM-107"/>
    <n v="5"/>
    <x v="0"/>
    <s v="Y"/>
    <s v="N"/>
    <s v="N"/>
    <n v="3"/>
    <n v="0.96934865900383138"/>
    <n v="1.9762845849802372E-2"/>
    <n v="0"/>
  </r>
  <r>
    <x v="594"/>
    <x v="4"/>
    <x v="2"/>
    <n v="724"/>
    <d v="2026-01-30T00:00:00"/>
    <d v="2026-02-11T00:00:00"/>
    <d v="2026-02-08T00:00:00"/>
    <n v="722"/>
    <s v="IM-234"/>
    <n v="6"/>
    <x v="0"/>
    <s v="Y"/>
    <s v="Y"/>
    <s v="Y"/>
    <n v="9"/>
    <n v="0.99723756906077343"/>
    <n v="8.3102493074792248E-3"/>
    <n v="1"/>
  </r>
  <r>
    <x v="595"/>
    <x v="18"/>
    <x v="0"/>
    <n v="651"/>
    <d v="2026-04-04T00:00:00"/>
    <d v="2026-04-17T00:00:00"/>
    <d v="2026-04-14T00:00:00"/>
    <n v="620"/>
    <s v="RM-243"/>
    <n v="36"/>
    <x v="0"/>
    <s v="Y"/>
    <s v="N"/>
    <s v="N"/>
    <n v="10"/>
    <n v="0.95238095238095233"/>
    <n v="5.8064516129032261E-2"/>
    <n v="0"/>
  </r>
  <r>
    <x v="596"/>
    <x v="3"/>
    <x v="1"/>
    <n v="440"/>
    <d v="2026-03-26T00:00:00"/>
    <d v="2026-04-03T00:00:00"/>
    <d v="2026-04-09T00:00:00"/>
    <n v="441"/>
    <s v="PK-298"/>
    <n v="7"/>
    <x v="0"/>
    <s v="N"/>
    <s v="Y"/>
    <s v="N"/>
    <n v="14"/>
    <n v="1.0022727272727272"/>
    <n v="1.5873015873015872E-2"/>
    <n v="0"/>
  </r>
  <r>
    <x v="597"/>
    <x v="11"/>
    <x v="0"/>
    <n v="650"/>
    <d v="2026-04-01T00:00:00"/>
    <d v="2026-04-14T00:00:00"/>
    <d v="2026-04-11T00:00:00"/>
    <n v="581"/>
    <s v="RM-232"/>
    <n v="7"/>
    <x v="0"/>
    <s v="Y"/>
    <s v="N"/>
    <s v="N"/>
    <n v="10"/>
    <n v="0.89384615384615385"/>
    <n v="1.2048192771084338E-2"/>
    <n v="0"/>
  </r>
  <r>
    <x v="598"/>
    <x v="16"/>
    <x v="2"/>
    <n v="994"/>
    <d v="2026-04-03T00:00:00"/>
    <d v="2026-04-09T00:00:00"/>
    <d v="2026-04-06T00:00:00"/>
    <n v="980"/>
    <s v="IM-266"/>
    <n v="4"/>
    <x v="0"/>
    <s v="Y"/>
    <s v="Y"/>
    <s v="Y"/>
    <n v="3"/>
    <n v="0.9859154929577465"/>
    <n v="4.0816326530612249E-3"/>
    <n v="1"/>
  </r>
  <r>
    <x v="599"/>
    <x v="14"/>
    <x v="0"/>
    <n v="880"/>
    <d v="2026-05-07T00:00:00"/>
    <d v="2026-05-14T00:00:00"/>
    <d v="2026-05-11T00:00:00"/>
    <n v="890"/>
    <s v="RM-233"/>
    <n v="22"/>
    <x v="0"/>
    <s v="Y"/>
    <s v="Y"/>
    <s v="Y"/>
    <n v="4"/>
    <n v="1.0113636363636365"/>
    <n v="2.4719101123595506E-2"/>
    <n v="1"/>
  </r>
  <r>
    <x v="600"/>
    <x v="6"/>
    <x v="1"/>
    <n v="729"/>
    <d v="2026-04-08T00:00:00"/>
    <d v="2026-04-19T00:00:00"/>
    <d v="2026-04-18T00:00:00"/>
    <n v="742"/>
    <s v="PK-181"/>
    <n v="31"/>
    <x v="0"/>
    <s v="Y"/>
    <s v="Y"/>
    <s v="Y"/>
    <n v="10"/>
    <n v="1.0178326474622772"/>
    <n v="4.1778975741239892E-2"/>
    <n v="1"/>
  </r>
  <r>
    <x v="601"/>
    <x v="19"/>
    <x v="0"/>
    <n v="152"/>
    <d v="2026-02-18T00:00:00"/>
    <d v="2026-03-05T00:00:00"/>
    <d v="2026-03-14T00:00:00"/>
    <n v="152"/>
    <s v="RM-177"/>
    <n v="1"/>
    <x v="0"/>
    <s v="N"/>
    <s v="Y"/>
    <s v="N"/>
    <n v="24"/>
    <n v="1"/>
    <n v="6.5789473684210523E-3"/>
    <n v="0"/>
  </r>
  <r>
    <x v="602"/>
    <x v="4"/>
    <x v="0"/>
    <n v="82"/>
    <d v="2026-03-12T00:00:00"/>
    <d v="2026-03-19T00:00:00"/>
    <d v="2026-03-19T00:00:00"/>
    <n v="83"/>
    <s v="RM-222"/>
    <n v="1"/>
    <x v="0"/>
    <s v="Y"/>
    <s v="Y"/>
    <s v="Y"/>
    <n v="7"/>
    <n v="1.0121951219512195"/>
    <n v="1.2048192771084338E-2"/>
    <n v="1"/>
  </r>
  <r>
    <x v="603"/>
    <x v="4"/>
    <x v="0"/>
    <n v="654"/>
    <d v="2026-04-25T00:00:00"/>
    <d v="2026-05-06T00:00:00"/>
    <d v="2026-05-07T00:00:00"/>
    <n v="559"/>
    <s v="RM-106"/>
    <n v="5"/>
    <x v="0"/>
    <s v="N"/>
    <s v="N"/>
    <s v="N"/>
    <n v="12"/>
    <n v="0.85474006116207946"/>
    <n v="8.9445438282647581E-3"/>
    <n v="0"/>
  </r>
  <r>
    <x v="604"/>
    <x v="12"/>
    <x v="0"/>
    <n v="105"/>
    <d v="2026-04-20T00:00:00"/>
    <d v="2026-05-03T00:00:00"/>
    <d v="2026-05-02T00:00:00"/>
    <n v="104"/>
    <s v="RM-189"/>
    <n v="2"/>
    <x v="0"/>
    <s v="Y"/>
    <s v="Y"/>
    <s v="Y"/>
    <n v="12"/>
    <n v="0.99047619047619051"/>
    <n v="1.9230769230769232E-2"/>
    <n v="1"/>
  </r>
  <r>
    <x v="605"/>
    <x v="3"/>
    <x v="2"/>
    <n v="501"/>
    <d v="2026-01-09T00:00:00"/>
    <d v="2026-01-18T00:00:00"/>
    <d v="2026-01-18T00:00:00"/>
    <n v="509"/>
    <s v="IM-293"/>
    <n v="11"/>
    <x v="0"/>
    <s v="Y"/>
    <s v="Y"/>
    <s v="Y"/>
    <n v="9"/>
    <n v="1.0159680638722555"/>
    <n v="2.1611001964636542E-2"/>
    <n v="1"/>
  </r>
  <r>
    <x v="606"/>
    <x v="2"/>
    <x v="0"/>
    <n v="492"/>
    <d v="2026-03-04T00:00:00"/>
    <d v="2026-03-10T00:00:00"/>
    <d v="2026-03-09T00:00:00"/>
    <n v="407"/>
    <s v="RM-199"/>
    <n v="22"/>
    <x v="0"/>
    <s v="Y"/>
    <s v="N"/>
    <s v="N"/>
    <n v="5"/>
    <n v="0.82723577235772361"/>
    <n v="5.4054054054054057E-2"/>
    <n v="0"/>
  </r>
  <r>
    <x v="607"/>
    <x v="7"/>
    <x v="2"/>
    <n v="974"/>
    <d v="2026-04-15T00:00:00"/>
    <d v="2026-04-21T00:00:00"/>
    <d v="2026-04-25T00:00:00"/>
    <n v="981"/>
    <s v="IM-260"/>
    <n v="12"/>
    <x v="0"/>
    <s v="N"/>
    <s v="Y"/>
    <s v="N"/>
    <n v="10"/>
    <n v="1.0071868583162218"/>
    <n v="1.2232415902140673E-2"/>
    <n v="0"/>
  </r>
  <r>
    <x v="608"/>
    <x v="7"/>
    <x v="0"/>
    <n v="318"/>
    <d v="2026-03-15T00:00:00"/>
    <d v="2026-03-23T00:00:00"/>
    <d v="2026-03-23T00:00:00"/>
    <n v="322"/>
    <s v="RM-137"/>
    <n v="8"/>
    <x v="0"/>
    <s v="Y"/>
    <s v="Y"/>
    <s v="Y"/>
    <n v="8"/>
    <n v="1.0125786163522013"/>
    <n v="2.4844720496894408E-2"/>
    <n v="1"/>
  </r>
  <r>
    <x v="609"/>
    <x v="16"/>
    <x v="1"/>
    <n v="148"/>
    <d v="2026-02-16T00:00:00"/>
    <d v="2026-03-03T00:00:00"/>
    <d v="2026-03-01T00:00:00"/>
    <n v="148"/>
    <s v="PK-125"/>
    <n v="1"/>
    <x v="0"/>
    <s v="Y"/>
    <s v="Y"/>
    <s v="Y"/>
    <n v="13"/>
    <n v="1"/>
    <n v="6.7567567567567571E-3"/>
    <n v="1"/>
  </r>
  <r>
    <x v="610"/>
    <x v="6"/>
    <x v="0"/>
    <n v="639"/>
    <d v="2026-05-10T00:00:00"/>
    <d v="2026-05-20T00:00:00"/>
    <d v="2026-05-25T00:00:00"/>
    <n v="639"/>
    <s v="RM-195"/>
    <n v="32"/>
    <x v="0"/>
    <s v="N"/>
    <s v="Y"/>
    <s v="N"/>
    <n v="15"/>
    <n v="1"/>
    <n v="5.0078247261345854E-2"/>
    <n v="0"/>
  </r>
  <r>
    <x v="611"/>
    <x v="11"/>
    <x v="1"/>
    <n v="459"/>
    <d v="2026-05-02T00:00:00"/>
    <d v="2026-05-10T00:00:00"/>
    <d v="2026-05-09T00:00:00"/>
    <n v="453"/>
    <s v="PK-156"/>
    <n v="5"/>
    <x v="0"/>
    <s v="Y"/>
    <s v="Y"/>
    <s v="Y"/>
    <n v="7"/>
    <n v="0.98692810457516345"/>
    <n v="1.1037527593818985E-2"/>
    <n v="1"/>
  </r>
  <r>
    <x v="612"/>
    <x v="12"/>
    <x v="0"/>
    <n v="526"/>
    <d v="2026-04-06T00:00:00"/>
    <d v="2026-04-17T00:00:00"/>
    <d v="2026-04-17T00:00:00"/>
    <n v="534"/>
    <s v="RM-224"/>
    <n v="6"/>
    <x v="0"/>
    <s v="Y"/>
    <s v="Y"/>
    <s v="Y"/>
    <n v="11"/>
    <n v="1.0152091254752851"/>
    <n v="1.1235955056179775E-2"/>
    <n v="1"/>
  </r>
  <r>
    <x v="613"/>
    <x v="2"/>
    <x v="2"/>
    <n v="267"/>
    <d v="2026-01-05T00:00:00"/>
    <d v="2026-01-14T00:00:00"/>
    <d v="2026-01-11T00:00:00"/>
    <n v="269"/>
    <s v="IM-260"/>
    <n v="3"/>
    <x v="0"/>
    <s v="Y"/>
    <s v="Y"/>
    <s v="Y"/>
    <n v="6"/>
    <n v="1.0074906367041199"/>
    <n v="1.1152416356877323E-2"/>
    <n v="1"/>
  </r>
  <r>
    <x v="614"/>
    <x v="3"/>
    <x v="1"/>
    <n v="290"/>
    <d v="2026-03-21T00:00:00"/>
    <d v="2026-03-31T00:00:00"/>
    <d v="2026-03-28T00:00:00"/>
    <n v="289"/>
    <s v="PK-290"/>
    <n v="9"/>
    <x v="0"/>
    <s v="Y"/>
    <s v="Y"/>
    <s v="Y"/>
    <n v="7"/>
    <n v="0.99655172413793103"/>
    <n v="3.1141868512110725E-2"/>
    <n v="1"/>
  </r>
  <r>
    <x v="615"/>
    <x v="0"/>
    <x v="1"/>
    <n v="281"/>
    <d v="2026-02-04T00:00:00"/>
    <d v="2026-02-18T00:00:00"/>
    <d v="2026-02-20T00:00:00"/>
    <n v="282"/>
    <s v="PK-158"/>
    <n v="12"/>
    <x v="0"/>
    <s v="N"/>
    <s v="Y"/>
    <s v="N"/>
    <n v="16"/>
    <n v="1.0035587188612101"/>
    <n v="4.2553191489361701E-2"/>
    <n v="0"/>
  </r>
  <r>
    <x v="616"/>
    <x v="12"/>
    <x v="0"/>
    <n v="885"/>
    <d v="2026-04-04T00:00:00"/>
    <d v="2026-04-19T00:00:00"/>
    <d v="2026-04-17T00:00:00"/>
    <n v="900"/>
    <s v="RM-124"/>
    <n v="15"/>
    <x v="0"/>
    <s v="Y"/>
    <s v="Y"/>
    <s v="Y"/>
    <n v="13"/>
    <n v="1.0169491525423728"/>
    <n v="1.6666666666666666E-2"/>
    <n v="1"/>
  </r>
  <r>
    <x v="617"/>
    <x v="12"/>
    <x v="0"/>
    <n v="583"/>
    <d v="2026-01-23T00:00:00"/>
    <d v="2026-01-30T00:00:00"/>
    <d v="2026-02-03T00:00:00"/>
    <n v="572"/>
    <s v="RM-165"/>
    <n v="9"/>
    <x v="0"/>
    <s v="N"/>
    <s v="Y"/>
    <s v="N"/>
    <n v="11"/>
    <n v="0.98113207547169812"/>
    <n v="1.5734265734265736E-2"/>
    <n v="0"/>
  </r>
  <r>
    <x v="618"/>
    <x v="12"/>
    <x v="1"/>
    <n v="939"/>
    <d v="2026-03-17T00:00:00"/>
    <d v="2026-03-23T00:00:00"/>
    <d v="2026-03-21T00:00:00"/>
    <n v="938"/>
    <s v="PK-107"/>
    <n v="17"/>
    <x v="0"/>
    <s v="Y"/>
    <s v="Y"/>
    <s v="Y"/>
    <n v="4"/>
    <n v="0.99893503727369537"/>
    <n v="1.8123667377398719E-2"/>
    <n v="1"/>
  </r>
  <r>
    <x v="619"/>
    <x v="19"/>
    <x v="0"/>
    <n v="423"/>
    <d v="2026-02-22T00:00:00"/>
    <d v="2026-03-07T00:00:00"/>
    <d v="2026-03-12T00:00:00"/>
    <n v="416"/>
    <s v="RM-242"/>
    <n v="9"/>
    <x v="0"/>
    <s v="N"/>
    <s v="Y"/>
    <s v="N"/>
    <n v="18"/>
    <n v="0.98345153664302598"/>
    <n v="2.1634615384615384E-2"/>
    <n v="0"/>
  </r>
  <r>
    <x v="620"/>
    <x v="13"/>
    <x v="1"/>
    <n v="239"/>
    <d v="2026-05-02T00:00:00"/>
    <d v="2026-05-11T00:00:00"/>
    <d v="2026-05-11T00:00:00"/>
    <n v="236"/>
    <s v="PK-101"/>
    <n v="1"/>
    <x v="0"/>
    <s v="Y"/>
    <s v="Y"/>
    <s v="Y"/>
    <n v="9"/>
    <n v="0.9874476987447699"/>
    <n v="4.2372881355932203E-3"/>
    <n v="1"/>
  </r>
  <r>
    <x v="621"/>
    <x v="1"/>
    <x v="0"/>
    <n v="872"/>
    <d v="2026-01-14T00:00:00"/>
    <d v="2026-01-27T00:00:00"/>
    <d v="2026-01-24T00:00:00"/>
    <n v="872"/>
    <s v="RM-119"/>
    <n v="13"/>
    <x v="0"/>
    <s v="Y"/>
    <s v="Y"/>
    <s v="Y"/>
    <n v="10"/>
    <n v="1"/>
    <n v="1.4908256880733946E-2"/>
    <n v="1"/>
  </r>
  <r>
    <x v="622"/>
    <x v="16"/>
    <x v="2"/>
    <n v="241"/>
    <d v="2026-03-23T00:00:00"/>
    <d v="2026-03-29T00:00:00"/>
    <d v="2026-03-29T00:00:00"/>
    <n v="238"/>
    <s v="IM-143"/>
    <n v="1"/>
    <x v="0"/>
    <s v="Y"/>
    <s v="Y"/>
    <s v="Y"/>
    <n v="6"/>
    <n v="0.98755186721991706"/>
    <n v="4.2016806722689074E-3"/>
    <n v="1"/>
  </r>
  <r>
    <x v="623"/>
    <x v="10"/>
    <x v="1"/>
    <n v="973"/>
    <d v="2026-01-30T00:00:00"/>
    <d v="2026-02-06T00:00:00"/>
    <m/>
    <m/>
    <s v="PK-174"/>
    <m/>
    <x v="1"/>
    <s v="N/A"/>
    <s v="N/A"/>
    <s v="N/A"/>
    <s v="N/A"/>
    <s v="N/A"/>
    <s v="N/A"/>
    <s v=""/>
  </r>
  <r>
    <x v="624"/>
    <x v="0"/>
    <x v="1"/>
    <n v="278"/>
    <d v="2026-02-23T00:00:00"/>
    <d v="2026-03-03T00:00:00"/>
    <d v="2026-03-03T00:00:00"/>
    <n v="283"/>
    <s v="PK-273"/>
    <n v="12"/>
    <x v="0"/>
    <s v="Y"/>
    <s v="Y"/>
    <s v="Y"/>
    <n v="8"/>
    <n v="1.0179856115107915"/>
    <n v="4.2402826855123678E-2"/>
    <n v="1"/>
  </r>
  <r>
    <x v="625"/>
    <x v="2"/>
    <x v="1"/>
    <n v="773"/>
    <d v="2026-04-27T00:00:00"/>
    <d v="2026-05-02T00:00:00"/>
    <d v="2026-04-30T00:00:00"/>
    <n v="772"/>
    <s v="PK-138"/>
    <n v="28"/>
    <x v="0"/>
    <s v="Y"/>
    <s v="Y"/>
    <s v="Y"/>
    <n v="3"/>
    <n v="0.99870633893919791"/>
    <n v="3.6269430051813469E-2"/>
    <n v="1"/>
  </r>
  <r>
    <x v="626"/>
    <x v="0"/>
    <x v="1"/>
    <n v="121"/>
    <d v="2026-02-15T00:00:00"/>
    <d v="2026-02-26T00:00:00"/>
    <d v="2026-02-25T00:00:00"/>
    <n v="120"/>
    <s v="PK-232"/>
    <n v="4"/>
    <x v="0"/>
    <s v="Y"/>
    <s v="Y"/>
    <s v="Y"/>
    <n v="10"/>
    <n v="0.99173553719008267"/>
    <n v="3.3333333333333333E-2"/>
    <n v="1"/>
  </r>
  <r>
    <x v="627"/>
    <x v="13"/>
    <x v="1"/>
    <n v="108"/>
    <d v="2026-05-09T00:00:00"/>
    <d v="2026-05-20T00:00:00"/>
    <d v="2026-05-26T00:00:00"/>
    <n v="101"/>
    <s v="PK-279"/>
    <n v="2"/>
    <x v="0"/>
    <s v="N"/>
    <s v="N"/>
    <s v="N"/>
    <n v="17"/>
    <n v="0.93518518518518523"/>
    <n v="1.9801980198019802E-2"/>
    <n v="0"/>
  </r>
  <r>
    <x v="628"/>
    <x v="15"/>
    <x v="1"/>
    <n v="870"/>
    <d v="2026-04-01T00:00:00"/>
    <d v="2026-04-11T00:00:00"/>
    <d v="2026-04-15T00:00:00"/>
    <n v="856"/>
    <s v="PK-265"/>
    <n v="5"/>
    <x v="0"/>
    <s v="N"/>
    <s v="Y"/>
    <s v="N"/>
    <n v="14"/>
    <n v="0.98390804597701154"/>
    <n v="5.8411214953271026E-3"/>
    <n v="0"/>
  </r>
  <r>
    <x v="629"/>
    <x v="19"/>
    <x v="0"/>
    <n v="612"/>
    <d v="2026-03-08T00:00:00"/>
    <d v="2026-03-19T00:00:00"/>
    <d v="2026-03-17T00:00:00"/>
    <n v="621"/>
    <s v="RM-228"/>
    <n v="14"/>
    <x v="0"/>
    <s v="Y"/>
    <s v="Y"/>
    <s v="Y"/>
    <n v="9"/>
    <n v="1.0147058823529411"/>
    <n v="2.2544283413848631E-2"/>
    <n v="1"/>
  </r>
  <r>
    <x v="630"/>
    <x v="4"/>
    <x v="1"/>
    <n v="428"/>
    <d v="2026-04-28T00:00:00"/>
    <d v="2026-05-08T00:00:00"/>
    <d v="2026-05-11T00:00:00"/>
    <n v="422"/>
    <s v="PK-130"/>
    <n v="4"/>
    <x v="0"/>
    <s v="N"/>
    <s v="Y"/>
    <s v="N"/>
    <n v="13"/>
    <n v="0.98598130841121501"/>
    <n v="9.4786729857819912E-3"/>
    <n v="0"/>
  </r>
  <r>
    <x v="631"/>
    <x v="9"/>
    <x v="0"/>
    <n v="784"/>
    <d v="2026-04-28T00:00:00"/>
    <d v="2026-05-05T00:00:00"/>
    <d v="2026-05-02T00:00:00"/>
    <n v="781"/>
    <s v="RM-195"/>
    <n v="55"/>
    <x v="0"/>
    <s v="Y"/>
    <s v="Y"/>
    <s v="Y"/>
    <n v="4"/>
    <n v="0.99617346938775508"/>
    <n v="7.0422535211267609E-2"/>
    <n v="1"/>
  </r>
  <r>
    <x v="632"/>
    <x v="10"/>
    <x v="0"/>
    <n v="665"/>
    <d v="2026-02-26T00:00:00"/>
    <d v="2026-03-07T00:00:00"/>
    <d v="2026-03-12T00:00:00"/>
    <n v="674"/>
    <s v="RM-237"/>
    <n v="47"/>
    <x v="0"/>
    <s v="N"/>
    <s v="Y"/>
    <s v="N"/>
    <n v="14"/>
    <n v="1.0135338345864662"/>
    <n v="6.9732937685459948E-2"/>
    <n v="0"/>
  </r>
  <r>
    <x v="633"/>
    <x v="10"/>
    <x v="0"/>
    <n v="418"/>
    <d v="2026-03-25T00:00:00"/>
    <d v="2026-04-06T00:00:00"/>
    <d v="2026-04-03T00:00:00"/>
    <n v="422"/>
    <s v="RM-161"/>
    <n v="26"/>
    <x v="0"/>
    <s v="Y"/>
    <s v="Y"/>
    <s v="Y"/>
    <n v="9"/>
    <n v="1.0095693779904307"/>
    <n v="6.1611374407582936E-2"/>
    <n v="1"/>
  </r>
  <r>
    <x v="634"/>
    <x v="2"/>
    <x v="2"/>
    <n v="940"/>
    <d v="2026-04-03T00:00:00"/>
    <d v="2026-04-08T00:00:00"/>
    <d v="2026-04-05T00:00:00"/>
    <n v="938"/>
    <s v="IM-183"/>
    <n v="28"/>
    <x v="0"/>
    <s v="Y"/>
    <s v="Y"/>
    <s v="Y"/>
    <n v="2"/>
    <n v="0.99787234042553197"/>
    <n v="2.9850746268656716E-2"/>
    <n v="1"/>
  </r>
  <r>
    <x v="635"/>
    <x v="0"/>
    <x v="0"/>
    <n v="550"/>
    <d v="2026-04-14T00:00:00"/>
    <d v="2026-04-23T00:00:00"/>
    <d v="2026-04-23T00:00:00"/>
    <n v="482"/>
    <s v="RM-241"/>
    <n v="2"/>
    <x v="0"/>
    <s v="Y"/>
    <s v="N"/>
    <s v="N"/>
    <n v="9"/>
    <n v="0.87636363636363634"/>
    <n v="4.1493775933609959E-3"/>
    <n v="0"/>
  </r>
  <r>
    <x v="636"/>
    <x v="11"/>
    <x v="2"/>
    <n v="475"/>
    <d v="2026-04-01T00:00:00"/>
    <d v="2026-04-08T00:00:00"/>
    <d v="2026-04-07T00:00:00"/>
    <n v="480"/>
    <s v="IM-199"/>
    <n v="4"/>
    <x v="0"/>
    <s v="Y"/>
    <s v="Y"/>
    <s v="Y"/>
    <n v="6"/>
    <n v="1.0105263157894737"/>
    <n v="8.3333333333333332E-3"/>
    <n v="1"/>
  </r>
  <r>
    <x v="637"/>
    <x v="15"/>
    <x v="1"/>
    <n v="745"/>
    <d v="2026-01-29T00:00:00"/>
    <d v="2026-02-06T00:00:00"/>
    <d v="2026-02-11T00:00:00"/>
    <n v="740"/>
    <s v="PK-196"/>
    <n v="6"/>
    <x v="0"/>
    <s v="N"/>
    <s v="Y"/>
    <s v="N"/>
    <n v="13"/>
    <n v="0.99328859060402686"/>
    <n v="8.1081081081081086E-3"/>
    <n v="0"/>
  </r>
  <r>
    <x v="638"/>
    <x v="14"/>
    <x v="1"/>
    <n v="377"/>
    <d v="2026-05-06T00:00:00"/>
    <d v="2026-05-15T00:00:00"/>
    <d v="2026-05-12T00:00:00"/>
    <n v="371"/>
    <s v="PK-211"/>
    <n v="19"/>
    <x v="0"/>
    <s v="Y"/>
    <s v="Y"/>
    <s v="Y"/>
    <n v="6"/>
    <n v="0.98408488063660482"/>
    <n v="5.1212938005390833E-2"/>
    <n v="1"/>
  </r>
  <r>
    <x v="639"/>
    <x v="5"/>
    <x v="2"/>
    <n v="646"/>
    <d v="2026-04-18T00:00:00"/>
    <d v="2026-04-24T00:00:00"/>
    <d v="2026-04-23T00:00:00"/>
    <n v="544"/>
    <s v="IM-269"/>
    <n v="3"/>
    <x v="0"/>
    <s v="Y"/>
    <s v="N"/>
    <s v="N"/>
    <n v="5"/>
    <n v="0.84210526315789469"/>
    <n v="5.5147058823529415E-3"/>
    <n v="0"/>
  </r>
  <r>
    <x v="640"/>
    <x v="9"/>
    <x v="1"/>
    <n v="360"/>
    <d v="2026-01-23T00:00:00"/>
    <d v="2026-02-05T00:00:00"/>
    <d v="2026-02-06T00:00:00"/>
    <n v="365"/>
    <s v="PK-152"/>
    <n v="12"/>
    <x v="0"/>
    <s v="N"/>
    <s v="Y"/>
    <s v="N"/>
    <n v="14"/>
    <n v="1.0138888888888888"/>
    <n v="3.287671232876712E-2"/>
    <n v="0"/>
  </r>
  <r>
    <x v="641"/>
    <x v="1"/>
    <x v="1"/>
    <n v="618"/>
    <d v="2026-01-26T00:00:00"/>
    <d v="2026-02-10T00:00:00"/>
    <d v="2026-02-08T00:00:00"/>
    <n v="616"/>
    <s v="PK-183"/>
    <n v="14"/>
    <x v="0"/>
    <s v="Y"/>
    <s v="Y"/>
    <s v="Y"/>
    <n v="13"/>
    <n v="0.99676375404530748"/>
    <n v="2.2727272727272728E-2"/>
    <n v="1"/>
  </r>
  <r>
    <x v="642"/>
    <x v="5"/>
    <x v="0"/>
    <n v="969"/>
    <d v="2026-03-06T00:00:00"/>
    <d v="2026-03-15T00:00:00"/>
    <d v="2026-03-14T00:00:00"/>
    <n v="953"/>
    <s v="RM-299"/>
    <n v="8"/>
    <x v="0"/>
    <s v="Y"/>
    <s v="Y"/>
    <s v="Y"/>
    <n v="8"/>
    <n v="0.98348813209494323"/>
    <n v="8.3945435466946487E-3"/>
    <n v="1"/>
  </r>
  <r>
    <x v="643"/>
    <x v="19"/>
    <x v="2"/>
    <n v="332"/>
    <d v="2026-01-31T00:00:00"/>
    <d v="2026-02-09T00:00:00"/>
    <d v="2026-02-08T00:00:00"/>
    <n v="338"/>
    <s v="IM-239"/>
    <n v="12"/>
    <x v="0"/>
    <s v="Y"/>
    <s v="Y"/>
    <s v="Y"/>
    <n v="8"/>
    <n v="1.0180722891566265"/>
    <n v="3.5502958579881658E-2"/>
    <n v="1"/>
  </r>
  <r>
    <x v="644"/>
    <x v="18"/>
    <x v="2"/>
    <n v="742"/>
    <d v="2026-04-10T00:00:00"/>
    <d v="2026-04-22T00:00:00"/>
    <d v="2026-04-19T00:00:00"/>
    <n v="679"/>
    <s v="IM-135"/>
    <n v="32"/>
    <x v="0"/>
    <s v="Y"/>
    <s v="N"/>
    <s v="N"/>
    <n v="9"/>
    <n v="0.91509433962264153"/>
    <n v="4.7128129602356406E-2"/>
    <n v="0"/>
  </r>
  <r>
    <x v="645"/>
    <x v="16"/>
    <x v="0"/>
    <n v="741"/>
    <d v="2026-05-30T00:00:00"/>
    <d v="2026-06-06T00:00:00"/>
    <d v="2026-06-14T00:00:00"/>
    <n v="745"/>
    <s v="RM-297"/>
    <n v="3"/>
    <x v="0"/>
    <s v="N"/>
    <s v="Y"/>
    <s v="N"/>
    <n v="15"/>
    <n v="1.0053981106612686"/>
    <n v="4.0268456375838931E-3"/>
    <n v="0"/>
  </r>
  <r>
    <x v="646"/>
    <x v="10"/>
    <x v="1"/>
    <n v="690"/>
    <d v="2026-05-01T00:00:00"/>
    <d v="2026-05-08T00:00:00"/>
    <d v="2026-05-07T00:00:00"/>
    <n v="693"/>
    <s v="PK-247"/>
    <n v="67"/>
    <x v="0"/>
    <s v="Y"/>
    <s v="Y"/>
    <s v="Y"/>
    <n v="6"/>
    <n v="1.0043478260869565"/>
    <n v="9.6681096681096687E-2"/>
    <n v="1"/>
  </r>
  <r>
    <x v="647"/>
    <x v="0"/>
    <x v="2"/>
    <n v="816"/>
    <d v="2026-03-26T00:00:00"/>
    <d v="2026-03-31T00:00:00"/>
    <d v="2026-03-30T00:00:00"/>
    <n v="808"/>
    <s v="IM-180"/>
    <n v="1"/>
    <x v="0"/>
    <s v="Y"/>
    <s v="Y"/>
    <s v="Y"/>
    <n v="4"/>
    <n v="0.99019607843137258"/>
    <n v="1.2376237623762376E-3"/>
    <n v="1"/>
  </r>
  <r>
    <x v="648"/>
    <x v="7"/>
    <x v="1"/>
    <n v="654"/>
    <d v="2026-02-18T00:00:00"/>
    <d v="2026-02-26T00:00:00"/>
    <d v="2026-03-02T00:00:00"/>
    <n v="666"/>
    <s v="PK-220"/>
    <n v="19"/>
    <x v="0"/>
    <s v="N"/>
    <s v="Y"/>
    <s v="N"/>
    <n v="12"/>
    <n v="1.0183486238532109"/>
    <n v="2.8528528528528527E-2"/>
    <n v="0"/>
  </r>
  <r>
    <x v="649"/>
    <x v="2"/>
    <x v="1"/>
    <n v="199"/>
    <d v="2026-02-24T00:00:00"/>
    <d v="2026-03-10T00:00:00"/>
    <d v="2026-03-10T00:00:00"/>
    <n v="197"/>
    <s v="PK-137"/>
    <n v="5"/>
    <x v="0"/>
    <s v="Y"/>
    <s v="Y"/>
    <s v="Y"/>
    <n v="14"/>
    <n v="0.98994974874371855"/>
    <n v="2.5380710659898477E-2"/>
    <n v="1"/>
  </r>
  <r>
    <x v="650"/>
    <x v="13"/>
    <x v="0"/>
    <n v="299"/>
    <d v="2026-05-19T00:00:00"/>
    <d v="2026-05-26T00:00:00"/>
    <d v="2026-05-24T00:00:00"/>
    <n v="278"/>
    <s v="RM-185"/>
    <n v="10"/>
    <x v="0"/>
    <s v="Y"/>
    <s v="N"/>
    <s v="N"/>
    <n v="5"/>
    <n v="0.92976588628762546"/>
    <n v="3.5971223021582732E-2"/>
    <n v="0"/>
  </r>
  <r>
    <x v="651"/>
    <x v="4"/>
    <x v="0"/>
    <n v="597"/>
    <d v="2026-04-06T00:00:00"/>
    <d v="2026-04-13T00:00:00"/>
    <d v="2026-04-11T00:00:00"/>
    <n v="597"/>
    <s v="RM-109"/>
    <n v="8"/>
    <x v="0"/>
    <s v="Y"/>
    <s v="Y"/>
    <s v="Y"/>
    <n v="5"/>
    <n v="1"/>
    <n v="1.340033500837521E-2"/>
    <n v="1"/>
  </r>
  <r>
    <x v="652"/>
    <x v="4"/>
    <x v="0"/>
    <n v="486"/>
    <d v="2026-04-09T00:00:00"/>
    <d v="2026-04-16T00:00:00"/>
    <d v="2026-04-13T00:00:00"/>
    <n v="451"/>
    <s v="RM-149"/>
    <n v="11"/>
    <x v="0"/>
    <s v="Y"/>
    <s v="N"/>
    <s v="N"/>
    <n v="4"/>
    <n v="0.92798353909465026"/>
    <n v="2.4390243902439025E-2"/>
    <n v="0"/>
  </r>
  <r>
    <x v="653"/>
    <x v="11"/>
    <x v="0"/>
    <n v="353"/>
    <d v="2026-03-19T00:00:00"/>
    <d v="2026-03-24T00:00:00"/>
    <d v="2026-03-24T00:00:00"/>
    <n v="351"/>
    <s v="RM-245"/>
    <n v="2"/>
    <x v="0"/>
    <s v="Y"/>
    <s v="Y"/>
    <s v="Y"/>
    <n v="5"/>
    <n v="0.99433427762039661"/>
    <n v="5.6980056980056983E-3"/>
    <n v="1"/>
  </r>
  <r>
    <x v="654"/>
    <x v="10"/>
    <x v="1"/>
    <n v="774"/>
    <d v="2026-04-17T00:00:00"/>
    <d v="2026-04-27T00:00:00"/>
    <d v="2026-04-25T00:00:00"/>
    <n v="765"/>
    <s v="PK-274"/>
    <n v="61"/>
    <x v="0"/>
    <s v="Y"/>
    <s v="Y"/>
    <s v="Y"/>
    <n v="8"/>
    <n v="0.98837209302325579"/>
    <n v="7.9738562091503262E-2"/>
    <n v="1"/>
  </r>
  <r>
    <x v="655"/>
    <x v="16"/>
    <x v="0"/>
    <n v="485"/>
    <d v="2026-04-06T00:00:00"/>
    <d v="2026-04-14T00:00:00"/>
    <d v="2026-04-13T00:00:00"/>
    <n v="494"/>
    <s v="RM-298"/>
    <n v="5"/>
    <x v="0"/>
    <s v="Y"/>
    <s v="Y"/>
    <s v="Y"/>
    <n v="7"/>
    <n v="1.0185567010309278"/>
    <n v="1.0121457489878543E-2"/>
    <n v="1"/>
  </r>
  <r>
    <x v="656"/>
    <x v="9"/>
    <x v="0"/>
    <n v="627"/>
    <d v="2026-02-28T00:00:00"/>
    <d v="2026-03-09T00:00:00"/>
    <d v="2026-03-06T00:00:00"/>
    <n v="638"/>
    <s v="RM-131"/>
    <n v="40"/>
    <x v="0"/>
    <s v="Y"/>
    <s v="Y"/>
    <s v="Y"/>
    <n v="6"/>
    <n v="1.0175438596491229"/>
    <n v="6.2695924764890276E-2"/>
    <n v="1"/>
  </r>
  <r>
    <x v="657"/>
    <x v="13"/>
    <x v="0"/>
    <n v="265"/>
    <d v="2026-05-23T00:00:00"/>
    <d v="2026-05-29T00:00:00"/>
    <d v="2026-05-26T00:00:00"/>
    <n v="267"/>
    <s v="RM-186"/>
    <n v="6"/>
    <x v="0"/>
    <s v="Y"/>
    <s v="Y"/>
    <s v="Y"/>
    <n v="3"/>
    <n v="1.0075471698113208"/>
    <n v="2.247191011235955E-2"/>
    <n v="1"/>
  </r>
  <r>
    <x v="658"/>
    <x v="9"/>
    <x v="0"/>
    <n v="791"/>
    <d v="2026-04-10T00:00:00"/>
    <d v="2026-04-20T00:00:00"/>
    <d v="2026-04-18T00:00:00"/>
    <n v="787"/>
    <s v="RM-249"/>
    <n v="45"/>
    <x v="0"/>
    <s v="Y"/>
    <s v="Y"/>
    <s v="Y"/>
    <n v="8"/>
    <n v="0.9949431099873578"/>
    <n v="5.7179161372299871E-2"/>
    <n v="1"/>
  </r>
  <r>
    <x v="659"/>
    <x v="0"/>
    <x v="2"/>
    <n v="593"/>
    <d v="2026-06-02T00:00:00"/>
    <d v="2026-06-17T00:00:00"/>
    <d v="2026-06-15T00:00:00"/>
    <n v="586"/>
    <s v="IM-140"/>
    <n v="11"/>
    <x v="0"/>
    <s v="Y"/>
    <s v="Y"/>
    <s v="Y"/>
    <n v="13"/>
    <n v="0.98819561551433388"/>
    <n v="1.877133105802048E-2"/>
    <n v="1"/>
  </r>
  <r>
    <x v="660"/>
    <x v="9"/>
    <x v="1"/>
    <n v="783"/>
    <d v="2026-05-01T00:00:00"/>
    <d v="2026-05-09T00:00:00"/>
    <d v="2026-05-06T00:00:00"/>
    <n v="778"/>
    <s v="PK-157"/>
    <n v="24"/>
    <x v="0"/>
    <s v="Y"/>
    <s v="Y"/>
    <s v="Y"/>
    <n v="5"/>
    <n v="0.99361430395913153"/>
    <n v="3.0848329048843187E-2"/>
    <n v="1"/>
  </r>
  <r>
    <x v="661"/>
    <x v="16"/>
    <x v="1"/>
    <n v="132"/>
    <d v="2026-04-09T00:00:00"/>
    <d v="2026-04-22T00:00:00"/>
    <d v="2026-04-29T00:00:00"/>
    <n v="116"/>
    <s v="unknown_SKU"/>
    <n v="0"/>
    <x v="0"/>
    <s v="N"/>
    <s v="N"/>
    <s v="N"/>
    <n v="20"/>
    <n v="0.87878787878787878"/>
    <n v="0"/>
    <n v="0"/>
  </r>
  <r>
    <x v="662"/>
    <x v="18"/>
    <x v="0"/>
    <n v="157"/>
    <d v="2026-03-28T00:00:00"/>
    <d v="2026-04-12T00:00:00"/>
    <d v="2026-04-12T00:00:00"/>
    <n v="141"/>
    <s v="RM-104"/>
    <n v="6"/>
    <x v="0"/>
    <s v="Y"/>
    <s v="N"/>
    <s v="N"/>
    <n v="15"/>
    <n v="0.89808917197452232"/>
    <n v="4.2553191489361701E-2"/>
    <n v="0"/>
  </r>
  <r>
    <x v="663"/>
    <x v="9"/>
    <x v="2"/>
    <n v="222"/>
    <d v="2026-05-09T00:00:00"/>
    <d v="2026-05-17T00:00:00"/>
    <d v="2026-05-14T00:00:00"/>
    <n v="219"/>
    <s v="IM-241"/>
    <n v="11"/>
    <x v="0"/>
    <s v="Y"/>
    <s v="Y"/>
    <s v="Y"/>
    <n v="5"/>
    <n v="0.98648648648648651"/>
    <n v="5.0228310502283102E-2"/>
    <n v="1"/>
  </r>
  <r>
    <x v="664"/>
    <x v="0"/>
    <x v="0"/>
    <n v="568"/>
    <d v="2026-01-16T00:00:00"/>
    <d v="2026-01-31T00:00:00"/>
    <m/>
    <m/>
    <s v="RM-188"/>
    <m/>
    <x v="1"/>
    <s v="N/A"/>
    <s v="N/A"/>
    <s v="N/A"/>
    <s v="N/A"/>
    <s v="N/A"/>
    <s v="N/A"/>
    <s v=""/>
  </r>
  <r>
    <x v="665"/>
    <x v="0"/>
    <x v="0"/>
    <n v="759"/>
    <d v="2026-03-14T00:00:00"/>
    <d v="2026-03-25T00:00:00"/>
    <d v="2026-03-23T00:00:00"/>
    <n v="771"/>
    <s v="RM-124"/>
    <n v="11"/>
    <x v="0"/>
    <s v="Y"/>
    <s v="Y"/>
    <s v="Y"/>
    <n v="9"/>
    <n v="1.0158102766798418"/>
    <n v="1.4267185473411154E-2"/>
    <n v="1"/>
  </r>
  <r>
    <x v="666"/>
    <x v="12"/>
    <x v="0"/>
    <n v="130"/>
    <d v="2026-03-24T00:00:00"/>
    <d v="2026-04-07T00:00:00"/>
    <d v="2026-04-05T00:00:00"/>
    <n v="130"/>
    <s v="RM-224"/>
    <n v="2"/>
    <x v="0"/>
    <s v="Y"/>
    <s v="Y"/>
    <s v="Y"/>
    <n v="12"/>
    <n v="1"/>
    <n v="1.5384615384615385E-2"/>
    <n v="1"/>
  </r>
  <r>
    <x v="667"/>
    <x v="12"/>
    <x v="1"/>
    <n v="216"/>
    <d v="2026-04-03T00:00:00"/>
    <d v="2026-04-08T00:00:00"/>
    <d v="2026-04-06T00:00:00"/>
    <n v="216"/>
    <s v="PK-280"/>
    <n v="4"/>
    <x v="0"/>
    <s v="Y"/>
    <s v="Y"/>
    <s v="Y"/>
    <n v="3"/>
    <n v="1"/>
    <n v="1.8518518518518517E-2"/>
    <n v="1"/>
  </r>
  <r>
    <x v="668"/>
    <x v="8"/>
    <x v="2"/>
    <n v="178"/>
    <d v="2026-04-26T00:00:00"/>
    <d v="2026-05-09T00:00:00"/>
    <d v="2026-05-07T00:00:00"/>
    <n v="178"/>
    <s v="IM-183"/>
    <n v="12"/>
    <x v="0"/>
    <s v="Y"/>
    <s v="Y"/>
    <s v="Y"/>
    <n v="11"/>
    <n v="1"/>
    <n v="6.741573033707865E-2"/>
    <n v="1"/>
  </r>
  <r>
    <x v="669"/>
    <x v="1"/>
    <x v="1"/>
    <n v="235"/>
    <d v="2026-02-02T00:00:00"/>
    <d v="2026-02-11T00:00:00"/>
    <d v="2026-02-18T00:00:00"/>
    <n v="231"/>
    <s v="PK-177"/>
    <n v="0"/>
    <x v="0"/>
    <s v="N"/>
    <s v="Y"/>
    <s v="N"/>
    <n v="16"/>
    <n v="0.98297872340425529"/>
    <n v="0"/>
    <n v="0"/>
  </r>
  <r>
    <x v="670"/>
    <x v="4"/>
    <x v="1"/>
    <n v="497"/>
    <d v="2026-04-11T00:00:00"/>
    <d v="2026-04-23T00:00:00"/>
    <d v="2026-04-23T00:00:00"/>
    <n v="504"/>
    <s v="PK-150"/>
    <n v="14"/>
    <x v="0"/>
    <s v="Y"/>
    <s v="Y"/>
    <s v="Y"/>
    <n v="12"/>
    <n v="1.0140845070422535"/>
    <n v="2.7777777777777776E-2"/>
    <n v="1"/>
  </r>
  <r>
    <x v="671"/>
    <x v="0"/>
    <x v="1"/>
    <n v="254"/>
    <d v="2026-03-23T00:00:00"/>
    <d v="2026-03-30T00:00:00"/>
    <d v="2026-03-28T00:00:00"/>
    <n v="253"/>
    <s v="PK-100"/>
    <n v="6"/>
    <x v="0"/>
    <s v="Y"/>
    <s v="Y"/>
    <s v="Y"/>
    <n v="5"/>
    <n v="0.99606299212598426"/>
    <n v="2.3715415019762844E-2"/>
    <n v="1"/>
  </r>
  <r>
    <x v="672"/>
    <x v="16"/>
    <x v="1"/>
    <n v="99"/>
    <d v="2026-03-22T00:00:00"/>
    <d v="2026-04-04T00:00:00"/>
    <d v="2026-04-04T00:00:00"/>
    <n v="89"/>
    <s v="PK-142"/>
    <n v="1"/>
    <x v="0"/>
    <s v="Y"/>
    <s v="N"/>
    <s v="N"/>
    <n v="13"/>
    <n v="0.89898989898989901"/>
    <n v="1.1235955056179775E-2"/>
    <n v="0"/>
  </r>
  <r>
    <x v="673"/>
    <x v="18"/>
    <x v="2"/>
    <n v="603"/>
    <d v="2026-04-16T00:00:00"/>
    <d v="2026-04-22T00:00:00"/>
    <d v="2026-04-22T00:00:00"/>
    <n v="614"/>
    <s v="IM-207"/>
    <n v="31"/>
    <x v="0"/>
    <s v="Y"/>
    <s v="Y"/>
    <s v="Y"/>
    <n v="6"/>
    <n v="1.0182421227197347"/>
    <n v="5.0488599348534204E-2"/>
    <n v="1"/>
  </r>
  <r>
    <x v="674"/>
    <x v="14"/>
    <x v="0"/>
    <n v="858"/>
    <d v="2026-01-16T00:00:00"/>
    <d v="2026-01-23T00:00:00"/>
    <d v="2026-01-21T00:00:00"/>
    <n v="863"/>
    <s v="RM-212"/>
    <n v="12"/>
    <x v="0"/>
    <s v="Y"/>
    <s v="Y"/>
    <s v="Y"/>
    <n v="5"/>
    <n v="1.0058275058275059"/>
    <n v="1.3904982618771726E-2"/>
    <n v="1"/>
  </r>
  <r>
    <x v="675"/>
    <x v="0"/>
    <x v="0"/>
    <n v="779"/>
    <d v="2026-03-11T00:00:00"/>
    <d v="2026-03-19T00:00:00"/>
    <d v="2026-03-16T00:00:00"/>
    <n v="768"/>
    <s v="RM-260"/>
    <n v="22"/>
    <x v="0"/>
    <s v="Y"/>
    <s v="Y"/>
    <s v="Y"/>
    <n v="5"/>
    <n v="0.98587933247753534"/>
    <n v="2.8645833333333332E-2"/>
    <n v="1"/>
  </r>
  <r>
    <x v="676"/>
    <x v="7"/>
    <x v="1"/>
    <n v="412"/>
    <d v="2026-05-31T00:00:00"/>
    <d v="2026-06-15T00:00:00"/>
    <d v="2026-06-12T00:00:00"/>
    <n v="411"/>
    <s v="PK-110"/>
    <n v="11"/>
    <x v="0"/>
    <s v="Y"/>
    <s v="Y"/>
    <s v="Y"/>
    <n v="12"/>
    <n v="0.99757281553398058"/>
    <n v="2.6763990267639901E-2"/>
    <n v="1"/>
  </r>
  <r>
    <x v="677"/>
    <x v="0"/>
    <x v="1"/>
    <n v="685"/>
    <d v="2026-03-16T00:00:00"/>
    <d v="2026-03-26T00:00:00"/>
    <d v="2026-03-25T00:00:00"/>
    <n v="681"/>
    <s v="PK-142"/>
    <n v="24"/>
    <x v="0"/>
    <s v="Y"/>
    <s v="Y"/>
    <s v="Y"/>
    <n v="9"/>
    <n v="0.99416058394160589"/>
    <n v="3.5242290748898682E-2"/>
    <n v="1"/>
  </r>
  <r>
    <x v="678"/>
    <x v="6"/>
    <x v="0"/>
    <n v="346"/>
    <d v="2026-04-16T00:00:00"/>
    <d v="2026-04-30T00:00:00"/>
    <d v="2026-04-28T00:00:00"/>
    <n v="350"/>
    <s v="RM-134"/>
    <n v="13"/>
    <x v="0"/>
    <s v="Y"/>
    <s v="Y"/>
    <s v="Y"/>
    <n v="12"/>
    <n v="1.0115606936416186"/>
    <n v="3.7142857142857144E-2"/>
    <n v="1"/>
  </r>
  <r>
    <x v="679"/>
    <x v="6"/>
    <x v="0"/>
    <n v="954"/>
    <d v="2026-03-09T00:00:00"/>
    <d v="2026-03-20T00:00:00"/>
    <d v="2026-03-18T00:00:00"/>
    <n v="948"/>
    <s v="RM-214"/>
    <n v="18"/>
    <x v="0"/>
    <s v="Y"/>
    <s v="Y"/>
    <s v="Y"/>
    <n v="9"/>
    <n v="0.99371069182389937"/>
    <n v="1.8987341772151899E-2"/>
    <n v="1"/>
  </r>
  <r>
    <x v="680"/>
    <x v="18"/>
    <x v="0"/>
    <n v="468"/>
    <d v="2026-01-25T00:00:00"/>
    <d v="2026-02-08T00:00:00"/>
    <d v="2026-02-05T00:00:00"/>
    <n v="468"/>
    <s v="RM-200"/>
    <n v="2"/>
    <x v="0"/>
    <s v="Y"/>
    <s v="Y"/>
    <s v="Y"/>
    <n v="11"/>
    <n v="1"/>
    <n v="4.2735042735042739E-3"/>
    <n v="1"/>
  </r>
  <r>
    <x v="681"/>
    <x v="15"/>
    <x v="0"/>
    <n v="952"/>
    <d v="2026-03-22T00:00:00"/>
    <d v="2026-04-03T00:00:00"/>
    <d v="2026-04-02T00:00:00"/>
    <n v="794"/>
    <s v="RM-211"/>
    <n v="0"/>
    <x v="0"/>
    <s v="Y"/>
    <s v="N"/>
    <s v="N"/>
    <n v="11"/>
    <n v="0.83403361344537819"/>
    <n v="0"/>
    <n v="0"/>
  </r>
  <r>
    <x v="682"/>
    <x v="10"/>
    <x v="1"/>
    <n v="733"/>
    <d v="2026-03-12T00:00:00"/>
    <d v="2026-03-21T00:00:00"/>
    <d v="2026-03-20T00:00:00"/>
    <n v="737"/>
    <s v="PK-145"/>
    <n v="4"/>
    <x v="0"/>
    <s v="Y"/>
    <s v="Y"/>
    <s v="Y"/>
    <n v="8"/>
    <n v="1.005457025920873"/>
    <n v="5.4274084124830389E-3"/>
    <n v="1"/>
  </r>
  <r>
    <x v="683"/>
    <x v="6"/>
    <x v="1"/>
    <n v="454"/>
    <d v="2026-04-29T00:00:00"/>
    <d v="2026-05-09T00:00:00"/>
    <d v="2026-05-07T00:00:00"/>
    <n v="452"/>
    <s v="PK-286"/>
    <n v="31"/>
    <x v="0"/>
    <s v="Y"/>
    <s v="Y"/>
    <s v="Y"/>
    <n v="8"/>
    <n v="0.99559471365638763"/>
    <n v="6.8584070796460173E-2"/>
    <n v="1"/>
  </r>
  <r>
    <x v="684"/>
    <x v="0"/>
    <x v="1"/>
    <n v="158"/>
    <d v="2026-04-11T00:00:00"/>
    <d v="2026-04-17T00:00:00"/>
    <d v="2026-04-15T00:00:00"/>
    <n v="157"/>
    <s v="PK-118"/>
    <n v="3"/>
    <x v="0"/>
    <s v="Y"/>
    <s v="Y"/>
    <s v="Y"/>
    <n v="4"/>
    <n v="0.99367088607594933"/>
    <n v="1.9108280254777069E-2"/>
    <n v="1"/>
  </r>
  <r>
    <x v="685"/>
    <x v="10"/>
    <x v="1"/>
    <n v="444"/>
    <d v="2026-04-12T00:00:00"/>
    <d v="2026-04-24T00:00:00"/>
    <d v="2026-04-22T00:00:00"/>
    <n v="435"/>
    <s v="PK-203"/>
    <n v="18"/>
    <x v="0"/>
    <s v="Y"/>
    <s v="N"/>
    <s v="N"/>
    <n v="10"/>
    <n v="0.97972972972972971"/>
    <n v="4.1379310344827586E-2"/>
    <n v="0"/>
  </r>
  <r>
    <x v="686"/>
    <x v="7"/>
    <x v="1"/>
    <n v="578"/>
    <d v="2026-06-03T00:00:00"/>
    <d v="2026-06-14T00:00:00"/>
    <d v="2026-06-21T00:00:00"/>
    <n v="583"/>
    <s v="PK-131"/>
    <n v="9"/>
    <x v="0"/>
    <s v="N"/>
    <s v="Y"/>
    <s v="N"/>
    <n v="18"/>
    <n v="1.0086505190311419"/>
    <n v="1.5437392795883362E-2"/>
    <n v="0"/>
  </r>
  <r>
    <x v="687"/>
    <x v="9"/>
    <x v="1"/>
    <n v="307"/>
    <d v="2026-01-18T00:00:00"/>
    <d v="2026-01-30T00:00:00"/>
    <d v="2026-01-28T00:00:00"/>
    <n v="312"/>
    <s v="PK-188"/>
    <n v="6"/>
    <x v="0"/>
    <s v="Y"/>
    <s v="Y"/>
    <s v="Y"/>
    <n v="10"/>
    <n v="1.0162866449511401"/>
    <n v="1.9230769230769232E-2"/>
    <n v="1"/>
  </r>
  <r>
    <x v="688"/>
    <x v="0"/>
    <x v="0"/>
    <n v="106"/>
    <d v="2026-05-10T00:00:00"/>
    <d v="2026-05-21T00:00:00"/>
    <d v="2026-05-28T00:00:00"/>
    <n v="105"/>
    <s v="RM-219"/>
    <n v="3"/>
    <x v="0"/>
    <s v="N"/>
    <s v="Y"/>
    <s v="N"/>
    <n v="18"/>
    <n v="0.99056603773584906"/>
    <n v="2.8571428571428571E-2"/>
    <n v="0"/>
  </r>
  <r>
    <x v="689"/>
    <x v="6"/>
    <x v="0"/>
    <n v="489"/>
    <d v="2026-01-08T00:00:00"/>
    <d v="2026-01-19T00:00:00"/>
    <m/>
    <m/>
    <s v="RM-184"/>
    <m/>
    <x v="1"/>
    <s v="N/A"/>
    <s v="N/A"/>
    <s v="N/A"/>
    <s v="N/A"/>
    <s v="N/A"/>
    <s v="N/A"/>
    <s v=""/>
  </r>
  <r>
    <x v="690"/>
    <x v="5"/>
    <x v="1"/>
    <n v="538"/>
    <d v="2026-03-17T00:00:00"/>
    <d v="2026-03-29T00:00:00"/>
    <d v="2026-03-26T00:00:00"/>
    <n v="545"/>
    <s v="PK-103"/>
    <n v="4"/>
    <x v="0"/>
    <s v="Y"/>
    <s v="Y"/>
    <s v="Y"/>
    <n v="9"/>
    <n v="1.013011152416357"/>
    <n v="7.3394495412844041E-3"/>
    <n v="1"/>
  </r>
  <r>
    <x v="691"/>
    <x v="18"/>
    <x v="2"/>
    <n v="923"/>
    <d v="2026-02-20T00:00:00"/>
    <d v="2026-02-28T00:00:00"/>
    <d v="2026-02-27T00:00:00"/>
    <n v="920"/>
    <s v="IM-185"/>
    <n v="45"/>
    <x v="0"/>
    <s v="Y"/>
    <s v="Y"/>
    <s v="Y"/>
    <n v="7"/>
    <n v="0.99674972914409532"/>
    <n v="4.8913043478260872E-2"/>
    <n v="1"/>
  </r>
  <r>
    <x v="692"/>
    <x v="6"/>
    <x v="2"/>
    <n v="726"/>
    <d v="2026-01-21T00:00:00"/>
    <d v="2026-02-02T00:00:00"/>
    <d v="2026-02-02T00:00:00"/>
    <n v="642"/>
    <s v="IM-147"/>
    <n v="23"/>
    <x v="0"/>
    <s v="Y"/>
    <s v="N"/>
    <s v="N"/>
    <n v="12"/>
    <n v="0.88429752066115708"/>
    <n v="3.5825545171339561E-2"/>
    <n v="0"/>
  </r>
  <r>
    <x v="693"/>
    <x v="2"/>
    <x v="0"/>
    <n v="149"/>
    <d v="2026-04-03T00:00:00"/>
    <d v="2026-04-09T00:00:00"/>
    <d v="2026-04-09T00:00:00"/>
    <n v="147"/>
    <s v="RM-160"/>
    <n v="3"/>
    <x v="0"/>
    <s v="Y"/>
    <s v="Y"/>
    <s v="Y"/>
    <n v="6"/>
    <n v="0.98657718120805371"/>
    <n v="2.0408163265306121E-2"/>
    <n v="1"/>
  </r>
  <r>
    <x v="694"/>
    <x v="6"/>
    <x v="0"/>
    <n v="431"/>
    <d v="2026-03-02T00:00:00"/>
    <d v="2026-03-10T00:00:00"/>
    <d v="2026-03-08T00:00:00"/>
    <n v="382"/>
    <s v="RM-283"/>
    <n v="22"/>
    <x v="0"/>
    <s v="Y"/>
    <s v="N"/>
    <s v="N"/>
    <n v="6"/>
    <n v="0.88631090487238984"/>
    <n v="5.7591623036649213E-2"/>
    <n v="0"/>
  </r>
  <r>
    <x v="695"/>
    <x v="16"/>
    <x v="0"/>
    <n v="721"/>
    <d v="2026-01-14T00:00:00"/>
    <d v="2026-01-27T00:00:00"/>
    <d v="2026-01-25T00:00:00"/>
    <n v="662"/>
    <s v="RM-104"/>
    <n v="12"/>
    <x v="0"/>
    <s v="Y"/>
    <s v="N"/>
    <s v="N"/>
    <n v="11"/>
    <n v="0.91816920943134539"/>
    <n v="1.812688821752266E-2"/>
    <n v="0"/>
  </r>
  <r>
    <x v="696"/>
    <x v="18"/>
    <x v="0"/>
    <n v="820"/>
    <d v="2026-01-18T00:00:00"/>
    <d v="2026-01-29T00:00:00"/>
    <d v="2026-01-26T00:00:00"/>
    <n v="714"/>
    <s v="RM-191"/>
    <n v="22"/>
    <x v="0"/>
    <s v="Y"/>
    <s v="N"/>
    <s v="N"/>
    <n v="8"/>
    <n v="0.87073170731707317"/>
    <n v="3.081232492997199E-2"/>
    <n v="0"/>
  </r>
  <r>
    <x v="697"/>
    <x v="15"/>
    <x v="0"/>
    <n v="109"/>
    <d v="2026-04-18T00:00:00"/>
    <d v="2026-04-25T00:00:00"/>
    <d v="2026-04-25T00:00:00"/>
    <n v="90"/>
    <s v="RM-101"/>
    <n v="1"/>
    <x v="0"/>
    <s v="Y"/>
    <s v="N"/>
    <s v="N"/>
    <n v="7"/>
    <n v="0.82568807339449546"/>
    <n v="1.1111111111111112E-2"/>
    <n v="0"/>
  </r>
  <r>
    <x v="698"/>
    <x v="14"/>
    <x v="2"/>
    <n v="421"/>
    <d v="2026-05-02T00:00:00"/>
    <d v="2026-05-11T00:00:00"/>
    <d v="2026-05-08T00:00:00"/>
    <n v="413"/>
    <s v="IM-208"/>
    <n v="1"/>
    <x v="0"/>
    <s v="Y"/>
    <s v="Y"/>
    <s v="Y"/>
    <n v="6"/>
    <n v="0.98099762470308793"/>
    <n v="2.4213075060532689E-3"/>
    <n v="1"/>
  </r>
  <r>
    <x v="699"/>
    <x v="13"/>
    <x v="1"/>
    <n v="289"/>
    <d v="2026-03-07T00:00:00"/>
    <d v="2026-03-16T00:00:00"/>
    <d v="2026-03-25T00:00:00"/>
    <n v="260"/>
    <s v="PK-262"/>
    <n v="16"/>
    <x v="0"/>
    <s v="N"/>
    <s v="N"/>
    <s v="N"/>
    <n v="18"/>
    <n v="0.89965397923875434"/>
    <n v="6.1538461538461542E-2"/>
    <n v="0"/>
  </r>
  <r>
    <x v="700"/>
    <x v="4"/>
    <x v="2"/>
    <n v="700"/>
    <d v="2026-04-11T00:00:00"/>
    <d v="2026-04-19T00:00:00"/>
    <d v="2026-04-18T00:00:00"/>
    <n v="690"/>
    <s v="IM-125"/>
    <n v="18"/>
    <x v="0"/>
    <s v="Y"/>
    <s v="Y"/>
    <s v="Y"/>
    <n v="7"/>
    <n v="0.98571428571428577"/>
    <n v="2.6086956521739129E-2"/>
    <n v="1"/>
  </r>
  <r>
    <x v="701"/>
    <x v="1"/>
    <x v="2"/>
    <n v="271"/>
    <d v="2026-02-19T00:00:00"/>
    <d v="2026-02-28T00:00:00"/>
    <d v="2026-02-28T00:00:00"/>
    <n v="269"/>
    <s v="IM-110"/>
    <n v="0"/>
    <x v="0"/>
    <s v="Y"/>
    <s v="Y"/>
    <s v="Y"/>
    <n v="9"/>
    <n v="0.99261992619926198"/>
    <n v="0"/>
    <n v="1"/>
  </r>
  <r>
    <x v="702"/>
    <x v="9"/>
    <x v="1"/>
    <n v="788"/>
    <d v="2026-03-05T00:00:00"/>
    <d v="2026-03-15T00:00:00"/>
    <d v="2026-03-12T00:00:00"/>
    <n v="791"/>
    <s v="PK-262"/>
    <n v="53"/>
    <x v="0"/>
    <s v="Y"/>
    <s v="Y"/>
    <s v="Y"/>
    <n v="7"/>
    <n v="1.0038071065989849"/>
    <n v="6.7003792667509485E-2"/>
    <n v="1"/>
  </r>
  <r>
    <x v="703"/>
    <x v="14"/>
    <x v="1"/>
    <n v="725"/>
    <d v="2026-05-14T00:00:00"/>
    <d v="2026-05-19T00:00:00"/>
    <d v="2026-05-17T00:00:00"/>
    <n v="653"/>
    <s v="PK-265"/>
    <n v="27"/>
    <x v="0"/>
    <s v="Y"/>
    <s v="N"/>
    <s v="N"/>
    <n v="3"/>
    <n v="0.90068965517241384"/>
    <n v="4.1347626339969371E-2"/>
    <n v="0"/>
  </r>
  <r>
    <x v="704"/>
    <x v="5"/>
    <x v="1"/>
    <n v="367"/>
    <d v="2026-01-18T00:00:00"/>
    <d v="2026-02-02T00:00:00"/>
    <d v="2026-01-31T00:00:00"/>
    <n v="372"/>
    <s v="PK-252"/>
    <n v="1"/>
    <x v="0"/>
    <s v="Y"/>
    <s v="Y"/>
    <s v="Y"/>
    <n v="13"/>
    <n v="1.013623978201635"/>
    <n v="2.6881720430107529E-3"/>
    <n v="1"/>
  </r>
  <r>
    <x v="705"/>
    <x v="6"/>
    <x v="0"/>
    <n v="703"/>
    <d v="2026-05-14T00:00:00"/>
    <d v="2026-05-25T00:00:00"/>
    <d v="2026-05-28T00:00:00"/>
    <n v="693"/>
    <s v="RM-240"/>
    <n v="24"/>
    <x v="0"/>
    <s v="N"/>
    <s v="Y"/>
    <s v="N"/>
    <n v="14"/>
    <n v="0.98577524893314372"/>
    <n v="3.4632034632034632E-2"/>
    <n v="0"/>
  </r>
  <r>
    <x v="706"/>
    <x v="1"/>
    <x v="0"/>
    <n v="482"/>
    <d v="2026-04-04T00:00:00"/>
    <d v="2026-04-19T00:00:00"/>
    <d v="2026-04-17T00:00:00"/>
    <n v="485"/>
    <s v="RM-169"/>
    <n v="2"/>
    <x v="0"/>
    <s v="Y"/>
    <s v="Y"/>
    <s v="Y"/>
    <n v="13"/>
    <n v="1.0062240663900415"/>
    <n v="4.1237113402061857E-3"/>
    <n v="1"/>
  </r>
  <r>
    <x v="707"/>
    <x v="1"/>
    <x v="1"/>
    <n v="898"/>
    <d v="2026-01-13T00:00:00"/>
    <d v="2026-01-28T00:00:00"/>
    <d v="2026-01-25T00:00:00"/>
    <n v="909"/>
    <s v="PK-243"/>
    <n v="21"/>
    <x v="0"/>
    <s v="Y"/>
    <s v="Y"/>
    <s v="Y"/>
    <n v="12"/>
    <n v="1.012249443207127"/>
    <n v="2.3102310231023101E-2"/>
    <n v="1"/>
  </r>
  <r>
    <x v="708"/>
    <x v="9"/>
    <x v="0"/>
    <n v="340"/>
    <d v="2026-01-19T00:00:00"/>
    <d v="2026-01-31T00:00:00"/>
    <d v="2026-01-31T00:00:00"/>
    <n v="343"/>
    <s v="RM-283"/>
    <n v="16"/>
    <x v="0"/>
    <s v="Y"/>
    <s v="Y"/>
    <s v="Y"/>
    <n v="12"/>
    <n v="1.0088235294117647"/>
    <n v="4.6647230320699708E-2"/>
    <n v="1"/>
  </r>
  <r>
    <x v="709"/>
    <x v="17"/>
    <x v="0"/>
    <n v="263"/>
    <d v="2026-04-12T00:00:00"/>
    <d v="2026-04-21T00:00:00"/>
    <d v="2026-04-20T00:00:00"/>
    <n v="260"/>
    <s v="RM-208"/>
    <n v="4"/>
    <x v="0"/>
    <s v="Y"/>
    <s v="Y"/>
    <s v="Y"/>
    <n v="8"/>
    <n v="0.98859315589353614"/>
    <n v="1.5384615384615385E-2"/>
    <n v="1"/>
  </r>
  <r>
    <x v="710"/>
    <x v="9"/>
    <x v="2"/>
    <n v="821"/>
    <d v="2026-02-07T00:00:00"/>
    <d v="2026-02-14T00:00:00"/>
    <d v="2026-02-12T00:00:00"/>
    <n v="826"/>
    <s v="IM-285"/>
    <n v="17"/>
    <x v="0"/>
    <s v="Y"/>
    <s v="Y"/>
    <s v="Y"/>
    <n v="5"/>
    <n v="1.0060901339829476"/>
    <n v="2.0581113801452784E-2"/>
    <n v="1"/>
  </r>
  <r>
    <x v="711"/>
    <x v="2"/>
    <x v="0"/>
    <n v="590"/>
    <d v="2026-03-18T00:00:00"/>
    <d v="2026-03-31T00:00:00"/>
    <d v="2026-03-28T00:00:00"/>
    <n v="546"/>
    <s v="RM-216"/>
    <n v="20"/>
    <x v="0"/>
    <s v="Y"/>
    <s v="N"/>
    <s v="N"/>
    <n v="10"/>
    <n v="0.92542372881355928"/>
    <n v="3.6630036630036632E-2"/>
    <n v="0"/>
  </r>
  <r>
    <x v="712"/>
    <x v="7"/>
    <x v="0"/>
    <n v="929"/>
    <d v="2026-04-18T00:00:00"/>
    <d v="2026-04-28T00:00:00"/>
    <d v="2026-04-26T00:00:00"/>
    <n v="923"/>
    <s v="RM-153"/>
    <n v="6"/>
    <x v="0"/>
    <s v="Y"/>
    <s v="Y"/>
    <s v="Y"/>
    <n v="8"/>
    <n v="0.9935414424111948"/>
    <n v="6.5005417118093175E-3"/>
    <n v="1"/>
  </r>
  <r>
    <x v="713"/>
    <x v="6"/>
    <x v="0"/>
    <n v="859"/>
    <d v="2026-05-31T00:00:00"/>
    <d v="2026-06-15T00:00:00"/>
    <d v="2026-06-15T00:00:00"/>
    <n v="795"/>
    <s v="RM-263"/>
    <n v="29"/>
    <x v="0"/>
    <s v="Y"/>
    <s v="N"/>
    <s v="N"/>
    <n v="15"/>
    <n v="0.92549476135040742"/>
    <n v="3.6477987421383647E-2"/>
    <n v="0"/>
  </r>
  <r>
    <x v="714"/>
    <x v="17"/>
    <x v="1"/>
    <n v="237"/>
    <d v="2026-04-13T00:00:00"/>
    <d v="2026-04-19T00:00:00"/>
    <d v="2026-04-18T00:00:00"/>
    <n v="238"/>
    <s v="PK-284"/>
    <n v="4"/>
    <x v="0"/>
    <s v="Y"/>
    <s v="Y"/>
    <s v="Y"/>
    <n v="5"/>
    <n v="1.0042194092827004"/>
    <n v="1.680672268907563E-2"/>
    <n v="1"/>
  </r>
  <r>
    <x v="715"/>
    <x v="18"/>
    <x v="2"/>
    <n v="935"/>
    <d v="2026-04-16T00:00:00"/>
    <d v="2026-04-24T00:00:00"/>
    <m/>
    <m/>
    <s v="IM-102"/>
    <m/>
    <x v="1"/>
    <s v="N/A"/>
    <s v="N/A"/>
    <s v="N/A"/>
    <s v="N/A"/>
    <s v="N/A"/>
    <s v="N/A"/>
    <s v=""/>
  </r>
  <r>
    <x v="716"/>
    <x v="5"/>
    <x v="0"/>
    <n v="651"/>
    <d v="2026-05-01T00:00:00"/>
    <d v="2026-05-12T00:00:00"/>
    <d v="2026-05-10T00:00:00"/>
    <n v="613"/>
    <s v="RM-213"/>
    <n v="5"/>
    <x v="0"/>
    <s v="Y"/>
    <s v="N"/>
    <s v="N"/>
    <n v="9"/>
    <n v="0.94162826420890933"/>
    <n v="8.1566068515497546E-3"/>
    <n v="0"/>
  </r>
  <r>
    <x v="717"/>
    <x v="11"/>
    <x v="2"/>
    <n v="727"/>
    <d v="2026-04-24T00:00:00"/>
    <d v="2026-05-09T00:00:00"/>
    <d v="2026-05-09T00:00:00"/>
    <n v="724"/>
    <s v="IM-152"/>
    <n v="11"/>
    <x v="0"/>
    <s v="Y"/>
    <s v="Y"/>
    <s v="Y"/>
    <n v="15"/>
    <n v="0.99587345254470427"/>
    <n v="1.5193370165745856E-2"/>
    <n v="1"/>
  </r>
  <r>
    <x v="718"/>
    <x v="8"/>
    <x v="1"/>
    <n v="415"/>
    <d v="2026-02-01T00:00:00"/>
    <d v="2026-02-15T00:00:00"/>
    <d v="2026-02-20T00:00:00"/>
    <n v="413"/>
    <s v="PK-272"/>
    <n v="27"/>
    <x v="0"/>
    <s v="N"/>
    <s v="Y"/>
    <s v="N"/>
    <n v="19"/>
    <n v="0.99518072289156623"/>
    <n v="6.5375302663438259E-2"/>
    <n v="0"/>
  </r>
  <r>
    <x v="719"/>
    <x v="2"/>
    <x v="0"/>
    <n v="197"/>
    <d v="2026-01-08T00:00:00"/>
    <d v="2026-01-18T00:00:00"/>
    <d v="2026-01-18T00:00:00"/>
    <n v="200"/>
    <s v="RM-174"/>
    <n v="8"/>
    <x v="0"/>
    <s v="Y"/>
    <s v="Y"/>
    <s v="Y"/>
    <n v="10"/>
    <n v="1.015228426395939"/>
    <n v="0.04"/>
    <n v="1"/>
  </r>
  <r>
    <x v="720"/>
    <x v="13"/>
    <x v="1"/>
    <n v="753"/>
    <d v="2026-03-23T00:00:00"/>
    <d v="2026-03-30T00:00:00"/>
    <d v="2026-03-28T00:00:00"/>
    <n v="717"/>
    <s v="PK-199"/>
    <n v="7"/>
    <x v="0"/>
    <s v="Y"/>
    <s v="N"/>
    <s v="N"/>
    <n v="5"/>
    <n v="0.952191235059761"/>
    <n v="9.7629009762900971E-3"/>
    <n v="0"/>
  </r>
  <r>
    <x v="721"/>
    <x v="6"/>
    <x v="0"/>
    <n v="596"/>
    <d v="2026-03-11T00:00:00"/>
    <d v="2026-03-25T00:00:00"/>
    <d v="2026-03-22T00:00:00"/>
    <n v="531"/>
    <s v="RM-185"/>
    <n v="15"/>
    <x v="0"/>
    <s v="Y"/>
    <s v="N"/>
    <s v="N"/>
    <n v="11"/>
    <n v="0.89093959731543626"/>
    <n v="2.8248587570621469E-2"/>
    <n v="0"/>
  </r>
  <r>
    <x v="722"/>
    <x v="7"/>
    <x v="0"/>
    <n v="962"/>
    <d v="2026-01-11T00:00:00"/>
    <d v="2026-01-24T00:00:00"/>
    <d v="2026-01-22T00:00:00"/>
    <n v="973"/>
    <s v="RM-216"/>
    <n v="47"/>
    <x v="0"/>
    <s v="Y"/>
    <s v="Y"/>
    <s v="Y"/>
    <n v="11"/>
    <n v="1.0114345114345114"/>
    <n v="4.8304213771839674E-2"/>
    <n v="1"/>
  </r>
  <r>
    <x v="723"/>
    <x v="17"/>
    <x v="0"/>
    <n v="636"/>
    <d v="2026-01-31T00:00:00"/>
    <d v="2026-02-09T00:00:00"/>
    <d v="2026-02-06T00:00:00"/>
    <n v="638"/>
    <s v="RM-161"/>
    <n v="7"/>
    <x v="0"/>
    <s v="Y"/>
    <s v="Y"/>
    <s v="Y"/>
    <n v="6"/>
    <n v="1.0031446540880504"/>
    <n v="1.0971786833855799E-2"/>
    <n v="1"/>
  </r>
  <r>
    <x v="724"/>
    <x v="10"/>
    <x v="1"/>
    <n v="539"/>
    <d v="2026-03-18T00:00:00"/>
    <d v="2026-03-26T00:00:00"/>
    <d v="2026-03-25T00:00:00"/>
    <n v="539"/>
    <s v="PK-202"/>
    <n v="51"/>
    <x v="0"/>
    <s v="Y"/>
    <s v="Y"/>
    <s v="Y"/>
    <n v="7"/>
    <n v="1"/>
    <n v="9.4619666048237475E-2"/>
    <n v="1"/>
  </r>
  <r>
    <x v="725"/>
    <x v="4"/>
    <x v="1"/>
    <n v="386"/>
    <d v="2026-03-28T00:00:00"/>
    <d v="2026-04-07T00:00:00"/>
    <d v="2026-04-05T00:00:00"/>
    <n v="388"/>
    <s v="PK-104"/>
    <n v="9"/>
    <x v="0"/>
    <s v="Y"/>
    <s v="Y"/>
    <s v="Y"/>
    <n v="8"/>
    <n v="1.0051813471502591"/>
    <n v="2.3195876288659795E-2"/>
    <n v="1"/>
  </r>
  <r>
    <x v="726"/>
    <x v="3"/>
    <x v="0"/>
    <n v="300"/>
    <d v="2026-04-20T00:00:00"/>
    <d v="2026-05-05T00:00:00"/>
    <d v="2026-05-05T00:00:00"/>
    <n v="298"/>
    <s v="RM-257"/>
    <n v="20"/>
    <x v="0"/>
    <s v="Y"/>
    <s v="Y"/>
    <s v="Y"/>
    <n v="15"/>
    <n v="0.99333333333333329"/>
    <n v="6.7114093959731544E-2"/>
    <n v="1"/>
  </r>
  <r>
    <x v="727"/>
    <x v="3"/>
    <x v="2"/>
    <n v="583"/>
    <d v="2026-01-23T00:00:00"/>
    <d v="2026-02-04T00:00:00"/>
    <d v="2026-02-10T00:00:00"/>
    <n v="593"/>
    <s v="IM-244"/>
    <n v="3"/>
    <x v="0"/>
    <s v="N"/>
    <s v="Y"/>
    <s v="N"/>
    <n v="18"/>
    <n v="1.0171526586620927"/>
    <n v="5.0590219224283303E-3"/>
    <n v="0"/>
  </r>
  <r>
    <x v="728"/>
    <x v="1"/>
    <x v="0"/>
    <n v="716"/>
    <d v="2026-01-30T00:00:00"/>
    <d v="2026-02-05T00:00:00"/>
    <d v="2026-02-14T00:00:00"/>
    <n v="719"/>
    <s v="RM-260"/>
    <n v="10"/>
    <x v="0"/>
    <s v="N"/>
    <s v="Y"/>
    <s v="N"/>
    <n v="15"/>
    <n v="1.0041899441340782"/>
    <n v="1.3908205841446454E-2"/>
    <n v="0"/>
  </r>
  <r>
    <x v="729"/>
    <x v="12"/>
    <x v="0"/>
    <n v="390"/>
    <d v="2026-04-01T00:00:00"/>
    <d v="2026-04-10T00:00:00"/>
    <d v="2026-04-08T00:00:00"/>
    <n v="394"/>
    <s v="RM-260"/>
    <n v="8"/>
    <x v="0"/>
    <s v="Y"/>
    <s v="Y"/>
    <s v="Y"/>
    <n v="7"/>
    <n v="1.0102564102564102"/>
    <n v="2.030456852791878E-2"/>
    <n v="1"/>
  </r>
  <r>
    <x v="730"/>
    <x v="2"/>
    <x v="0"/>
    <n v="845"/>
    <d v="2026-06-03T00:00:00"/>
    <d v="2026-06-11T00:00:00"/>
    <d v="2026-06-09T00:00:00"/>
    <n v="859"/>
    <s v="RM-167"/>
    <n v="4"/>
    <x v="0"/>
    <s v="Y"/>
    <s v="Y"/>
    <s v="Y"/>
    <n v="6"/>
    <n v="1.016568047337278"/>
    <n v="4.6565774155995342E-3"/>
    <n v="1"/>
  </r>
  <r>
    <x v="731"/>
    <x v="6"/>
    <x v="0"/>
    <n v="466"/>
    <d v="2026-05-06T00:00:00"/>
    <d v="2026-05-19T00:00:00"/>
    <d v="2026-05-18T00:00:00"/>
    <n v="474"/>
    <s v="RM-153"/>
    <n v="28"/>
    <x v="0"/>
    <s v="Y"/>
    <s v="Y"/>
    <s v="Y"/>
    <n v="12"/>
    <n v="1.0171673819742488"/>
    <n v="5.9071729957805907E-2"/>
    <n v="1"/>
  </r>
  <r>
    <x v="732"/>
    <x v="18"/>
    <x v="1"/>
    <n v="615"/>
    <d v="2026-05-27T00:00:00"/>
    <d v="2026-06-02T00:00:00"/>
    <d v="2026-06-02T00:00:00"/>
    <n v="548"/>
    <s v="PK-113"/>
    <n v="10"/>
    <x v="0"/>
    <s v="Y"/>
    <s v="N"/>
    <s v="N"/>
    <n v="6"/>
    <n v="0.89105691056910574"/>
    <n v="1.824817518248175E-2"/>
    <n v="0"/>
  </r>
  <r>
    <x v="733"/>
    <x v="15"/>
    <x v="0"/>
    <n v="209"/>
    <d v="2026-02-25T00:00:00"/>
    <d v="2026-03-08T00:00:00"/>
    <d v="2026-03-08T00:00:00"/>
    <n v="213"/>
    <s v="RM-172"/>
    <n v="4"/>
    <x v="0"/>
    <s v="Y"/>
    <s v="Y"/>
    <s v="Y"/>
    <n v="11"/>
    <n v="1.0191387559808613"/>
    <n v="1.8779342723004695E-2"/>
    <n v="1"/>
  </r>
  <r>
    <x v="734"/>
    <x v="10"/>
    <x v="1"/>
    <n v="329"/>
    <d v="2026-03-07T00:00:00"/>
    <d v="2026-03-14T00:00:00"/>
    <d v="2026-03-13T00:00:00"/>
    <n v="333"/>
    <s v="PK-204"/>
    <n v="20"/>
    <x v="0"/>
    <s v="Y"/>
    <s v="Y"/>
    <s v="Y"/>
    <n v="6"/>
    <n v="1.0121580547112461"/>
    <n v="6.006006006006006E-2"/>
    <n v="1"/>
  </r>
  <r>
    <x v="735"/>
    <x v="17"/>
    <x v="1"/>
    <n v="328"/>
    <d v="2026-02-04T00:00:00"/>
    <d v="2026-02-10T00:00:00"/>
    <d v="2026-02-07T00:00:00"/>
    <n v="331"/>
    <s v="PK-145"/>
    <n v="8"/>
    <x v="0"/>
    <s v="Y"/>
    <s v="Y"/>
    <s v="Y"/>
    <n v="3"/>
    <n v="1.0091463414634145"/>
    <n v="2.4169184290030211E-2"/>
    <n v="1"/>
  </r>
  <r>
    <x v="736"/>
    <x v="15"/>
    <x v="1"/>
    <n v="135"/>
    <d v="2026-05-18T00:00:00"/>
    <d v="2026-05-31T00:00:00"/>
    <d v="2026-06-08T00:00:00"/>
    <n v="137"/>
    <s v="PK-145"/>
    <n v="4"/>
    <x v="0"/>
    <s v="N"/>
    <s v="Y"/>
    <s v="N"/>
    <n v="21"/>
    <n v="1.0148148148148148"/>
    <n v="2.9197080291970802E-2"/>
    <n v="0"/>
  </r>
  <r>
    <x v="737"/>
    <x v="4"/>
    <x v="1"/>
    <n v="884"/>
    <d v="2026-03-09T00:00:00"/>
    <d v="2026-03-19T00:00:00"/>
    <d v="2026-03-18T00:00:00"/>
    <n v="885"/>
    <s v="PK-241"/>
    <n v="2"/>
    <x v="0"/>
    <s v="Y"/>
    <s v="Y"/>
    <s v="Y"/>
    <n v="9"/>
    <n v="1.001131221719457"/>
    <n v="2.2598870056497176E-3"/>
    <n v="1"/>
  </r>
  <r>
    <x v="738"/>
    <x v="1"/>
    <x v="0"/>
    <n v="514"/>
    <d v="2026-03-29T00:00:00"/>
    <d v="2026-04-05T00:00:00"/>
    <d v="2026-04-03T00:00:00"/>
    <n v="511"/>
    <s v="RM-260"/>
    <n v="8"/>
    <x v="0"/>
    <s v="Y"/>
    <s v="Y"/>
    <s v="Y"/>
    <n v="5"/>
    <n v="0.99416342412451364"/>
    <n v="1.5655577299412915E-2"/>
    <n v="1"/>
  </r>
  <r>
    <x v="739"/>
    <x v="4"/>
    <x v="0"/>
    <n v="868"/>
    <d v="2026-01-19T00:00:00"/>
    <d v="2026-01-27T00:00:00"/>
    <d v="2026-01-26T00:00:00"/>
    <n v="766"/>
    <s v="RM-150"/>
    <n v="7"/>
    <x v="0"/>
    <s v="Y"/>
    <s v="N"/>
    <s v="N"/>
    <n v="7"/>
    <n v="0.88248847926267282"/>
    <n v="9.138381201044387E-3"/>
    <n v="0"/>
  </r>
  <r>
    <x v="740"/>
    <x v="10"/>
    <x v="1"/>
    <n v="689"/>
    <d v="2026-03-14T00:00:00"/>
    <d v="2026-03-22T00:00:00"/>
    <d v="2026-03-21T00:00:00"/>
    <n v="697"/>
    <s v="PK-123"/>
    <n v="10"/>
    <x v="0"/>
    <s v="Y"/>
    <s v="Y"/>
    <s v="Y"/>
    <n v="7"/>
    <n v="1.011611030478955"/>
    <n v="1.4347202295552367E-2"/>
    <n v="1"/>
  </r>
  <r>
    <x v="741"/>
    <x v="15"/>
    <x v="0"/>
    <n v="907"/>
    <d v="2026-03-07T00:00:00"/>
    <d v="2026-03-17T00:00:00"/>
    <d v="2026-03-25T00:00:00"/>
    <n v="913"/>
    <s v="RM-140"/>
    <n v="2"/>
    <x v="0"/>
    <s v="N"/>
    <s v="Y"/>
    <s v="N"/>
    <n v="18"/>
    <n v="1.0066152149944874"/>
    <n v="2.1905805038335158E-3"/>
    <n v="0"/>
  </r>
  <r>
    <x v="742"/>
    <x v="6"/>
    <x v="2"/>
    <n v="778"/>
    <d v="2026-01-21T00:00:00"/>
    <d v="2026-02-03T00:00:00"/>
    <d v="2026-02-03T00:00:00"/>
    <n v="778"/>
    <s v="IM-291"/>
    <n v="52"/>
    <x v="0"/>
    <s v="Y"/>
    <s v="Y"/>
    <s v="Y"/>
    <n v="13"/>
    <n v="1"/>
    <n v="6.6838046272493568E-2"/>
    <n v="1"/>
  </r>
  <r>
    <x v="743"/>
    <x v="15"/>
    <x v="1"/>
    <n v="917"/>
    <d v="2026-06-01T00:00:00"/>
    <d v="2026-06-14T00:00:00"/>
    <d v="2026-06-16T00:00:00"/>
    <n v="924"/>
    <s v="PK-128"/>
    <n v="1"/>
    <x v="0"/>
    <s v="N"/>
    <s v="Y"/>
    <s v="N"/>
    <n v="15"/>
    <n v="1.0076335877862594"/>
    <n v="1.0822510822510823E-3"/>
    <n v="0"/>
  </r>
  <r>
    <x v="744"/>
    <x v="3"/>
    <x v="0"/>
    <n v="252"/>
    <d v="2026-05-14T00:00:00"/>
    <d v="2026-05-23T00:00:00"/>
    <d v="2026-05-31T00:00:00"/>
    <n v="233"/>
    <s v="RM-140"/>
    <n v="14"/>
    <x v="0"/>
    <s v="N"/>
    <s v="N"/>
    <s v="N"/>
    <n v="17"/>
    <n v="0.92460317460317465"/>
    <n v="6.0085836909871244E-2"/>
    <n v="0"/>
  </r>
  <r>
    <x v="745"/>
    <x v="3"/>
    <x v="1"/>
    <n v="222"/>
    <d v="2026-06-03T00:00:00"/>
    <d v="2026-06-18T00:00:00"/>
    <d v="2026-06-15T00:00:00"/>
    <n v="197"/>
    <s v="PK-262"/>
    <n v="7"/>
    <x v="0"/>
    <s v="Y"/>
    <s v="N"/>
    <s v="N"/>
    <n v="12"/>
    <n v="0.88738738738738743"/>
    <n v="3.553299492385787E-2"/>
    <n v="0"/>
  </r>
  <r>
    <x v="746"/>
    <x v="3"/>
    <x v="0"/>
    <n v="411"/>
    <d v="2026-05-12T00:00:00"/>
    <d v="2026-05-26T00:00:00"/>
    <d v="2026-06-01T00:00:00"/>
    <n v="408"/>
    <s v="RM-261"/>
    <n v="19"/>
    <x v="0"/>
    <s v="N"/>
    <s v="Y"/>
    <s v="N"/>
    <n v="20"/>
    <n v="0.99270072992700731"/>
    <n v="4.6568627450980393E-2"/>
    <n v="0"/>
  </r>
  <r>
    <x v="747"/>
    <x v="6"/>
    <x v="1"/>
    <n v="626"/>
    <d v="2026-05-03T00:00:00"/>
    <d v="2026-05-17T00:00:00"/>
    <d v="2026-05-16T00:00:00"/>
    <n v="625"/>
    <s v="PK-137"/>
    <n v="25"/>
    <x v="0"/>
    <s v="Y"/>
    <s v="Y"/>
    <s v="Y"/>
    <n v="13"/>
    <n v="0.99840255591054317"/>
    <n v="0.04"/>
    <n v="1"/>
  </r>
  <r>
    <x v="748"/>
    <x v="6"/>
    <x v="0"/>
    <n v="663"/>
    <d v="2026-05-26T00:00:00"/>
    <d v="2026-06-08T00:00:00"/>
    <d v="2026-06-08T00:00:00"/>
    <n v="655"/>
    <s v="RM-175"/>
    <n v="25"/>
    <x v="0"/>
    <s v="Y"/>
    <s v="Y"/>
    <s v="Y"/>
    <n v="13"/>
    <n v="0.98793363499245856"/>
    <n v="3.8167938931297711E-2"/>
    <n v="1"/>
  </r>
  <r>
    <x v="749"/>
    <x v="7"/>
    <x v="0"/>
    <n v="963"/>
    <d v="2026-04-06T00:00:00"/>
    <d v="2026-04-19T00:00:00"/>
    <d v="2026-04-25T00:00:00"/>
    <n v="775"/>
    <s v="RM-120"/>
    <n v="13"/>
    <x v="0"/>
    <s v="N"/>
    <s v="N"/>
    <s v="N"/>
    <n v="19"/>
    <n v="0.80477673935617866"/>
    <n v="1.6774193548387096E-2"/>
    <n v="0"/>
  </r>
  <r>
    <x v="750"/>
    <x v="18"/>
    <x v="2"/>
    <n v="628"/>
    <d v="2026-03-12T00:00:00"/>
    <d v="2026-03-23T00:00:00"/>
    <d v="2026-03-21T00:00:00"/>
    <n v="547"/>
    <s v="IM-170"/>
    <n v="26"/>
    <x v="0"/>
    <s v="Y"/>
    <s v="N"/>
    <s v="N"/>
    <n v="9"/>
    <n v="0.87101910828025475"/>
    <n v="4.7531992687385741E-2"/>
    <n v="0"/>
  </r>
  <r>
    <x v="751"/>
    <x v="7"/>
    <x v="0"/>
    <n v="838"/>
    <d v="2026-05-08T00:00:00"/>
    <d v="2026-05-13T00:00:00"/>
    <d v="2026-05-12T00:00:00"/>
    <n v="850"/>
    <s v="RM-247"/>
    <n v="12"/>
    <x v="0"/>
    <s v="Y"/>
    <s v="Y"/>
    <s v="Y"/>
    <n v="4"/>
    <n v="1.0143198090692125"/>
    <n v="1.411764705882353E-2"/>
    <n v="1"/>
  </r>
  <r>
    <x v="752"/>
    <x v="16"/>
    <x v="0"/>
    <n v="153"/>
    <d v="2026-02-22T00:00:00"/>
    <d v="2026-03-03T00:00:00"/>
    <d v="2026-03-03T00:00:00"/>
    <n v="124"/>
    <s v="RM-163"/>
    <n v="2"/>
    <x v="0"/>
    <s v="Y"/>
    <s v="N"/>
    <s v="N"/>
    <n v="9"/>
    <n v="0.81045751633986929"/>
    <n v="1.6129032258064516E-2"/>
    <n v="0"/>
  </r>
  <r>
    <x v="753"/>
    <x v="19"/>
    <x v="2"/>
    <n v="378"/>
    <d v="2026-03-05T00:00:00"/>
    <d v="2026-03-19T00:00:00"/>
    <d v="2026-03-16T00:00:00"/>
    <n v="376"/>
    <s v="IM-242"/>
    <n v="7"/>
    <x v="0"/>
    <s v="Y"/>
    <s v="Y"/>
    <s v="Y"/>
    <n v="11"/>
    <n v="0.99470899470899465"/>
    <n v="1.8617021276595744E-2"/>
    <n v="1"/>
  </r>
  <r>
    <x v="754"/>
    <x v="4"/>
    <x v="0"/>
    <n v="831"/>
    <d v="2026-01-12T00:00:00"/>
    <d v="2026-01-20T00:00:00"/>
    <d v="2026-01-18T00:00:00"/>
    <n v="802"/>
    <s v="RM-125"/>
    <n v="5"/>
    <x v="0"/>
    <s v="Y"/>
    <s v="N"/>
    <s v="N"/>
    <n v="6"/>
    <n v="0.96510228640192541"/>
    <n v="6.2344139650872821E-3"/>
    <n v="0"/>
  </r>
  <r>
    <x v="755"/>
    <x v="17"/>
    <x v="1"/>
    <n v="741"/>
    <d v="2026-03-28T00:00:00"/>
    <d v="2026-04-03T00:00:00"/>
    <d v="2026-04-03T00:00:00"/>
    <n v="736"/>
    <s v="PK-156"/>
    <n v="14"/>
    <x v="0"/>
    <s v="Y"/>
    <s v="Y"/>
    <s v="Y"/>
    <n v="6"/>
    <n v="0.99325236167341435"/>
    <n v="1.9021739130434784E-2"/>
    <n v="1"/>
  </r>
  <r>
    <x v="756"/>
    <x v="12"/>
    <x v="1"/>
    <n v="290"/>
    <d v="2026-03-03T00:00:00"/>
    <d v="2026-03-13T00:00:00"/>
    <d v="2026-03-10T00:00:00"/>
    <n v="279"/>
    <s v="PK-281"/>
    <n v="2"/>
    <x v="0"/>
    <s v="Y"/>
    <s v="N"/>
    <s v="N"/>
    <n v="7"/>
    <n v="0.96206896551724141"/>
    <n v="7.1684587813620072E-3"/>
    <n v="0"/>
  </r>
  <r>
    <x v="757"/>
    <x v="6"/>
    <x v="0"/>
    <n v="86"/>
    <d v="2026-04-25T00:00:00"/>
    <d v="2026-05-03T00:00:00"/>
    <d v="2026-05-02T00:00:00"/>
    <n v="78"/>
    <s v="RM-119"/>
    <n v="2"/>
    <x v="0"/>
    <s v="Y"/>
    <s v="N"/>
    <s v="N"/>
    <n v="7"/>
    <n v="0.90697674418604646"/>
    <n v="2.564102564102564E-2"/>
    <n v="0"/>
  </r>
  <r>
    <x v="758"/>
    <x v="15"/>
    <x v="0"/>
    <n v="965"/>
    <d v="2026-02-28T00:00:00"/>
    <d v="2026-03-10T00:00:00"/>
    <d v="2026-03-16T00:00:00"/>
    <n v="976"/>
    <s v="RM-118"/>
    <n v="23"/>
    <x v="0"/>
    <s v="N"/>
    <s v="Y"/>
    <s v="N"/>
    <n v="16"/>
    <n v="1.01139896373057"/>
    <n v="2.3565573770491802E-2"/>
    <n v="0"/>
  </r>
  <r>
    <x v="759"/>
    <x v="12"/>
    <x v="2"/>
    <n v="430"/>
    <d v="2026-03-10T00:00:00"/>
    <d v="2026-03-15T00:00:00"/>
    <d v="2026-03-14T00:00:00"/>
    <n v="405"/>
    <s v="IM-127"/>
    <n v="7"/>
    <x v="0"/>
    <s v="Y"/>
    <s v="N"/>
    <s v="N"/>
    <n v="4"/>
    <n v="0.94186046511627908"/>
    <n v="1.7283950617283949E-2"/>
    <n v="0"/>
  </r>
  <r>
    <x v="760"/>
    <x v="8"/>
    <x v="1"/>
    <n v="909"/>
    <d v="2026-02-07T00:00:00"/>
    <d v="2026-02-22T00:00:00"/>
    <d v="2026-02-22T00:00:00"/>
    <n v="923"/>
    <s v="PK-118"/>
    <n v="27"/>
    <x v="0"/>
    <s v="Y"/>
    <s v="Y"/>
    <s v="Y"/>
    <n v="15"/>
    <n v="1.0154015401540153"/>
    <n v="2.9252437703141929E-2"/>
    <n v="1"/>
  </r>
  <r>
    <x v="761"/>
    <x v="5"/>
    <x v="1"/>
    <n v="322"/>
    <d v="2026-01-20T00:00:00"/>
    <d v="2026-02-04T00:00:00"/>
    <d v="2026-02-13T00:00:00"/>
    <n v="326"/>
    <s v="PK-127"/>
    <n v="2"/>
    <x v="0"/>
    <s v="N"/>
    <s v="Y"/>
    <s v="N"/>
    <n v="24"/>
    <n v="1.0124223602484472"/>
    <n v="6.1349693251533744E-3"/>
    <n v="0"/>
  </r>
  <r>
    <x v="762"/>
    <x v="9"/>
    <x v="0"/>
    <n v="930"/>
    <d v="2026-05-12T00:00:00"/>
    <d v="2026-05-19T00:00:00"/>
    <d v="2026-05-18T00:00:00"/>
    <n v="925"/>
    <s v="RM-206"/>
    <n v="25"/>
    <x v="0"/>
    <s v="Y"/>
    <s v="Y"/>
    <s v="Y"/>
    <n v="6"/>
    <n v="0.9946236559139785"/>
    <n v="2.7027027027027029E-2"/>
    <n v="1"/>
  </r>
  <r>
    <x v="763"/>
    <x v="18"/>
    <x v="2"/>
    <n v="447"/>
    <d v="2026-02-06T00:00:00"/>
    <d v="2026-02-15T00:00:00"/>
    <d v="2026-02-12T00:00:00"/>
    <n v="451"/>
    <s v="IM-299"/>
    <n v="21"/>
    <x v="0"/>
    <s v="Y"/>
    <s v="Y"/>
    <s v="Y"/>
    <n v="6"/>
    <n v="1.0089485458612975"/>
    <n v="4.6563192904656318E-2"/>
    <n v="1"/>
  </r>
  <r>
    <x v="764"/>
    <x v="16"/>
    <x v="0"/>
    <n v="751"/>
    <d v="2026-03-04T00:00:00"/>
    <d v="2026-03-14T00:00:00"/>
    <d v="2026-03-11T00:00:00"/>
    <n v="609"/>
    <s v="RM-251"/>
    <n v="3"/>
    <x v="0"/>
    <s v="Y"/>
    <s v="N"/>
    <s v="N"/>
    <n v="7"/>
    <n v="0.81091877496671105"/>
    <n v="4.9261083743842365E-3"/>
    <n v="0"/>
  </r>
  <r>
    <x v="765"/>
    <x v="11"/>
    <x v="0"/>
    <n v="734"/>
    <d v="2026-04-03T00:00:00"/>
    <d v="2026-04-12T00:00:00"/>
    <d v="2026-04-10T00:00:00"/>
    <n v="740"/>
    <s v="RM-153"/>
    <n v="5"/>
    <x v="0"/>
    <s v="Y"/>
    <s v="Y"/>
    <s v="Y"/>
    <n v="7"/>
    <n v="1.0081743869209809"/>
    <n v="6.7567567567567571E-3"/>
    <n v="1"/>
  </r>
  <r>
    <x v="766"/>
    <x v="10"/>
    <x v="1"/>
    <n v="346"/>
    <d v="2026-06-02T00:00:00"/>
    <d v="2026-06-15T00:00:00"/>
    <d v="2026-06-13T00:00:00"/>
    <n v="345"/>
    <s v="PK-171"/>
    <n v="32"/>
    <x v="0"/>
    <s v="Y"/>
    <s v="Y"/>
    <s v="Y"/>
    <n v="11"/>
    <n v="0.99710982658959535"/>
    <n v="9.2753623188405798E-2"/>
    <n v="1"/>
  </r>
  <r>
    <x v="767"/>
    <x v="2"/>
    <x v="0"/>
    <n v="527"/>
    <d v="2026-03-14T00:00:00"/>
    <d v="2026-03-22T00:00:00"/>
    <d v="2026-03-19T00:00:00"/>
    <n v="527"/>
    <s v="RM-168"/>
    <n v="26"/>
    <x v="0"/>
    <s v="Y"/>
    <s v="Y"/>
    <s v="Y"/>
    <n v="5"/>
    <n v="1"/>
    <n v="4.9335863377609111E-2"/>
    <n v="1"/>
  </r>
  <r>
    <x v="768"/>
    <x v="17"/>
    <x v="0"/>
    <n v="523"/>
    <d v="2026-04-10T00:00:00"/>
    <d v="2026-04-24T00:00:00"/>
    <d v="2026-04-21T00:00:00"/>
    <n v="528"/>
    <s v="RM-124"/>
    <n v="5"/>
    <x v="0"/>
    <s v="Y"/>
    <s v="Y"/>
    <s v="Y"/>
    <n v="11"/>
    <n v="1.0095602294455066"/>
    <n v="9.46969696969697E-3"/>
    <n v="1"/>
  </r>
  <r>
    <x v="769"/>
    <x v="4"/>
    <x v="1"/>
    <n v="766"/>
    <d v="2026-03-27T00:00:00"/>
    <d v="2026-04-03T00:00:00"/>
    <d v="2026-04-03T00:00:00"/>
    <n v="765"/>
    <s v="PK-291"/>
    <n v="25"/>
    <x v="0"/>
    <s v="Y"/>
    <s v="Y"/>
    <s v="Y"/>
    <n v="7"/>
    <n v="0.99869451697127942"/>
    <n v="3.2679738562091505E-2"/>
    <n v="1"/>
  </r>
  <r>
    <x v="770"/>
    <x v="14"/>
    <x v="1"/>
    <n v="282"/>
    <d v="2026-02-03T00:00:00"/>
    <d v="2026-02-13T00:00:00"/>
    <d v="2026-02-13T00:00:00"/>
    <n v="285"/>
    <s v="PK-231"/>
    <n v="4"/>
    <x v="0"/>
    <s v="Y"/>
    <s v="Y"/>
    <s v="Y"/>
    <n v="10"/>
    <n v="1.0106382978723405"/>
    <n v="1.4035087719298246E-2"/>
    <n v="1"/>
  </r>
  <r>
    <x v="771"/>
    <x v="15"/>
    <x v="0"/>
    <n v="275"/>
    <d v="2026-02-02T00:00:00"/>
    <d v="2026-02-15T00:00:00"/>
    <d v="2026-02-13T00:00:00"/>
    <n v="270"/>
    <s v="RM-295"/>
    <n v="5"/>
    <x v="0"/>
    <s v="Y"/>
    <s v="Y"/>
    <s v="Y"/>
    <n v="11"/>
    <n v="0.98181818181818181"/>
    <n v="1.8518518518518517E-2"/>
    <n v="1"/>
  </r>
  <r>
    <x v="772"/>
    <x v="11"/>
    <x v="1"/>
    <n v="628"/>
    <d v="2026-04-28T00:00:00"/>
    <d v="2026-05-13T00:00:00"/>
    <d v="2026-05-11T00:00:00"/>
    <n v="623"/>
    <s v="PK-267"/>
    <n v="4"/>
    <x v="0"/>
    <s v="Y"/>
    <s v="Y"/>
    <s v="Y"/>
    <n v="13"/>
    <n v="0.9920382165605095"/>
    <n v="6.420545746388443E-3"/>
    <n v="1"/>
  </r>
  <r>
    <x v="773"/>
    <x v="15"/>
    <x v="2"/>
    <n v="866"/>
    <d v="2026-02-20T00:00:00"/>
    <d v="2026-02-28T00:00:00"/>
    <d v="2026-03-02T00:00:00"/>
    <n v="860"/>
    <s v="IM-292"/>
    <n v="2"/>
    <x v="0"/>
    <s v="N"/>
    <s v="Y"/>
    <s v="N"/>
    <n v="10"/>
    <n v="0.99307159353348728"/>
    <n v="2.3255813953488372E-3"/>
    <n v="0"/>
  </r>
  <r>
    <x v="774"/>
    <x v="15"/>
    <x v="0"/>
    <n v="191"/>
    <d v="2026-02-04T00:00:00"/>
    <d v="2026-02-17T00:00:00"/>
    <d v="2026-02-21T00:00:00"/>
    <n v="187"/>
    <s v="RM-179"/>
    <n v="4"/>
    <x v="0"/>
    <s v="N"/>
    <s v="N"/>
    <s v="N"/>
    <n v="17"/>
    <n v="0.97905759162303663"/>
    <n v="2.1390374331550801E-2"/>
    <n v="0"/>
  </r>
  <r>
    <x v="775"/>
    <x v="0"/>
    <x v="0"/>
    <n v="430"/>
    <d v="2026-03-31T00:00:00"/>
    <d v="2026-04-09T00:00:00"/>
    <m/>
    <m/>
    <s v="RM-278"/>
    <n v="1"/>
    <x v="1"/>
    <s v="N/A"/>
    <s v="N/A"/>
    <s v="N/A"/>
    <s v="N/A"/>
    <s v="N/A"/>
    <s v="N/A"/>
    <s v=""/>
  </r>
  <r>
    <x v="776"/>
    <x v="3"/>
    <x v="0"/>
    <n v="597"/>
    <d v="2026-02-16T00:00:00"/>
    <d v="2026-02-22T00:00:00"/>
    <d v="2026-02-21T00:00:00"/>
    <n v="599"/>
    <s v="RM-180"/>
    <n v="18"/>
    <x v="0"/>
    <s v="Y"/>
    <s v="Y"/>
    <s v="Y"/>
    <n v="5"/>
    <n v="1.0033500837520939"/>
    <n v="3.0050083472454091E-2"/>
    <n v="1"/>
  </r>
  <r>
    <x v="777"/>
    <x v="13"/>
    <x v="0"/>
    <n v="737"/>
    <d v="2026-01-13T00:00:00"/>
    <d v="2026-01-22T00:00:00"/>
    <d v="2026-01-20T00:00:00"/>
    <n v="630"/>
    <s v="RM-200"/>
    <n v="39"/>
    <x v="0"/>
    <s v="Y"/>
    <s v="N"/>
    <s v="N"/>
    <n v="7"/>
    <n v="0.85481682496607869"/>
    <n v="6.1904761904761907E-2"/>
    <n v="0"/>
  </r>
  <r>
    <x v="778"/>
    <x v="4"/>
    <x v="0"/>
    <n v="950"/>
    <d v="2026-02-20T00:00:00"/>
    <d v="2026-03-07T00:00:00"/>
    <d v="2026-03-07T00:00:00"/>
    <n v="851"/>
    <s v="RM-297"/>
    <n v="28"/>
    <x v="0"/>
    <s v="Y"/>
    <s v="N"/>
    <s v="N"/>
    <n v="15"/>
    <n v="0.89578947368421058"/>
    <n v="3.2902467685076382E-2"/>
    <n v="0"/>
  </r>
  <r>
    <x v="779"/>
    <x v="19"/>
    <x v="0"/>
    <n v="96"/>
    <d v="2026-05-15T00:00:00"/>
    <d v="2026-05-25T00:00:00"/>
    <d v="2026-05-25T00:00:00"/>
    <n v="84"/>
    <s v="RM-252"/>
    <n v="4"/>
    <x v="0"/>
    <s v="Y"/>
    <s v="N"/>
    <s v="N"/>
    <n v="10"/>
    <n v="0.875"/>
    <n v="4.7619047619047616E-2"/>
    <n v="0"/>
  </r>
  <r>
    <x v="780"/>
    <x v="12"/>
    <x v="1"/>
    <n v="578"/>
    <d v="2026-03-08T00:00:00"/>
    <d v="2026-03-23T00:00:00"/>
    <d v="2026-03-22T00:00:00"/>
    <n v="580"/>
    <s v="PK-235"/>
    <n v="15"/>
    <x v="0"/>
    <s v="Y"/>
    <s v="Y"/>
    <s v="Y"/>
    <n v="14"/>
    <n v="1.0034602076124568"/>
    <n v="2.5862068965517241E-2"/>
    <n v="1"/>
  </r>
  <r>
    <x v="781"/>
    <x v="18"/>
    <x v="2"/>
    <n v="391"/>
    <d v="2026-05-24T00:00:00"/>
    <d v="2026-06-08T00:00:00"/>
    <d v="2026-06-05T00:00:00"/>
    <n v="336"/>
    <s v="IM-228"/>
    <n v="18"/>
    <x v="0"/>
    <s v="Y"/>
    <s v="N"/>
    <s v="N"/>
    <n v="12"/>
    <n v="0.85933503836317138"/>
    <n v="5.3571428571428568E-2"/>
    <n v="0"/>
  </r>
  <r>
    <x v="782"/>
    <x v="14"/>
    <x v="2"/>
    <n v="365"/>
    <d v="2026-02-08T00:00:00"/>
    <d v="2026-02-20T00:00:00"/>
    <d v="2026-02-19T00:00:00"/>
    <n v="361"/>
    <s v="IM-268"/>
    <n v="20"/>
    <x v="0"/>
    <s v="Y"/>
    <s v="Y"/>
    <s v="Y"/>
    <n v="11"/>
    <n v="0.989041095890411"/>
    <n v="5.5401662049861494E-2"/>
    <n v="1"/>
  </r>
  <r>
    <x v="783"/>
    <x v="10"/>
    <x v="2"/>
    <n v="943"/>
    <d v="2026-02-21T00:00:00"/>
    <d v="2026-03-01T00:00:00"/>
    <d v="2026-02-28T00:00:00"/>
    <n v="935"/>
    <s v="IM-253"/>
    <n v="18"/>
    <x v="0"/>
    <s v="Y"/>
    <s v="Y"/>
    <s v="Y"/>
    <n v="7"/>
    <n v="0.99151643690349944"/>
    <n v="1.9251336898395723E-2"/>
    <n v="1"/>
  </r>
  <r>
    <x v="784"/>
    <x v="15"/>
    <x v="0"/>
    <n v="460"/>
    <d v="2026-02-04T00:00:00"/>
    <d v="2026-02-15T00:00:00"/>
    <m/>
    <m/>
    <s v="RM-132"/>
    <m/>
    <x v="1"/>
    <s v="N/A"/>
    <s v="N/A"/>
    <s v="N/A"/>
    <s v="N/A"/>
    <s v="N/A"/>
    <s v="N/A"/>
    <s v=""/>
  </r>
  <r>
    <x v="785"/>
    <x v="18"/>
    <x v="1"/>
    <n v="571"/>
    <d v="2026-02-23T00:00:00"/>
    <d v="2026-03-07T00:00:00"/>
    <d v="2026-03-05T00:00:00"/>
    <n v="577"/>
    <s v="PK-220"/>
    <n v="18"/>
    <x v="0"/>
    <s v="Y"/>
    <s v="Y"/>
    <s v="Y"/>
    <n v="10"/>
    <n v="1.0105078809106831"/>
    <n v="3.1195840554592721E-2"/>
    <n v="1"/>
  </r>
  <r>
    <x v="786"/>
    <x v="19"/>
    <x v="1"/>
    <n v="605"/>
    <d v="2026-04-29T00:00:00"/>
    <d v="2026-05-04T00:00:00"/>
    <d v="2026-05-02T00:00:00"/>
    <n v="599"/>
    <s v="PK-213"/>
    <n v="5"/>
    <x v="0"/>
    <s v="Y"/>
    <s v="Y"/>
    <s v="Y"/>
    <n v="3"/>
    <n v="0.99008264462809914"/>
    <n v="8.3472454090150246E-3"/>
    <n v="1"/>
  </r>
  <r>
    <x v="787"/>
    <x v="6"/>
    <x v="1"/>
    <n v="482"/>
    <d v="2026-05-22T00:00:00"/>
    <d v="2026-05-29T00:00:00"/>
    <d v="2026-05-28T00:00:00"/>
    <n v="474"/>
    <s v="PK-250"/>
    <n v="31"/>
    <x v="0"/>
    <s v="Y"/>
    <s v="Y"/>
    <s v="Y"/>
    <n v="6"/>
    <n v="0.98340248962655596"/>
    <n v="6.5400843881856546E-2"/>
    <n v="1"/>
  </r>
  <r>
    <x v="788"/>
    <x v="7"/>
    <x v="2"/>
    <n v="331"/>
    <d v="2026-02-09T00:00:00"/>
    <d v="2026-02-19T00:00:00"/>
    <d v="2026-02-25T00:00:00"/>
    <n v="328"/>
    <s v="IM-231"/>
    <n v="7"/>
    <x v="0"/>
    <s v="N"/>
    <s v="Y"/>
    <s v="N"/>
    <n v="16"/>
    <n v="0.99093655589123864"/>
    <n v="2.1341463414634148E-2"/>
    <n v="0"/>
  </r>
  <r>
    <x v="789"/>
    <x v="19"/>
    <x v="1"/>
    <n v="412"/>
    <d v="2026-05-26T00:00:00"/>
    <d v="2026-05-31T00:00:00"/>
    <d v="2026-05-31T00:00:00"/>
    <n v="414"/>
    <s v="PK-222"/>
    <n v="8"/>
    <x v="0"/>
    <s v="Y"/>
    <s v="Y"/>
    <s v="Y"/>
    <n v="5"/>
    <n v="1.0048543689320388"/>
    <n v="1.932367149758454E-2"/>
    <n v="1"/>
  </r>
  <r>
    <x v="790"/>
    <x v="16"/>
    <x v="1"/>
    <n v="571"/>
    <d v="2026-01-29T00:00:00"/>
    <d v="2026-02-06T00:00:00"/>
    <d v="2026-02-07T00:00:00"/>
    <n v="500"/>
    <s v="PK-268"/>
    <n v="7"/>
    <x v="0"/>
    <s v="N"/>
    <s v="N"/>
    <s v="N"/>
    <n v="9"/>
    <n v="0.87565674255691772"/>
    <n v="1.4E-2"/>
    <n v="0"/>
  </r>
  <r>
    <x v="791"/>
    <x v="2"/>
    <x v="1"/>
    <n v="795"/>
    <d v="2026-02-22T00:00:00"/>
    <d v="2026-03-08T00:00:00"/>
    <d v="2026-03-06T00:00:00"/>
    <n v="808"/>
    <s v="PK-285"/>
    <n v="7"/>
    <x v="0"/>
    <s v="Y"/>
    <s v="Y"/>
    <s v="Y"/>
    <n v="12"/>
    <n v="1.0163522012578616"/>
    <n v="8.6633663366336641E-3"/>
    <n v="1"/>
  </r>
  <r>
    <x v="792"/>
    <x v="8"/>
    <x v="1"/>
    <n v="384"/>
    <d v="2026-05-30T00:00:00"/>
    <d v="2026-06-12T00:00:00"/>
    <d v="2026-06-11T00:00:00"/>
    <n v="387"/>
    <s v="PK-119"/>
    <n v="14"/>
    <x v="0"/>
    <s v="Y"/>
    <s v="Y"/>
    <s v="Y"/>
    <n v="12"/>
    <n v="1.0078125"/>
    <n v="3.6175710594315243E-2"/>
    <n v="1"/>
  </r>
  <r>
    <x v="793"/>
    <x v="17"/>
    <x v="1"/>
    <n v="223"/>
    <d v="2026-02-08T00:00:00"/>
    <d v="2026-02-20T00:00:00"/>
    <d v="2026-02-22T00:00:00"/>
    <n v="227"/>
    <s v="PK-256"/>
    <n v="7"/>
    <x v="0"/>
    <s v="N"/>
    <s v="Y"/>
    <s v="N"/>
    <n v="14"/>
    <n v="1.0179372197309418"/>
    <n v="3.0837004405286344E-2"/>
    <n v="0"/>
  </r>
  <r>
    <x v="794"/>
    <x v="5"/>
    <x v="2"/>
    <n v="520"/>
    <d v="2026-05-21T00:00:00"/>
    <d v="2026-05-28T00:00:00"/>
    <d v="2026-05-26T00:00:00"/>
    <n v="516"/>
    <s v="IM-184"/>
    <n v="1"/>
    <x v="0"/>
    <s v="Y"/>
    <s v="Y"/>
    <s v="Y"/>
    <n v="5"/>
    <n v="0.99230769230769234"/>
    <n v="1.937984496124031E-3"/>
    <n v="1"/>
  </r>
  <r>
    <x v="795"/>
    <x v="8"/>
    <x v="0"/>
    <n v="772"/>
    <d v="2026-02-17T00:00:00"/>
    <d v="2026-02-27T00:00:00"/>
    <d v="2026-03-01T00:00:00"/>
    <n v="762"/>
    <s v="RM-145"/>
    <n v="46"/>
    <x v="0"/>
    <s v="N"/>
    <s v="Y"/>
    <s v="N"/>
    <n v="12"/>
    <n v="0.98704663212435229"/>
    <n v="6.0367454068241469E-2"/>
    <n v="0"/>
  </r>
  <r>
    <x v="796"/>
    <x v="2"/>
    <x v="1"/>
    <n v="183"/>
    <d v="2026-01-20T00:00:00"/>
    <d v="2026-01-25T00:00:00"/>
    <d v="2026-01-31T00:00:00"/>
    <n v="170"/>
    <s v="PK-218"/>
    <n v="8"/>
    <x v="0"/>
    <s v="N"/>
    <s v="N"/>
    <s v="N"/>
    <n v="11"/>
    <n v="0.92896174863387981"/>
    <n v="4.7058823529411764E-2"/>
    <n v="0"/>
  </r>
  <r>
    <x v="797"/>
    <x v="13"/>
    <x v="1"/>
    <n v="92"/>
    <d v="2026-04-17T00:00:00"/>
    <d v="2026-04-28T00:00:00"/>
    <m/>
    <m/>
    <s v="PK-183"/>
    <m/>
    <x v="1"/>
    <s v="N/A"/>
    <s v="N/A"/>
    <s v="N/A"/>
    <s v="N/A"/>
    <s v="N/A"/>
    <s v="N/A"/>
    <s v=""/>
  </r>
  <r>
    <x v="798"/>
    <x v="2"/>
    <x v="2"/>
    <n v="422"/>
    <d v="2026-04-29T00:00:00"/>
    <d v="2026-05-06T00:00:00"/>
    <d v="2026-05-04T00:00:00"/>
    <n v="428"/>
    <s v="IM-258"/>
    <n v="23"/>
    <x v="0"/>
    <s v="Y"/>
    <s v="Y"/>
    <s v="Y"/>
    <n v="5"/>
    <n v="1.014218009478673"/>
    <n v="5.3738317757009345E-2"/>
    <n v="1"/>
  </r>
  <r>
    <x v="799"/>
    <x v="1"/>
    <x v="1"/>
    <n v="191"/>
    <d v="2026-03-07T00:00:00"/>
    <d v="2026-03-18T00:00:00"/>
    <d v="2026-03-16T00:00:00"/>
    <n v="189"/>
    <s v="PK-265"/>
    <n v="3"/>
    <x v="0"/>
    <s v="Y"/>
    <s v="Y"/>
    <s v="Y"/>
    <n v="9"/>
    <n v="0.98952879581151831"/>
    <n v="1.5873015873015872E-2"/>
    <n v="1"/>
  </r>
  <r>
    <x v="800"/>
    <x v="8"/>
    <x v="1"/>
    <n v="842"/>
    <d v="2026-05-01T00:00:00"/>
    <d v="2026-05-11T00:00:00"/>
    <d v="2026-05-18T00:00:00"/>
    <n v="831"/>
    <s v="PK-168"/>
    <n v="79"/>
    <x v="0"/>
    <s v="N"/>
    <s v="Y"/>
    <s v="N"/>
    <n v="17"/>
    <n v="0.98693586698337288"/>
    <n v="9.5066185318892896E-2"/>
    <n v="0"/>
  </r>
  <r>
    <x v="801"/>
    <x v="16"/>
    <x v="0"/>
    <n v="183"/>
    <d v="2026-04-02T00:00:00"/>
    <d v="2026-04-08T00:00:00"/>
    <d v="2026-04-15T00:00:00"/>
    <n v="186"/>
    <s v="RM-226"/>
    <n v="2"/>
    <x v="0"/>
    <s v="N"/>
    <s v="Y"/>
    <s v="N"/>
    <n v="13"/>
    <n v="1.0163934426229508"/>
    <n v="1.0752688172043012E-2"/>
    <n v="0"/>
  </r>
  <r>
    <x v="802"/>
    <x v="9"/>
    <x v="0"/>
    <n v="822"/>
    <d v="2026-05-28T00:00:00"/>
    <d v="2026-06-04T00:00:00"/>
    <d v="2026-06-03T00:00:00"/>
    <n v="820"/>
    <s v="RM-234"/>
    <n v="1"/>
    <x v="0"/>
    <s v="Y"/>
    <s v="Y"/>
    <s v="Y"/>
    <n v="6"/>
    <n v="0.9975669099756691"/>
    <n v="1.2195121951219512E-3"/>
    <n v="1"/>
  </r>
  <r>
    <x v="803"/>
    <x v="13"/>
    <x v="1"/>
    <n v="368"/>
    <d v="2026-04-05T00:00:00"/>
    <d v="2026-04-12T00:00:00"/>
    <d v="2026-04-14T00:00:00"/>
    <n v="337"/>
    <s v="PK-114"/>
    <n v="2"/>
    <x v="0"/>
    <s v="N"/>
    <s v="N"/>
    <s v="N"/>
    <n v="9"/>
    <n v="0.91576086956521741"/>
    <n v="5.9347181008902079E-3"/>
    <n v="0"/>
  </r>
  <r>
    <x v="804"/>
    <x v="18"/>
    <x v="0"/>
    <n v="327"/>
    <d v="2026-04-01T00:00:00"/>
    <d v="2026-04-06T00:00:00"/>
    <d v="2026-04-05T00:00:00"/>
    <n v="333"/>
    <s v="RM-151"/>
    <n v="18"/>
    <x v="0"/>
    <s v="Y"/>
    <s v="Y"/>
    <s v="Y"/>
    <n v="4"/>
    <n v="1.0183486238532109"/>
    <n v="5.4054054054054057E-2"/>
    <n v="1"/>
  </r>
  <r>
    <x v="805"/>
    <x v="0"/>
    <x v="1"/>
    <n v="673"/>
    <d v="2026-01-23T00:00:00"/>
    <d v="2026-01-30T00:00:00"/>
    <d v="2026-01-30T00:00:00"/>
    <n v="561"/>
    <s v="PK-139"/>
    <n v="12"/>
    <x v="0"/>
    <s v="Y"/>
    <s v="N"/>
    <s v="N"/>
    <n v="7"/>
    <n v="0.83358098068350672"/>
    <n v="2.1390374331550801E-2"/>
    <n v="0"/>
  </r>
  <r>
    <x v="806"/>
    <x v="9"/>
    <x v="0"/>
    <n v="819"/>
    <d v="2026-03-12T00:00:00"/>
    <d v="2026-03-23T00:00:00"/>
    <d v="2026-03-23T00:00:00"/>
    <n v="819"/>
    <s v="RM-230"/>
    <n v="16"/>
    <x v="0"/>
    <s v="Y"/>
    <s v="Y"/>
    <s v="Y"/>
    <n v="11"/>
    <n v="1"/>
    <n v="1.9536019536019536E-2"/>
    <n v="1"/>
  </r>
  <r>
    <x v="807"/>
    <x v="13"/>
    <x v="0"/>
    <n v="256"/>
    <d v="2026-05-29T00:00:00"/>
    <d v="2026-06-10T00:00:00"/>
    <d v="2026-06-09T00:00:00"/>
    <n v="240"/>
    <s v="RM-270"/>
    <n v="10"/>
    <x v="0"/>
    <s v="Y"/>
    <s v="N"/>
    <s v="N"/>
    <n v="11"/>
    <n v="0.9375"/>
    <n v="4.1666666666666664E-2"/>
    <n v="0"/>
  </r>
  <r>
    <x v="808"/>
    <x v="17"/>
    <x v="1"/>
    <n v="557"/>
    <d v="2026-02-06T00:00:00"/>
    <d v="2026-02-14T00:00:00"/>
    <d v="2026-02-14T00:00:00"/>
    <n v="563"/>
    <s v="PK-256"/>
    <n v="16"/>
    <x v="0"/>
    <s v="Y"/>
    <s v="Y"/>
    <s v="Y"/>
    <n v="8"/>
    <n v="1.0107719928186714"/>
    <n v="2.8419182948490232E-2"/>
    <n v="1"/>
  </r>
  <r>
    <x v="809"/>
    <x v="9"/>
    <x v="0"/>
    <n v="826"/>
    <d v="2026-01-27T00:00:00"/>
    <d v="2026-02-01T00:00:00"/>
    <d v="2026-01-29T00:00:00"/>
    <n v="821"/>
    <s v="RM-206"/>
    <n v="59"/>
    <x v="0"/>
    <s v="Y"/>
    <s v="Y"/>
    <s v="Y"/>
    <n v="2"/>
    <n v="0.99394673123486688"/>
    <n v="7.186358099878197E-2"/>
    <n v="1"/>
  </r>
  <r>
    <x v="810"/>
    <x v="1"/>
    <x v="0"/>
    <n v="911"/>
    <d v="2026-03-31T00:00:00"/>
    <d v="2026-04-07T00:00:00"/>
    <d v="2026-04-05T00:00:00"/>
    <n v="921"/>
    <s v="RM-256"/>
    <n v="16"/>
    <x v="0"/>
    <s v="Y"/>
    <s v="Y"/>
    <s v="Y"/>
    <n v="5"/>
    <n v="1.0109769484083424"/>
    <n v="1.737242128121607E-2"/>
    <n v="1"/>
  </r>
  <r>
    <x v="811"/>
    <x v="0"/>
    <x v="1"/>
    <n v="380"/>
    <d v="2026-01-16T00:00:00"/>
    <d v="2026-01-21T00:00:00"/>
    <d v="2026-01-21T00:00:00"/>
    <n v="372"/>
    <s v="PK-208"/>
    <n v="10"/>
    <x v="0"/>
    <s v="Y"/>
    <s v="N"/>
    <s v="N"/>
    <n v="5"/>
    <n v="0.97894736842105268"/>
    <n v="2.6881720430107527E-2"/>
    <n v="0"/>
  </r>
  <r>
    <x v="812"/>
    <x v="1"/>
    <x v="0"/>
    <n v="89"/>
    <d v="2026-01-18T00:00:00"/>
    <d v="2026-01-23T00:00:00"/>
    <d v="2026-01-27T00:00:00"/>
    <n v="90"/>
    <s v="RM-283"/>
    <n v="2"/>
    <x v="0"/>
    <s v="N"/>
    <s v="Y"/>
    <s v="N"/>
    <n v="9"/>
    <n v="1.0112359550561798"/>
    <n v="2.2222222222222223E-2"/>
    <n v="0"/>
  </r>
  <r>
    <x v="813"/>
    <x v="16"/>
    <x v="1"/>
    <n v="356"/>
    <d v="2026-05-08T00:00:00"/>
    <d v="2026-05-14T00:00:00"/>
    <d v="2026-05-14T00:00:00"/>
    <n v="351"/>
    <s v="PK-227"/>
    <n v="3"/>
    <x v="0"/>
    <s v="Y"/>
    <s v="Y"/>
    <s v="Y"/>
    <n v="6"/>
    <n v="0.9859550561797753"/>
    <n v="8.5470085470085479E-3"/>
    <n v="1"/>
  </r>
  <r>
    <x v="814"/>
    <x v="16"/>
    <x v="1"/>
    <n v="155"/>
    <d v="2026-01-23T00:00:00"/>
    <d v="2026-01-29T00:00:00"/>
    <d v="2026-01-29T00:00:00"/>
    <n v="154"/>
    <s v="PK-250"/>
    <n v="1"/>
    <x v="0"/>
    <s v="Y"/>
    <s v="Y"/>
    <s v="Y"/>
    <n v="6"/>
    <n v="0.99354838709677418"/>
    <n v="6.4935064935064939E-3"/>
    <n v="1"/>
  </r>
  <r>
    <x v="815"/>
    <x v="1"/>
    <x v="0"/>
    <n v="269"/>
    <d v="2026-04-06T00:00:00"/>
    <d v="2026-04-17T00:00:00"/>
    <d v="2026-04-16T00:00:00"/>
    <n v="265"/>
    <s v="RM-267"/>
    <n v="6"/>
    <x v="0"/>
    <s v="Y"/>
    <s v="Y"/>
    <s v="Y"/>
    <n v="10"/>
    <n v="0.98513011152416352"/>
    <n v="2.2641509433962263E-2"/>
    <n v="1"/>
  </r>
  <r>
    <x v="816"/>
    <x v="13"/>
    <x v="2"/>
    <n v="259"/>
    <d v="2026-01-29T00:00:00"/>
    <d v="2026-02-09T00:00:00"/>
    <d v="2026-02-17T00:00:00"/>
    <n v="242"/>
    <s v="IM-281"/>
    <n v="6"/>
    <x v="0"/>
    <s v="N"/>
    <s v="N"/>
    <s v="N"/>
    <n v="19"/>
    <n v="0.93436293436293438"/>
    <n v="2.4793388429752067E-2"/>
    <n v="0"/>
  </r>
  <r>
    <x v="817"/>
    <x v="17"/>
    <x v="1"/>
    <n v="636"/>
    <d v="2026-03-30T00:00:00"/>
    <d v="2026-04-06T00:00:00"/>
    <d v="2026-04-06T00:00:00"/>
    <n v="646"/>
    <s v="PK-278"/>
    <n v="14"/>
    <x v="0"/>
    <s v="Y"/>
    <s v="Y"/>
    <s v="Y"/>
    <n v="7"/>
    <n v="1.0157232704402517"/>
    <n v="2.1671826625386997E-2"/>
    <n v="1"/>
  </r>
  <r>
    <x v="818"/>
    <x v="0"/>
    <x v="2"/>
    <n v="339"/>
    <d v="2026-04-21T00:00:00"/>
    <d v="2026-04-30T00:00:00"/>
    <d v="2026-04-28T00:00:00"/>
    <n v="322"/>
    <s v="IM-223"/>
    <n v="11"/>
    <x v="0"/>
    <s v="Y"/>
    <s v="N"/>
    <s v="N"/>
    <n v="7"/>
    <n v="0.94985250737463123"/>
    <n v="3.4161490683229816E-2"/>
    <n v="0"/>
  </r>
  <r>
    <x v="819"/>
    <x v="3"/>
    <x v="1"/>
    <n v="388"/>
    <d v="2026-03-18T00:00:00"/>
    <d v="2026-04-02T00:00:00"/>
    <d v="2026-03-31T00:00:00"/>
    <n v="385"/>
    <s v="PK-278"/>
    <n v="32"/>
    <x v="0"/>
    <s v="Y"/>
    <s v="Y"/>
    <s v="Y"/>
    <n v="13"/>
    <n v="0.99226804123711343"/>
    <n v="8.3116883116883117E-2"/>
    <n v="1"/>
  </r>
  <r>
    <x v="820"/>
    <x v="10"/>
    <x v="1"/>
    <n v="499"/>
    <d v="2026-05-13T00:00:00"/>
    <d v="2026-05-27T00:00:00"/>
    <d v="2026-05-25T00:00:00"/>
    <n v="502"/>
    <s v="PK-182"/>
    <n v="48"/>
    <x v="0"/>
    <s v="Y"/>
    <s v="Y"/>
    <s v="Y"/>
    <n v="12"/>
    <n v="1.0060120240480961"/>
    <n v="9.5617529880478086E-2"/>
    <n v="1"/>
  </r>
  <r>
    <x v="821"/>
    <x v="9"/>
    <x v="2"/>
    <n v="298"/>
    <d v="2026-05-18T00:00:00"/>
    <d v="2026-06-02T00:00:00"/>
    <d v="2026-06-01T00:00:00"/>
    <n v="297"/>
    <s v="IM-214"/>
    <n v="5"/>
    <x v="0"/>
    <s v="Y"/>
    <s v="Y"/>
    <s v="Y"/>
    <n v="14"/>
    <n v="0.99664429530201337"/>
    <n v="1.6835016835016835E-2"/>
    <n v="1"/>
  </r>
  <r>
    <x v="822"/>
    <x v="12"/>
    <x v="2"/>
    <n v="427"/>
    <d v="2026-03-11T00:00:00"/>
    <d v="2026-03-19T00:00:00"/>
    <d v="2026-03-17T00:00:00"/>
    <n v="421"/>
    <s v="IM-176"/>
    <n v="10"/>
    <x v="0"/>
    <s v="Y"/>
    <s v="Y"/>
    <s v="Y"/>
    <n v="6"/>
    <n v="0.98594847775175642"/>
    <n v="2.3752969121140142E-2"/>
    <n v="1"/>
  </r>
  <r>
    <x v="823"/>
    <x v="4"/>
    <x v="0"/>
    <n v="388"/>
    <d v="2026-05-31T00:00:00"/>
    <d v="2026-06-07T00:00:00"/>
    <d v="2026-06-05T00:00:00"/>
    <n v="384"/>
    <s v="RM-210"/>
    <n v="5"/>
    <x v="0"/>
    <s v="Y"/>
    <s v="Y"/>
    <s v="Y"/>
    <n v="5"/>
    <n v="0.98969072164948457"/>
    <n v="1.3020833333333334E-2"/>
    <n v="1"/>
  </r>
  <r>
    <x v="824"/>
    <x v="9"/>
    <x v="2"/>
    <n v="755"/>
    <d v="2026-01-24T00:00:00"/>
    <d v="2026-01-30T00:00:00"/>
    <d v="2026-02-04T00:00:00"/>
    <n v="765"/>
    <s v="IM-184"/>
    <n v="45"/>
    <x v="0"/>
    <s v="N"/>
    <s v="Y"/>
    <s v="N"/>
    <n v="11"/>
    <n v="1.0132450331125828"/>
    <n v="5.8823529411764705E-2"/>
    <n v="0"/>
  </r>
  <r>
    <x v="825"/>
    <x v="1"/>
    <x v="1"/>
    <n v="607"/>
    <d v="2026-01-18T00:00:00"/>
    <d v="2026-02-01T00:00:00"/>
    <d v="2026-01-30T00:00:00"/>
    <n v="605"/>
    <s v="PK-149"/>
    <n v="4"/>
    <x v="0"/>
    <s v="Y"/>
    <s v="Y"/>
    <s v="Y"/>
    <n v="12"/>
    <n v="0.99670510708401971"/>
    <n v="6.6115702479338841E-3"/>
    <n v="1"/>
  </r>
  <r>
    <x v="826"/>
    <x v="19"/>
    <x v="0"/>
    <n v="202"/>
    <d v="2026-04-25T00:00:00"/>
    <d v="2026-05-01T00:00:00"/>
    <d v="2026-04-30T00:00:00"/>
    <n v="200"/>
    <s v="RM-263"/>
    <n v="8"/>
    <x v="0"/>
    <s v="Y"/>
    <s v="Y"/>
    <s v="Y"/>
    <n v="5"/>
    <n v="0.99009900990099009"/>
    <n v="0.04"/>
    <n v="1"/>
  </r>
  <r>
    <x v="827"/>
    <x v="14"/>
    <x v="0"/>
    <n v="718"/>
    <d v="2026-03-03T00:00:00"/>
    <d v="2026-03-14T00:00:00"/>
    <d v="2026-03-17T00:00:00"/>
    <n v="708"/>
    <s v="RM-173"/>
    <n v="9"/>
    <x v="0"/>
    <s v="N"/>
    <s v="Y"/>
    <s v="N"/>
    <n v="14"/>
    <n v="0.98607242339832868"/>
    <n v="1.2711864406779662E-2"/>
    <n v="0"/>
  </r>
  <r>
    <x v="828"/>
    <x v="9"/>
    <x v="1"/>
    <n v="319"/>
    <d v="2026-02-04T00:00:00"/>
    <d v="2026-02-13T00:00:00"/>
    <d v="2026-02-19T00:00:00"/>
    <n v="319"/>
    <s v="PK-208"/>
    <n v="1"/>
    <x v="0"/>
    <s v="N"/>
    <s v="Y"/>
    <s v="N"/>
    <n v="15"/>
    <n v="1"/>
    <n v="3.134796238244514E-3"/>
    <n v="0"/>
  </r>
  <r>
    <x v="829"/>
    <x v="16"/>
    <x v="0"/>
    <n v="342"/>
    <d v="2026-03-18T00:00:00"/>
    <d v="2026-03-25T00:00:00"/>
    <d v="2026-03-25T00:00:00"/>
    <n v="344"/>
    <s v="RM-248"/>
    <n v="1"/>
    <x v="0"/>
    <s v="Y"/>
    <s v="Y"/>
    <s v="Y"/>
    <n v="7"/>
    <n v="1.0058479532163742"/>
    <n v="2.9069767441860465E-3"/>
    <n v="1"/>
  </r>
  <r>
    <x v="830"/>
    <x v="14"/>
    <x v="1"/>
    <n v="691"/>
    <d v="2026-03-11T00:00:00"/>
    <d v="2026-03-20T00:00:00"/>
    <d v="2026-03-19T00:00:00"/>
    <n v="565"/>
    <s v="PK-121"/>
    <n v="6"/>
    <x v="0"/>
    <s v="Y"/>
    <s v="N"/>
    <s v="N"/>
    <n v="8"/>
    <n v="0.81765557163531111"/>
    <n v="1.0619469026548672E-2"/>
    <n v="0"/>
  </r>
  <r>
    <x v="831"/>
    <x v="10"/>
    <x v="1"/>
    <n v="498"/>
    <d v="2026-02-27T00:00:00"/>
    <d v="2026-03-05T00:00:00"/>
    <d v="2026-03-02T00:00:00"/>
    <n v="497"/>
    <s v="PK-126"/>
    <n v="13"/>
    <x v="0"/>
    <s v="Y"/>
    <s v="Y"/>
    <s v="Y"/>
    <n v="3"/>
    <n v="0.99799196787148592"/>
    <n v="2.6156941649899398E-2"/>
    <n v="1"/>
  </r>
  <r>
    <x v="832"/>
    <x v="13"/>
    <x v="0"/>
    <n v="817"/>
    <d v="2026-04-10T00:00:00"/>
    <d v="2026-04-23T00:00:00"/>
    <d v="2026-04-22T00:00:00"/>
    <n v="815"/>
    <s v="RM-109"/>
    <n v="37"/>
    <x v="0"/>
    <s v="Y"/>
    <s v="Y"/>
    <s v="Y"/>
    <n v="12"/>
    <n v="0.99755201958384332"/>
    <n v="4.5398773006134971E-2"/>
    <n v="1"/>
  </r>
  <r>
    <x v="833"/>
    <x v="6"/>
    <x v="1"/>
    <n v="361"/>
    <d v="2026-01-15T00:00:00"/>
    <d v="2026-01-24T00:00:00"/>
    <m/>
    <m/>
    <s v="PK-276"/>
    <m/>
    <x v="1"/>
    <s v="N/A"/>
    <s v="N/A"/>
    <s v="N/A"/>
    <s v="N/A"/>
    <s v="N/A"/>
    <s v="N/A"/>
    <s v=""/>
  </r>
  <r>
    <x v="834"/>
    <x v="3"/>
    <x v="0"/>
    <n v="971"/>
    <d v="2026-02-28T00:00:00"/>
    <d v="2026-03-11T00:00:00"/>
    <d v="2026-03-08T00:00:00"/>
    <n v="897"/>
    <s v="RM-246"/>
    <n v="3"/>
    <x v="0"/>
    <s v="Y"/>
    <s v="N"/>
    <s v="N"/>
    <n v="8"/>
    <n v="0.92378990731204946"/>
    <n v="3.3444816053511705E-3"/>
    <n v="0"/>
  </r>
  <r>
    <x v="835"/>
    <x v="4"/>
    <x v="1"/>
    <n v="778"/>
    <d v="2026-01-17T00:00:00"/>
    <d v="2026-01-28T00:00:00"/>
    <d v="2026-01-28T00:00:00"/>
    <n v="788"/>
    <s v="PK-135"/>
    <n v="17"/>
    <x v="0"/>
    <s v="Y"/>
    <s v="Y"/>
    <s v="Y"/>
    <n v="11"/>
    <n v="1.012853470437018"/>
    <n v="2.1573604060913704E-2"/>
    <n v="1"/>
  </r>
  <r>
    <x v="836"/>
    <x v="4"/>
    <x v="0"/>
    <n v="617"/>
    <d v="2026-04-04T00:00:00"/>
    <d v="2026-04-12T00:00:00"/>
    <d v="2026-04-10T00:00:00"/>
    <n v="559"/>
    <s v="RM-118"/>
    <n v="15"/>
    <x v="0"/>
    <s v="Y"/>
    <s v="N"/>
    <s v="N"/>
    <n v="6"/>
    <n v="0.90599675850891415"/>
    <n v="2.6833631484794274E-2"/>
    <n v="0"/>
  </r>
  <r>
    <x v="837"/>
    <x v="0"/>
    <x v="0"/>
    <n v="675"/>
    <d v="2026-02-03T00:00:00"/>
    <d v="2026-02-18T00:00:00"/>
    <d v="2026-02-26T00:00:00"/>
    <n v="686"/>
    <s v="RM-246"/>
    <n v="8"/>
    <x v="0"/>
    <s v="N"/>
    <s v="Y"/>
    <s v="N"/>
    <n v="23"/>
    <n v="1.0162962962962963"/>
    <n v="1.1661807580174927E-2"/>
    <n v="0"/>
  </r>
  <r>
    <x v="838"/>
    <x v="2"/>
    <x v="1"/>
    <n v="89"/>
    <d v="2026-02-12T00:00:00"/>
    <d v="2026-02-26T00:00:00"/>
    <d v="2026-02-26T00:00:00"/>
    <n v="87"/>
    <s v="PK-147"/>
    <n v="2"/>
    <x v="0"/>
    <s v="Y"/>
    <s v="N"/>
    <s v="N"/>
    <n v="14"/>
    <n v="0.97752808988764039"/>
    <n v="2.2988505747126436E-2"/>
    <n v="0"/>
  </r>
  <r>
    <x v="839"/>
    <x v="14"/>
    <x v="1"/>
    <n v="702"/>
    <d v="2026-05-26T00:00:00"/>
    <d v="2026-06-09T00:00:00"/>
    <d v="2026-06-07T00:00:00"/>
    <n v="691"/>
    <s v="PK-296"/>
    <n v="39"/>
    <x v="0"/>
    <s v="Y"/>
    <s v="Y"/>
    <s v="Y"/>
    <n v="12"/>
    <n v="0.98433048433048431"/>
    <n v="5.6439942112879886E-2"/>
    <n v="1"/>
  </r>
  <r>
    <x v="840"/>
    <x v="14"/>
    <x v="0"/>
    <n v="407"/>
    <d v="2026-04-17T00:00:00"/>
    <d v="2026-05-02T00:00:00"/>
    <d v="2026-05-02T00:00:00"/>
    <n v="413"/>
    <s v="RM-283"/>
    <n v="3"/>
    <x v="0"/>
    <s v="Y"/>
    <s v="Y"/>
    <s v="Y"/>
    <n v="15"/>
    <n v="1.0147420147420148"/>
    <n v="7.2639225181598066E-3"/>
    <n v="1"/>
  </r>
  <r>
    <x v="841"/>
    <x v="14"/>
    <x v="0"/>
    <n v="427"/>
    <d v="2026-05-16T00:00:00"/>
    <d v="2026-05-22T00:00:00"/>
    <d v="2026-05-22T00:00:00"/>
    <n v="426"/>
    <s v="RM-233"/>
    <n v="2"/>
    <x v="0"/>
    <s v="Y"/>
    <s v="Y"/>
    <s v="Y"/>
    <n v="6"/>
    <n v="0.99765807962529274"/>
    <n v="4.6948356807511738E-3"/>
    <n v="1"/>
  </r>
  <r>
    <x v="842"/>
    <x v="17"/>
    <x v="2"/>
    <n v="605"/>
    <d v="2026-04-17T00:00:00"/>
    <d v="2026-04-22T00:00:00"/>
    <d v="2026-04-21T00:00:00"/>
    <n v="605"/>
    <s v="IM-245"/>
    <n v="21"/>
    <x v="0"/>
    <s v="Y"/>
    <s v="Y"/>
    <s v="Y"/>
    <n v="4"/>
    <n v="1"/>
    <n v="3.4710743801652892E-2"/>
    <n v="1"/>
  </r>
  <r>
    <x v="843"/>
    <x v="4"/>
    <x v="1"/>
    <n v="451"/>
    <d v="2026-04-23T00:00:00"/>
    <d v="2026-05-08T00:00:00"/>
    <d v="2026-05-08T00:00:00"/>
    <n v="444"/>
    <s v="PK-104"/>
    <n v="0"/>
    <x v="0"/>
    <s v="Y"/>
    <s v="Y"/>
    <s v="Y"/>
    <n v="15"/>
    <n v="0.98447893569844791"/>
    <n v="0"/>
    <n v="1"/>
  </r>
  <r>
    <x v="844"/>
    <x v="15"/>
    <x v="1"/>
    <n v="684"/>
    <d v="2026-04-25T00:00:00"/>
    <d v="2026-05-01T00:00:00"/>
    <d v="2026-04-29T00:00:00"/>
    <n v="676"/>
    <s v="PK-245"/>
    <n v="2"/>
    <x v="0"/>
    <s v="Y"/>
    <s v="Y"/>
    <s v="Y"/>
    <n v="4"/>
    <n v="0.98830409356725146"/>
    <n v="2.9585798816568047E-3"/>
    <n v="1"/>
  </r>
  <r>
    <x v="845"/>
    <x v="3"/>
    <x v="0"/>
    <n v="760"/>
    <d v="2026-01-30T00:00:00"/>
    <d v="2026-02-09T00:00:00"/>
    <d v="2026-02-10T00:00:00"/>
    <n v="771"/>
    <s v="RM-220"/>
    <n v="15"/>
    <x v="0"/>
    <s v="N"/>
    <s v="Y"/>
    <s v="N"/>
    <n v="11"/>
    <n v="1.0144736842105264"/>
    <n v="1.9455252918287938E-2"/>
    <n v="0"/>
  </r>
  <r>
    <x v="846"/>
    <x v="2"/>
    <x v="1"/>
    <n v="482"/>
    <d v="2026-06-01T00:00:00"/>
    <d v="2026-06-16T00:00:00"/>
    <d v="2026-06-15T00:00:00"/>
    <n v="485"/>
    <s v="PK-102"/>
    <n v="5"/>
    <x v="0"/>
    <s v="Y"/>
    <s v="Y"/>
    <s v="Y"/>
    <n v="14"/>
    <n v="1.0062240663900415"/>
    <n v="1.0309278350515464E-2"/>
    <n v="1"/>
  </r>
  <r>
    <x v="847"/>
    <x v="3"/>
    <x v="0"/>
    <n v="750"/>
    <d v="2026-04-24T00:00:00"/>
    <d v="2026-05-01T00:00:00"/>
    <d v="2026-05-05T00:00:00"/>
    <n v="747"/>
    <s v="RM-253"/>
    <n v="58"/>
    <x v="0"/>
    <s v="N"/>
    <s v="Y"/>
    <s v="N"/>
    <n v="11"/>
    <n v="0.996"/>
    <n v="7.7643908969210168E-2"/>
    <n v="0"/>
  </r>
  <r>
    <x v="848"/>
    <x v="0"/>
    <x v="0"/>
    <n v="487"/>
    <d v="2026-05-13T00:00:00"/>
    <d v="2026-05-20T00:00:00"/>
    <d v="2026-05-21T00:00:00"/>
    <n v="492"/>
    <s v="RM-142"/>
    <n v="7"/>
    <x v="0"/>
    <s v="N"/>
    <s v="Y"/>
    <s v="N"/>
    <n v="8"/>
    <n v="1.0102669404517455"/>
    <n v="1.4227642276422764E-2"/>
    <n v="0"/>
  </r>
  <r>
    <x v="849"/>
    <x v="11"/>
    <x v="0"/>
    <n v="226"/>
    <d v="2026-03-19T00:00:00"/>
    <d v="2026-04-01T00:00:00"/>
    <d v="2026-03-31T00:00:00"/>
    <n v="228"/>
    <s v="RM-139"/>
    <n v="1"/>
    <x v="0"/>
    <s v="Y"/>
    <s v="Y"/>
    <s v="Y"/>
    <n v="12"/>
    <n v="1.0088495575221239"/>
    <n v="4.3859649122807015E-3"/>
    <n v="1"/>
  </r>
  <r>
    <x v="850"/>
    <x v="17"/>
    <x v="1"/>
    <n v="992"/>
    <d v="2026-02-10T00:00:00"/>
    <d v="2026-02-24T00:00:00"/>
    <d v="2026-02-24T00:00:00"/>
    <n v="1007"/>
    <s v="PK-239"/>
    <n v="19"/>
    <x v="0"/>
    <s v="Y"/>
    <s v="Y"/>
    <s v="Y"/>
    <n v="14"/>
    <n v="1.0151209677419355"/>
    <n v="1.8867924528301886E-2"/>
    <n v="1"/>
  </r>
  <r>
    <x v="851"/>
    <x v="15"/>
    <x v="1"/>
    <n v="735"/>
    <d v="2026-03-21T00:00:00"/>
    <d v="2026-04-04T00:00:00"/>
    <d v="2026-04-10T00:00:00"/>
    <n v="603"/>
    <s v="PK-294"/>
    <n v="1"/>
    <x v="0"/>
    <s v="N"/>
    <s v="N"/>
    <s v="N"/>
    <n v="20"/>
    <n v="0.82040816326530608"/>
    <n v="1.658374792703151E-3"/>
    <n v="0"/>
  </r>
  <r>
    <x v="852"/>
    <x v="15"/>
    <x v="2"/>
    <n v="432"/>
    <d v="2026-03-18T00:00:00"/>
    <d v="2026-03-30T00:00:00"/>
    <d v="2026-04-08T00:00:00"/>
    <n v="431"/>
    <s v="IM-230"/>
    <n v="9"/>
    <x v="0"/>
    <s v="N"/>
    <s v="Y"/>
    <s v="N"/>
    <n v="21"/>
    <n v="0.99768518518518523"/>
    <n v="2.0881670533642691E-2"/>
    <n v="0"/>
  </r>
  <r>
    <x v="853"/>
    <x v="9"/>
    <x v="1"/>
    <n v="737"/>
    <d v="2026-05-12T00:00:00"/>
    <d v="2026-05-20T00:00:00"/>
    <d v="2026-05-19T00:00:00"/>
    <n v="729"/>
    <s v="PK-131"/>
    <n v="32"/>
    <x v="0"/>
    <s v="Y"/>
    <s v="Y"/>
    <s v="Y"/>
    <n v="7"/>
    <n v="0.98914518317503397"/>
    <n v="4.38957475994513E-2"/>
    <n v="1"/>
  </r>
  <r>
    <x v="854"/>
    <x v="1"/>
    <x v="0"/>
    <n v="391"/>
    <d v="2026-06-03T00:00:00"/>
    <d v="2026-06-12T00:00:00"/>
    <d v="2026-06-16T00:00:00"/>
    <n v="386"/>
    <s v="RM-251"/>
    <n v="8"/>
    <x v="0"/>
    <s v="N"/>
    <s v="Y"/>
    <s v="N"/>
    <n v="13"/>
    <n v="0.98721227621483376"/>
    <n v="2.072538860103627E-2"/>
    <n v="0"/>
  </r>
  <r>
    <x v="855"/>
    <x v="0"/>
    <x v="1"/>
    <n v="314"/>
    <d v="2026-03-31T00:00:00"/>
    <d v="2026-04-10T00:00:00"/>
    <d v="2026-04-10T00:00:00"/>
    <n v="260"/>
    <s v="PK-234"/>
    <n v="1"/>
    <x v="0"/>
    <s v="Y"/>
    <s v="N"/>
    <s v="N"/>
    <n v="10"/>
    <n v="0.82802547770700641"/>
    <n v="3.8461538461538464E-3"/>
    <n v="0"/>
  </r>
  <r>
    <x v="856"/>
    <x v="9"/>
    <x v="2"/>
    <n v="627"/>
    <d v="2026-01-14T00:00:00"/>
    <d v="2026-01-20T00:00:00"/>
    <d v="2026-01-28T00:00:00"/>
    <n v="636"/>
    <s v="IM-254"/>
    <n v="15"/>
    <x v="0"/>
    <s v="N"/>
    <s v="Y"/>
    <s v="N"/>
    <n v="14"/>
    <n v="1.0143540669856459"/>
    <n v="2.358490566037736E-2"/>
    <n v="0"/>
  </r>
  <r>
    <x v="857"/>
    <x v="5"/>
    <x v="1"/>
    <n v="495"/>
    <d v="2026-02-15T00:00:00"/>
    <d v="2026-03-01T00:00:00"/>
    <d v="2026-02-26T00:00:00"/>
    <n v="501"/>
    <s v="PK-241"/>
    <n v="2"/>
    <x v="0"/>
    <s v="Y"/>
    <s v="Y"/>
    <s v="Y"/>
    <n v="11"/>
    <n v="1.0121212121212122"/>
    <n v="3.9920159680638719E-3"/>
    <n v="1"/>
  </r>
  <r>
    <x v="858"/>
    <x v="14"/>
    <x v="0"/>
    <n v="869"/>
    <d v="2026-02-08T00:00:00"/>
    <d v="2026-02-17T00:00:00"/>
    <m/>
    <m/>
    <s v="RM-214"/>
    <m/>
    <x v="1"/>
    <s v="N/A"/>
    <s v="N/A"/>
    <s v="N/A"/>
    <s v="N/A"/>
    <s v="N/A"/>
    <s v="N/A"/>
    <s v=""/>
  </r>
  <r>
    <x v="859"/>
    <x v="13"/>
    <x v="2"/>
    <n v="332"/>
    <d v="2026-02-28T00:00:00"/>
    <d v="2026-03-06T00:00:00"/>
    <d v="2026-03-07T00:00:00"/>
    <n v="338"/>
    <s v="IM-235"/>
    <n v="25"/>
    <x v="0"/>
    <s v="N"/>
    <s v="Y"/>
    <s v="N"/>
    <n v="7"/>
    <n v="1.0180722891566265"/>
    <n v="7.3964497041420121E-2"/>
    <n v="0"/>
  </r>
  <r>
    <x v="860"/>
    <x v="18"/>
    <x v="0"/>
    <n v="427"/>
    <d v="2026-03-21T00:00:00"/>
    <d v="2026-03-28T00:00:00"/>
    <d v="2026-03-26T00:00:00"/>
    <n v="359"/>
    <s v="RM-299"/>
    <n v="6"/>
    <x v="0"/>
    <s v="Y"/>
    <s v="N"/>
    <s v="N"/>
    <n v="5"/>
    <n v="0.84074941451990637"/>
    <n v="1.6713091922005572E-2"/>
    <n v="0"/>
  </r>
  <r>
    <x v="861"/>
    <x v="6"/>
    <x v="0"/>
    <n v="914"/>
    <d v="2026-05-05T00:00:00"/>
    <d v="2026-05-17T00:00:00"/>
    <d v="2026-05-16T00:00:00"/>
    <n v="910"/>
    <s v="RM-176"/>
    <n v="63"/>
    <x v="0"/>
    <s v="Y"/>
    <s v="Y"/>
    <s v="Y"/>
    <n v="11"/>
    <n v="0.99562363238512031"/>
    <n v="6.9230769230769235E-2"/>
    <n v="1"/>
  </r>
  <r>
    <x v="862"/>
    <x v="9"/>
    <x v="1"/>
    <n v="517"/>
    <d v="2026-03-11T00:00:00"/>
    <d v="2026-03-19T00:00:00"/>
    <d v="2026-03-19T00:00:00"/>
    <n v="519"/>
    <s v="PK-276"/>
    <n v="26"/>
    <x v="0"/>
    <s v="Y"/>
    <s v="Y"/>
    <s v="Y"/>
    <n v="8"/>
    <n v="1.0038684719535784"/>
    <n v="5.0096339113680152E-2"/>
    <n v="1"/>
  </r>
  <r>
    <x v="863"/>
    <x v="3"/>
    <x v="2"/>
    <n v="833"/>
    <d v="2026-02-27T00:00:00"/>
    <d v="2026-03-07T00:00:00"/>
    <d v="2026-03-07T00:00:00"/>
    <n v="840"/>
    <s v="IM-280"/>
    <n v="28"/>
    <x v="0"/>
    <s v="Y"/>
    <s v="Y"/>
    <s v="Y"/>
    <n v="8"/>
    <n v="1.0084033613445378"/>
    <n v="3.3333333333333333E-2"/>
    <n v="1"/>
  </r>
  <r>
    <x v="864"/>
    <x v="15"/>
    <x v="0"/>
    <n v="771"/>
    <d v="2026-05-15T00:00:00"/>
    <d v="2026-05-22T00:00:00"/>
    <d v="2026-05-22T00:00:00"/>
    <n v="756"/>
    <s v="RM-136"/>
    <n v="12"/>
    <x v="0"/>
    <s v="Y"/>
    <s v="Y"/>
    <s v="Y"/>
    <n v="7"/>
    <n v="0.98054474708171202"/>
    <n v="1.5873015873015872E-2"/>
    <n v="1"/>
  </r>
  <r>
    <x v="865"/>
    <x v="15"/>
    <x v="1"/>
    <n v="963"/>
    <d v="2026-01-20T00:00:00"/>
    <d v="2026-01-26T00:00:00"/>
    <d v="2026-02-02T00:00:00"/>
    <n v="979"/>
    <s v="PK-260"/>
    <n v="20"/>
    <x v="0"/>
    <s v="N"/>
    <s v="Y"/>
    <s v="N"/>
    <n v="13"/>
    <n v="1.0166147455867083"/>
    <n v="2.0429009193054137E-2"/>
    <n v="0"/>
  </r>
  <r>
    <x v="866"/>
    <x v="1"/>
    <x v="1"/>
    <n v="284"/>
    <d v="2026-05-10T00:00:00"/>
    <d v="2026-05-24T00:00:00"/>
    <d v="2026-05-31T00:00:00"/>
    <n v="282"/>
    <s v="PK-171"/>
    <n v="2"/>
    <x v="0"/>
    <s v="N"/>
    <s v="Y"/>
    <s v="N"/>
    <n v="21"/>
    <n v="0.99295774647887325"/>
    <n v="7.0921985815602835E-3"/>
    <n v="0"/>
  </r>
  <r>
    <x v="867"/>
    <x v="13"/>
    <x v="1"/>
    <n v="814"/>
    <d v="2026-03-29T00:00:00"/>
    <d v="2026-04-04T00:00:00"/>
    <d v="2026-04-10T00:00:00"/>
    <n v="819"/>
    <s v="PK-124"/>
    <n v="14"/>
    <x v="0"/>
    <s v="N"/>
    <s v="Y"/>
    <s v="N"/>
    <n v="12"/>
    <n v="1.0061425061425062"/>
    <n v="1.7094017094017096E-2"/>
    <n v="0"/>
  </r>
  <r>
    <x v="868"/>
    <x v="19"/>
    <x v="0"/>
    <n v="638"/>
    <d v="2026-01-20T00:00:00"/>
    <d v="2026-01-27T00:00:00"/>
    <d v="2026-01-26T00:00:00"/>
    <n v="627"/>
    <s v="RM-255"/>
    <n v="32"/>
    <x v="0"/>
    <s v="Y"/>
    <s v="Y"/>
    <s v="Y"/>
    <n v="6"/>
    <n v="0.98275862068965514"/>
    <n v="5.1036682615629984E-2"/>
    <n v="1"/>
  </r>
  <r>
    <x v="869"/>
    <x v="10"/>
    <x v="2"/>
    <n v="879"/>
    <d v="2026-03-10T00:00:00"/>
    <d v="2026-03-17T00:00:00"/>
    <d v="2026-03-15T00:00:00"/>
    <n v="885"/>
    <s v="IM-149"/>
    <n v="6"/>
    <x v="0"/>
    <s v="Y"/>
    <s v="Y"/>
    <s v="Y"/>
    <n v="5"/>
    <n v="1.006825938566553"/>
    <n v="6.7796610169491523E-3"/>
    <n v="1"/>
  </r>
  <r>
    <x v="870"/>
    <x v="1"/>
    <x v="1"/>
    <n v="151"/>
    <d v="2026-03-09T00:00:00"/>
    <d v="2026-03-14T00:00:00"/>
    <d v="2026-03-12T00:00:00"/>
    <n v="151"/>
    <s v="PK-238"/>
    <n v="2"/>
    <x v="0"/>
    <s v="Y"/>
    <s v="Y"/>
    <s v="Y"/>
    <n v="3"/>
    <n v="1"/>
    <n v="1.3245033112582781E-2"/>
    <n v="1"/>
  </r>
  <r>
    <x v="871"/>
    <x v="8"/>
    <x v="2"/>
    <n v="188"/>
    <d v="2026-03-02T00:00:00"/>
    <d v="2026-03-13T00:00:00"/>
    <d v="2026-03-11T00:00:00"/>
    <n v="168"/>
    <s v="IM-243"/>
    <n v="7"/>
    <x v="0"/>
    <s v="Y"/>
    <s v="N"/>
    <s v="N"/>
    <n v="9"/>
    <n v="0.8936170212765957"/>
    <n v="4.1666666666666664E-2"/>
    <n v="0"/>
  </r>
  <r>
    <x v="872"/>
    <x v="6"/>
    <x v="1"/>
    <n v="465"/>
    <d v="2026-04-20T00:00:00"/>
    <d v="2026-05-01T00:00:00"/>
    <d v="2026-05-01T00:00:00"/>
    <n v="382"/>
    <s v="PK-280"/>
    <n v="28"/>
    <x v="0"/>
    <s v="Y"/>
    <s v="N"/>
    <s v="N"/>
    <n v="11"/>
    <n v="0.82150537634408605"/>
    <n v="7.3298429319371722E-2"/>
    <n v="0"/>
  </r>
  <r>
    <x v="873"/>
    <x v="13"/>
    <x v="1"/>
    <n v="393"/>
    <d v="2026-03-02T00:00:00"/>
    <d v="2026-03-11T00:00:00"/>
    <d v="2026-03-08T00:00:00"/>
    <n v="388"/>
    <s v="PK-241"/>
    <n v="18"/>
    <x v="0"/>
    <s v="Y"/>
    <s v="Y"/>
    <s v="Y"/>
    <n v="6"/>
    <n v="0.98727735368956748"/>
    <n v="4.6391752577319589E-2"/>
    <n v="1"/>
  </r>
  <r>
    <x v="874"/>
    <x v="11"/>
    <x v="1"/>
    <n v="298"/>
    <d v="2026-03-30T00:00:00"/>
    <d v="2026-04-04T00:00:00"/>
    <d v="2026-04-01T00:00:00"/>
    <n v="294"/>
    <s v="PK-288"/>
    <n v="4"/>
    <x v="0"/>
    <s v="Y"/>
    <s v="Y"/>
    <s v="Y"/>
    <n v="2"/>
    <n v="0.98657718120805371"/>
    <n v="1.3605442176870748E-2"/>
    <n v="1"/>
  </r>
  <r>
    <x v="875"/>
    <x v="14"/>
    <x v="1"/>
    <n v="493"/>
    <d v="2026-02-10T00:00:00"/>
    <d v="2026-02-17T00:00:00"/>
    <d v="2026-02-15T00:00:00"/>
    <n v="419"/>
    <s v="PK-244"/>
    <n v="19"/>
    <x v="0"/>
    <s v="Y"/>
    <s v="N"/>
    <s v="N"/>
    <n v="5"/>
    <n v="0.84989858012170383"/>
    <n v="4.5346062052505964E-2"/>
    <n v="0"/>
  </r>
  <r>
    <x v="876"/>
    <x v="6"/>
    <x v="1"/>
    <n v="424"/>
    <d v="2026-04-04T00:00:00"/>
    <d v="2026-04-18T00:00:00"/>
    <d v="2026-04-16T00:00:00"/>
    <n v="371"/>
    <s v="PK-100"/>
    <n v="18"/>
    <x v="0"/>
    <s v="Y"/>
    <s v="N"/>
    <s v="N"/>
    <n v="12"/>
    <n v="0.875"/>
    <n v="4.8517520215633422E-2"/>
    <n v="0"/>
  </r>
  <r>
    <x v="877"/>
    <x v="9"/>
    <x v="0"/>
    <n v="446"/>
    <d v="2026-05-02T00:00:00"/>
    <d v="2026-05-08T00:00:00"/>
    <d v="2026-05-06T00:00:00"/>
    <n v="446"/>
    <s v="RM-247"/>
    <n v="29"/>
    <x v="0"/>
    <s v="Y"/>
    <s v="Y"/>
    <s v="Y"/>
    <n v="4"/>
    <n v="1"/>
    <n v="6.5022421524663671E-2"/>
    <n v="1"/>
  </r>
  <r>
    <x v="878"/>
    <x v="19"/>
    <x v="0"/>
    <n v="296"/>
    <d v="2026-03-24T00:00:00"/>
    <d v="2026-04-05T00:00:00"/>
    <d v="2026-04-03T00:00:00"/>
    <n v="297"/>
    <s v="RM-192"/>
    <n v="7"/>
    <x v="0"/>
    <s v="Y"/>
    <s v="Y"/>
    <s v="Y"/>
    <n v="10"/>
    <n v="1.0033783783783783"/>
    <n v="2.3569023569023569E-2"/>
    <n v="1"/>
  </r>
  <r>
    <x v="879"/>
    <x v="8"/>
    <x v="2"/>
    <n v="885"/>
    <d v="2026-05-05T00:00:00"/>
    <d v="2026-05-14T00:00:00"/>
    <d v="2026-05-12T00:00:00"/>
    <n v="876"/>
    <s v="IM-260"/>
    <n v="75"/>
    <x v="0"/>
    <s v="Y"/>
    <s v="Y"/>
    <s v="Y"/>
    <n v="7"/>
    <n v="0.98983050847457632"/>
    <n v="8.5616438356164379E-2"/>
    <n v="1"/>
  </r>
  <r>
    <x v="880"/>
    <x v="15"/>
    <x v="1"/>
    <n v="900"/>
    <d v="2026-04-23T00:00:00"/>
    <d v="2026-05-03T00:00:00"/>
    <d v="2026-05-02T00:00:00"/>
    <n v="912"/>
    <s v="PK-240"/>
    <n v="17"/>
    <x v="0"/>
    <s v="Y"/>
    <s v="Y"/>
    <s v="Y"/>
    <n v="9"/>
    <n v="1.0133333333333334"/>
    <n v="1.8640350877192981E-2"/>
    <n v="1"/>
  </r>
  <r>
    <x v="881"/>
    <x v="5"/>
    <x v="2"/>
    <n v="565"/>
    <d v="2026-05-08T00:00:00"/>
    <d v="2026-05-21T00:00:00"/>
    <d v="2026-05-21T00:00:00"/>
    <n v="575"/>
    <s v="IM-116"/>
    <n v="3"/>
    <x v="0"/>
    <s v="Y"/>
    <s v="Y"/>
    <s v="Y"/>
    <n v="13"/>
    <n v="1.0176991150442478"/>
    <n v="5.2173913043478265E-3"/>
    <n v="1"/>
  </r>
  <r>
    <x v="882"/>
    <x v="8"/>
    <x v="1"/>
    <n v="499"/>
    <d v="2026-03-20T00:00:00"/>
    <d v="2026-04-01T00:00:00"/>
    <d v="2026-03-29T00:00:00"/>
    <n v="493"/>
    <s v="PK-213"/>
    <n v="36"/>
    <x v="0"/>
    <s v="Y"/>
    <s v="Y"/>
    <s v="Y"/>
    <n v="9"/>
    <n v="0.9879759519038076"/>
    <n v="7.3022312373225151E-2"/>
    <n v="1"/>
  </r>
  <r>
    <x v="883"/>
    <x v="5"/>
    <x v="1"/>
    <n v="774"/>
    <d v="2026-02-14T00:00:00"/>
    <d v="2026-02-20T00:00:00"/>
    <d v="2026-02-26T00:00:00"/>
    <n v="774"/>
    <s v="PK-115"/>
    <n v="2"/>
    <x v="0"/>
    <s v="N"/>
    <s v="Y"/>
    <s v="N"/>
    <n v="12"/>
    <n v="1"/>
    <n v="2.5839793281653748E-3"/>
    <n v="0"/>
  </r>
  <r>
    <x v="884"/>
    <x v="1"/>
    <x v="1"/>
    <n v="369"/>
    <d v="2026-01-08T00:00:00"/>
    <d v="2026-01-15T00:00:00"/>
    <d v="2026-01-14T00:00:00"/>
    <n v="313"/>
    <s v="PK-123"/>
    <n v="7"/>
    <x v="0"/>
    <s v="Y"/>
    <s v="N"/>
    <s v="N"/>
    <n v="6"/>
    <n v="0.8482384823848238"/>
    <n v="2.2364217252396165E-2"/>
    <n v="0"/>
  </r>
  <r>
    <x v="885"/>
    <x v="8"/>
    <x v="1"/>
    <n v="93"/>
    <d v="2026-06-01T00:00:00"/>
    <d v="2026-06-07T00:00:00"/>
    <d v="2026-06-05T00:00:00"/>
    <n v="94"/>
    <s v="PK-151"/>
    <n v="5"/>
    <x v="0"/>
    <s v="Y"/>
    <s v="Y"/>
    <s v="Y"/>
    <n v="4"/>
    <n v="1.010752688172043"/>
    <n v="5.3191489361702128E-2"/>
    <n v="1"/>
  </r>
  <r>
    <x v="886"/>
    <x v="14"/>
    <x v="0"/>
    <n v="312"/>
    <d v="2026-04-03T00:00:00"/>
    <d v="2026-04-12T00:00:00"/>
    <d v="2026-04-19T00:00:00"/>
    <n v="308"/>
    <s v="RM-277"/>
    <n v="7"/>
    <x v="0"/>
    <s v="N"/>
    <s v="Y"/>
    <s v="N"/>
    <n v="16"/>
    <n v="0.98717948717948723"/>
    <n v="2.2727272727272728E-2"/>
    <n v="0"/>
  </r>
  <r>
    <x v="887"/>
    <x v="5"/>
    <x v="1"/>
    <n v="524"/>
    <d v="2026-04-05T00:00:00"/>
    <d v="2026-04-19T00:00:00"/>
    <d v="2026-04-18T00:00:00"/>
    <n v="481"/>
    <s v="PK-110"/>
    <n v="6"/>
    <x v="0"/>
    <s v="Y"/>
    <s v="N"/>
    <s v="N"/>
    <n v="13"/>
    <n v="0.91793893129770987"/>
    <n v="1.2474012474012475E-2"/>
    <n v="0"/>
  </r>
  <r>
    <x v="888"/>
    <x v="14"/>
    <x v="2"/>
    <n v="399"/>
    <d v="2026-04-28T00:00:00"/>
    <d v="2026-05-12T00:00:00"/>
    <d v="2026-05-14T00:00:00"/>
    <n v="394"/>
    <s v="IM-230"/>
    <n v="0"/>
    <x v="0"/>
    <s v="N"/>
    <s v="Y"/>
    <s v="N"/>
    <n v="16"/>
    <n v="0.98746867167919794"/>
    <n v="0"/>
    <n v="0"/>
  </r>
  <r>
    <x v="889"/>
    <x v="15"/>
    <x v="0"/>
    <n v="385"/>
    <d v="2026-04-23T00:00:00"/>
    <d v="2026-04-30T00:00:00"/>
    <d v="2026-05-01T00:00:00"/>
    <n v="357"/>
    <s v="RM-169"/>
    <n v="8"/>
    <x v="0"/>
    <s v="N"/>
    <s v="N"/>
    <s v="N"/>
    <n v="8"/>
    <n v="0.92727272727272725"/>
    <n v="2.2408963585434174E-2"/>
    <n v="0"/>
  </r>
  <r>
    <x v="890"/>
    <x v="12"/>
    <x v="1"/>
    <n v="948"/>
    <d v="2026-03-21T00:00:00"/>
    <d v="2026-03-30T00:00:00"/>
    <d v="2026-03-30T00:00:00"/>
    <n v="939"/>
    <s v="PK-274"/>
    <n v="1"/>
    <x v="0"/>
    <s v="Y"/>
    <s v="Y"/>
    <s v="Y"/>
    <n v="9"/>
    <n v="0.990506329113924"/>
    <n v="1.0649627263045794E-3"/>
    <n v="1"/>
  </r>
  <r>
    <x v="891"/>
    <x v="4"/>
    <x v="1"/>
    <n v="746"/>
    <d v="2026-05-20T00:00:00"/>
    <d v="2026-06-01T00:00:00"/>
    <d v="2026-05-29T00:00:00"/>
    <n v="737"/>
    <s v="PK-284"/>
    <n v="1"/>
    <x v="0"/>
    <s v="Y"/>
    <s v="Y"/>
    <s v="Y"/>
    <n v="9"/>
    <n v="0.98793565683646112"/>
    <n v="1.3568521031207597E-3"/>
    <n v="1"/>
  </r>
  <r>
    <x v="892"/>
    <x v="0"/>
    <x v="1"/>
    <n v="195"/>
    <d v="2026-04-20T00:00:00"/>
    <d v="2026-04-28T00:00:00"/>
    <d v="2026-04-25T00:00:00"/>
    <n v="195"/>
    <s v="PK-290"/>
    <n v="0"/>
    <x v="0"/>
    <s v="Y"/>
    <s v="Y"/>
    <s v="Y"/>
    <n v="5"/>
    <n v="1"/>
    <n v="0"/>
    <n v="1"/>
  </r>
  <r>
    <x v="893"/>
    <x v="11"/>
    <x v="0"/>
    <n v="606"/>
    <d v="2026-04-22T00:00:00"/>
    <d v="2026-05-03T00:00:00"/>
    <d v="2026-05-03T00:00:00"/>
    <n v="602"/>
    <s v="RM-282"/>
    <n v="6"/>
    <x v="0"/>
    <s v="Y"/>
    <s v="Y"/>
    <s v="Y"/>
    <n v="11"/>
    <n v="0.99339933993399343"/>
    <n v="9.9667774086378731E-3"/>
    <n v="1"/>
  </r>
  <r>
    <x v="894"/>
    <x v="1"/>
    <x v="1"/>
    <n v="975"/>
    <d v="2026-01-29T00:00:00"/>
    <d v="2026-02-04T00:00:00"/>
    <d v="2026-02-09T00:00:00"/>
    <n v="981"/>
    <s v="PK-224"/>
    <n v="10"/>
    <x v="0"/>
    <s v="N"/>
    <s v="Y"/>
    <s v="N"/>
    <n v="11"/>
    <n v="1.0061538461538462"/>
    <n v="1.0193679918450561E-2"/>
    <n v="0"/>
  </r>
  <r>
    <x v="895"/>
    <x v="4"/>
    <x v="1"/>
    <n v="577"/>
    <d v="2026-03-09T00:00:00"/>
    <d v="2026-03-24T00:00:00"/>
    <d v="2026-03-23T00:00:00"/>
    <n v="548"/>
    <s v="PK-127"/>
    <n v="6"/>
    <x v="0"/>
    <s v="Y"/>
    <s v="N"/>
    <s v="N"/>
    <n v="14"/>
    <n v="0.94974003466204504"/>
    <n v="1.0948905109489052E-2"/>
    <n v="0"/>
  </r>
  <r>
    <x v="896"/>
    <x v="5"/>
    <x v="0"/>
    <n v="319"/>
    <d v="2026-03-01T00:00:00"/>
    <d v="2026-03-15T00:00:00"/>
    <d v="2026-03-12T00:00:00"/>
    <n v="266"/>
    <s v="RM-180"/>
    <n v="3"/>
    <x v="0"/>
    <s v="Y"/>
    <s v="N"/>
    <s v="N"/>
    <n v="11"/>
    <n v="0.83385579937304077"/>
    <n v="1.1278195488721804E-2"/>
    <n v="0"/>
  </r>
  <r>
    <x v="897"/>
    <x v="15"/>
    <x v="2"/>
    <n v="803"/>
    <d v="2026-05-29T00:00:00"/>
    <d v="2026-06-11T00:00:00"/>
    <d v="2026-06-11T00:00:00"/>
    <n v="816"/>
    <s v="IM-291"/>
    <n v="18"/>
    <x v="0"/>
    <s v="Y"/>
    <s v="Y"/>
    <s v="Y"/>
    <n v="13"/>
    <n v="1.016189290161893"/>
    <n v="2.2058823529411766E-2"/>
    <n v="1"/>
  </r>
  <r>
    <x v="898"/>
    <x v="8"/>
    <x v="0"/>
    <n v="615"/>
    <d v="2026-01-24T00:00:00"/>
    <d v="2026-02-07T00:00:00"/>
    <d v="2026-02-12T00:00:00"/>
    <n v="603"/>
    <s v="RM-231"/>
    <n v="10"/>
    <x v="0"/>
    <s v="N"/>
    <s v="Y"/>
    <s v="N"/>
    <n v="19"/>
    <n v="0.98048780487804876"/>
    <n v="1.658374792703151E-2"/>
    <n v="0"/>
  </r>
  <r>
    <x v="899"/>
    <x v="9"/>
    <x v="1"/>
    <n v="322"/>
    <d v="2026-01-23T00:00:00"/>
    <d v="2026-02-07T00:00:00"/>
    <d v="2026-02-05T00:00:00"/>
    <n v="267"/>
    <s v="PK-233"/>
    <n v="12"/>
    <x v="0"/>
    <s v="Y"/>
    <s v="N"/>
    <s v="N"/>
    <n v="13"/>
    <n v="0.82919254658385089"/>
    <n v="4.49438202247191E-2"/>
    <n v="0"/>
  </r>
  <r>
    <x v="900"/>
    <x v="0"/>
    <x v="1"/>
    <n v="761"/>
    <d v="2026-03-28T00:00:00"/>
    <d v="2026-04-03T00:00:00"/>
    <d v="2026-04-03T00:00:00"/>
    <n v="759"/>
    <s v="PK-126"/>
    <n v="24"/>
    <x v="0"/>
    <s v="Y"/>
    <s v="Y"/>
    <s v="Y"/>
    <n v="6"/>
    <n v="0.99737187910643887"/>
    <n v="3.1620553359683792E-2"/>
    <n v="1"/>
  </r>
  <r>
    <x v="901"/>
    <x v="18"/>
    <x v="2"/>
    <n v="872"/>
    <d v="2026-03-12T00:00:00"/>
    <d v="2026-03-18T00:00:00"/>
    <d v="2026-03-16T00:00:00"/>
    <n v="874"/>
    <s v="IM-215"/>
    <n v="5"/>
    <x v="0"/>
    <s v="Y"/>
    <s v="Y"/>
    <s v="Y"/>
    <n v="4"/>
    <n v="1.0022935779816513"/>
    <n v="5.7208237986270021E-3"/>
    <n v="1"/>
  </r>
  <r>
    <x v="902"/>
    <x v="14"/>
    <x v="1"/>
    <n v="749"/>
    <d v="2026-04-03T00:00:00"/>
    <d v="2026-04-09T00:00:00"/>
    <d v="2026-04-06T00:00:00"/>
    <n v="759"/>
    <s v="PK-228"/>
    <n v="5"/>
    <x v="0"/>
    <s v="Y"/>
    <s v="Y"/>
    <s v="Y"/>
    <n v="3"/>
    <n v="1.0133511348464619"/>
    <n v="6.587615283267457E-3"/>
    <n v="1"/>
  </r>
  <r>
    <x v="903"/>
    <x v="6"/>
    <x v="2"/>
    <n v="990"/>
    <d v="2026-04-29T00:00:00"/>
    <d v="2026-05-11T00:00:00"/>
    <d v="2026-05-08T00:00:00"/>
    <n v="978"/>
    <s v="IM-154"/>
    <n v="58"/>
    <x v="0"/>
    <s v="Y"/>
    <s v="Y"/>
    <s v="Y"/>
    <n v="9"/>
    <n v="0.98787878787878791"/>
    <n v="5.9304703476482618E-2"/>
    <n v="1"/>
  </r>
  <r>
    <x v="904"/>
    <x v="17"/>
    <x v="1"/>
    <n v="819"/>
    <d v="2026-01-21T00:00:00"/>
    <d v="2026-01-29T00:00:00"/>
    <d v="2026-01-29T00:00:00"/>
    <n v="805"/>
    <s v="PK-252"/>
    <n v="18"/>
    <x v="0"/>
    <s v="Y"/>
    <s v="Y"/>
    <s v="Y"/>
    <n v="8"/>
    <n v="0.98290598290598286"/>
    <n v="2.236024844720497E-2"/>
    <n v="1"/>
  </r>
  <r>
    <x v="905"/>
    <x v="4"/>
    <x v="1"/>
    <n v="583"/>
    <d v="2026-01-12T00:00:00"/>
    <d v="2026-01-23T00:00:00"/>
    <d v="2026-01-22T00:00:00"/>
    <n v="586"/>
    <s v="PK-144"/>
    <n v="8"/>
    <x v="0"/>
    <s v="Y"/>
    <s v="Y"/>
    <s v="Y"/>
    <n v="10"/>
    <n v="1.0051457975986278"/>
    <n v="1.3651877133105802E-2"/>
    <n v="1"/>
  </r>
  <r>
    <x v="906"/>
    <x v="10"/>
    <x v="0"/>
    <n v="866"/>
    <d v="2026-03-12T00:00:00"/>
    <d v="2026-03-22T00:00:00"/>
    <d v="2026-03-20T00:00:00"/>
    <n v="881"/>
    <s v="RM-213"/>
    <n v="6"/>
    <x v="0"/>
    <s v="Y"/>
    <s v="Y"/>
    <s v="Y"/>
    <n v="8"/>
    <n v="1.0173210161662818"/>
    <n v="6.8104426787741201E-3"/>
    <n v="1"/>
  </r>
  <r>
    <x v="907"/>
    <x v="14"/>
    <x v="2"/>
    <n v="754"/>
    <d v="2026-04-15T00:00:00"/>
    <d v="2026-04-26T00:00:00"/>
    <d v="2026-04-24T00:00:00"/>
    <n v="740"/>
    <s v="IM-262"/>
    <n v="37"/>
    <x v="0"/>
    <s v="Y"/>
    <s v="Y"/>
    <s v="Y"/>
    <n v="9"/>
    <n v="0.98143236074270557"/>
    <n v="0.05"/>
    <n v="1"/>
  </r>
  <r>
    <x v="908"/>
    <x v="1"/>
    <x v="1"/>
    <n v="760"/>
    <d v="2026-03-22T00:00:00"/>
    <d v="2026-03-29T00:00:00"/>
    <d v="2026-04-03T00:00:00"/>
    <n v="755"/>
    <s v="PK-255"/>
    <n v="5"/>
    <x v="0"/>
    <s v="N"/>
    <s v="Y"/>
    <s v="N"/>
    <n v="12"/>
    <n v="0.99342105263157898"/>
    <n v="6.6225165562913907E-3"/>
    <n v="0"/>
  </r>
  <r>
    <x v="909"/>
    <x v="10"/>
    <x v="1"/>
    <n v="949"/>
    <d v="2026-05-22T00:00:00"/>
    <d v="2026-06-06T00:00:00"/>
    <d v="2026-06-03T00:00:00"/>
    <n v="965"/>
    <s v="PK-259"/>
    <n v="49"/>
    <x v="0"/>
    <s v="Y"/>
    <s v="Y"/>
    <s v="Y"/>
    <n v="12"/>
    <n v="1.0168598524762908"/>
    <n v="5.0777202072538857E-2"/>
    <n v="1"/>
  </r>
  <r>
    <x v="910"/>
    <x v="13"/>
    <x v="0"/>
    <n v="101"/>
    <d v="2026-05-02T00:00:00"/>
    <d v="2026-05-07T00:00:00"/>
    <d v="2026-05-06T00:00:00"/>
    <n v="103"/>
    <s v="RM-237"/>
    <n v="6"/>
    <x v="0"/>
    <s v="Y"/>
    <s v="Y"/>
    <s v="Y"/>
    <n v="4"/>
    <n v="1.0198019801980198"/>
    <n v="5.8252427184466021E-2"/>
    <n v="1"/>
  </r>
  <r>
    <x v="911"/>
    <x v="6"/>
    <x v="2"/>
    <n v="656"/>
    <d v="2026-04-15T00:00:00"/>
    <d v="2026-04-22T00:00:00"/>
    <d v="2026-04-20T00:00:00"/>
    <n v="555"/>
    <s v="IM-270"/>
    <n v="9"/>
    <x v="0"/>
    <s v="Y"/>
    <s v="N"/>
    <s v="N"/>
    <n v="5"/>
    <n v="0.84603658536585369"/>
    <n v="1.6216216216216217E-2"/>
    <n v="0"/>
  </r>
  <r>
    <x v="912"/>
    <x v="5"/>
    <x v="1"/>
    <n v="481"/>
    <d v="2026-02-21T00:00:00"/>
    <d v="2026-03-08T00:00:00"/>
    <d v="2026-03-06T00:00:00"/>
    <n v="463"/>
    <s v="PK-196"/>
    <n v="3"/>
    <x v="0"/>
    <s v="Y"/>
    <s v="N"/>
    <s v="N"/>
    <n v="13"/>
    <n v="0.96257796257796258"/>
    <n v="6.4794816414686825E-3"/>
    <n v="0"/>
  </r>
  <r>
    <x v="913"/>
    <x v="2"/>
    <x v="0"/>
    <n v="868"/>
    <d v="2026-05-13T00:00:00"/>
    <d v="2026-05-28T00:00:00"/>
    <d v="2026-05-28T00:00:00"/>
    <n v="867"/>
    <s v="RM-278"/>
    <n v="11"/>
    <x v="0"/>
    <s v="Y"/>
    <s v="Y"/>
    <s v="Y"/>
    <n v="15"/>
    <n v="0.99884792626728114"/>
    <n v="1.2687427912341407E-2"/>
    <n v="1"/>
  </r>
  <r>
    <x v="914"/>
    <x v="8"/>
    <x v="0"/>
    <n v="734"/>
    <d v="2026-01-29T00:00:00"/>
    <d v="2026-02-09T00:00:00"/>
    <d v="2026-02-10T00:00:00"/>
    <n v="736"/>
    <s v="RM-248"/>
    <n v="11"/>
    <x v="0"/>
    <s v="N"/>
    <s v="Y"/>
    <s v="N"/>
    <n v="12"/>
    <n v="1.0027247956403269"/>
    <n v="1.4945652173913044E-2"/>
    <n v="0"/>
  </r>
  <r>
    <x v="915"/>
    <x v="1"/>
    <x v="0"/>
    <n v="532"/>
    <d v="2026-02-01T00:00:00"/>
    <d v="2026-02-06T00:00:00"/>
    <d v="2026-02-09T00:00:00"/>
    <n v="538"/>
    <s v="RM-196"/>
    <n v="1"/>
    <x v="0"/>
    <s v="N"/>
    <s v="Y"/>
    <s v="N"/>
    <n v="8"/>
    <n v="1.0112781954887218"/>
    <n v="1.8587360594795538E-3"/>
    <n v="0"/>
  </r>
  <r>
    <x v="916"/>
    <x v="3"/>
    <x v="2"/>
    <n v="254"/>
    <d v="2026-01-30T00:00:00"/>
    <d v="2026-02-13T00:00:00"/>
    <d v="2026-02-11T00:00:00"/>
    <n v="211"/>
    <s v="IM-127"/>
    <n v="10"/>
    <x v="0"/>
    <s v="Y"/>
    <s v="N"/>
    <s v="N"/>
    <n v="12"/>
    <n v="0.8307086614173228"/>
    <n v="4.7393364928909949E-2"/>
    <n v="0"/>
  </r>
  <r>
    <x v="917"/>
    <x v="16"/>
    <x v="1"/>
    <n v="373"/>
    <d v="2026-03-21T00:00:00"/>
    <d v="2026-04-02T00:00:00"/>
    <d v="2026-03-31T00:00:00"/>
    <n v="377"/>
    <s v="PK-185"/>
    <n v="3"/>
    <x v="0"/>
    <s v="Y"/>
    <s v="Y"/>
    <s v="Y"/>
    <n v="10"/>
    <n v="1.0107238605898123"/>
    <n v="7.9575596816976128E-3"/>
    <n v="1"/>
  </r>
  <r>
    <x v="918"/>
    <x v="15"/>
    <x v="0"/>
    <n v="672"/>
    <d v="2026-01-22T00:00:00"/>
    <d v="2026-01-29T00:00:00"/>
    <d v="2026-02-06T00:00:00"/>
    <n v="585"/>
    <s v="RM-185"/>
    <n v="5"/>
    <x v="0"/>
    <s v="N"/>
    <s v="N"/>
    <s v="N"/>
    <n v="15"/>
    <n v="0.8705357142857143"/>
    <n v="8.5470085470085479E-3"/>
    <n v="0"/>
  </r>
  <r>
    <x v="919"/>
    <x v="12"/>
    <x v="1"/>
    <n v="169"/>
    <d v="2026-02-04T00:00:00"/>
    <d v="2026-02-13T00:00:00"/>
    <d v="2026-02-10T00:00:00"/>
    <n v="167"/>
    <s v="PK-156"/>
    <n v="1"/>
    <x v="0"/>
    <s v="Y"/>
    <s v="Y"/>
    <s v="Y"/>
    <n v="6"/>
    <n v="0.98816568047337283"/>
    <n v="5.9880239520958087E-3"/>
    <n v="1"/>
  </r>
  <r>
    <x v="920"/>
    <x v="4"/>
    <x v="0"/>
    <n v="696"/>
    <d v="2026-03-19T00:00:00"/>
    <d v="2026-03-27T00:00:00"/>
    <d v="2026-03-24T00:00:00"/>
    <n v="698"/>
    <s v="RM-283"/>
    <n v="21"/>
    <x v="0"/>
    <s v="Y"/>
    <s v="Y"/>
    <s v="Y"/>
    <n v="5"/>
    <n v="1.0028735632183907"/>
    <n v="3.0085959885386818E-2"/>
    <n v="1"/>
  </r>
  <r>
    <x v="921"/>
    <x v="1"/>
    <x v="1"/>
    <n v="329"/>
    <d v="2026-05-20T00:00:00"/>
    <d v="2026-06-02T00:00:00"/>
    <d v="2026-06-02T00:00:00"/>
    <n v="333"/>
    <s v="PK-147"/>
    <n v="4"/>
    <x v="0"/>
    <s v="Y"/>
    <s v="Y"/>
    <s v="Y"/>
    <n v="13"/>
    <n v="1.0121580547112461"/>
    <n v="1.2012012012012012E-2"/>
    <n v="1"/>
  </r>
  <r>
    <x v="922"/>
    <x v="13"/>
    <x v="0"/>
    <n v="897"/>
    <d v="2026-05-16T00:00:00"/>
    <d v="2026-05-26T00:00:00"/>
    <d v="2026-05-29T00:00:00"/>
    <n v="892"/>
    <s v="RM-114"/>
    <n v="8"/>
    <x v="0"/>
    <s v="N"/>
    <s v="Y"/>
    <s v="N"/>
    <n v="13"/>
    <n v="0.99442586399108135"/>
    <n v="8.9686098654708519E-3"/>
    <n v="0"/>
  </r>
  <r>
    <x v="923"/>
    <x v="17"/>
    <x v="1"/>
    <n v="956"/>
    <d v="2026-01-11T00:00:00"/>
    <d v="2026-01-18T00:00:00"/>
    <d v="2026-01-16T00:00:00"/>
    <n v="956"/>
    <s v="PK-229"/>
    <n v="22"/>
    <x v="0"/>
    <s v="Y"/>
    <s v="Y"/>
    <s v="Y"/>
    <n v="5"/>
    <n v="1"/>
    <n v="2.3012552301255231E-2"/>
    <n v="1"/>
  </r>
  <r>
    <x v="924"/>
    <x v="8"/>
    <x v="1"/>
    <n v="731"/>
    <d v="2026-04-22T00:00:00"/>
    <d v="2026-05-07T00:00:00"/>
    <d v="2026-05-05T00:00:00"/>
    <n v="732"/>
    <s v="PK-208"/>
    <n v="47"/>
    <x v="0"/>
    <s v="Y"/>
    <s v="Y"/>
    <s v="Y"/>
    <n v="13"/>
    <n v="1.0013679890560876"/>
    <n v="6.4207650273224046E-2"/>
    <n v="1"/>
  </r>
  <r>
    <x v="925"/>
    <x v="8"/>
    <x v="2"/>
    <n v="86"/>
    <d v="2026-05-26T00:00:00"/>
    <d v="2026-06-06T00:00:00"/>
    <d v="2026-06-03T00:00:00"/>
    <n v="84"/>
    <s v="IM-281"/>
    <n v="1"/>
    <x v="0"/>
    <s v="Y"/>
    <s v="N"/>
    <s v="N"/>
    <n v="8"/>
    <n v="0.97674418604651159"/>
    <n v="1.1904761904761904E-2"/>
    <n v="0"/>
  </r>
  <r>
    <x v="926"/>
    <x v="9"/>
    <x v="0"/>
    <n v="87"/>
    <d v="2026-05-08T00:00:00"/>
    <d v="2026-05-19T00:00:00"/>
    <d v="2026-05-16T00:00:00"/>
    <n v="86"/>
    <s v="RM-277"/>
    <n v="1"/>
    <x v="0"/>
    <s v="Y"/>
    <s v="Y"/>
    <s v="Y"/>
    <n v="8"/>
    <n v="0.9885057471264368"/>
    <n v="1.1627906976744186E-2"/>
    <n v="1"/>
  </r>
  <r>
    <x v="927"/>
    <x v="13"/>
    <x v="1"/>
    <n v="665"/>
    <d v="2026-03-12T00:00:00"/>
    <d v="2026-03-17T00:00:00"/>
    <d v="2026-03-16T00:00:00"/>
    <n v="631"/>
    <s v="PK-275"/>
    <n v="27"/>
    <x v="0"/>
    <s v="Y"/>
    <s v="N"/>
    <s v="N"/>
    <n v="4"/>
    <n v="0.94887218045112787"/>
    <n v="4.2789223454833596E-2"/>
    <n v="0"/>
  </r>
  <r>
    <x v="928"/>
    <x v="18"/>
    <x v="0"/>
    <n v="271"/>
    <d v="2026-03-21T00:00:00"/>
    <d v="2026-04-01T00:00:00"/>
    <d v="2026-03-31T00:00:00"/>
    <n v="271"/>
    <s v="RM-148"/>
    <n v="7"/>
    <x v="0"/>
    <s v="Y"/>
    <s v="Y"/>
    <s v="Y"/>
    <n v="10"/>
    <n v="1"/>
    <n v="2.5830258302583026E-2"/>
    <n v="1"/>
  </r>
  <r>
    <x v="929"/>
    <x v="13"/>
    <x v="1"/>
    <n v="758"/>
    <d v="2026-01-24T00:00:00"/>
    <d v="2026-02-06T00:00:00"/>
    <d v="2026-02-04T00:00:00"/>
    <n v="746"/>
    <s v="PK-208"/>
    <n v="48"/>
    <x v="0"/>
    <s v="Y"/>
    <s v="Y"/>
    <s v="Y"/>
    <n v="11"/>
    <n v="0.9841688654353562"/>
    <n v="6.4343163538873996E-2"/>
    <n v="1"/>
  </r>
  <r>
    <x v="930"/>
    <x v="18"/>
    <x v="0"/>
    <n v="208"/>
    <d v="2026-01-27T00:00:00"/>
    <d v="2026-02-02T00:00:00"/>
    <d v="2026-01-30T00:00:00"/>
    <n v="211"/>
    <s v="RM-283"/>
    <n v="11"/>
    <x v="0"/>
    <s v="Y"/>
    <s v="Y"/>
    <s v="Y"/>
    <n v="3"/>
    <n v="1.0144230769230769"/>
    <n v="5.2132701421800945E-2"/>
    <n v="1"/>
  </r>
  <r>
    <x v="931"/>
    <x v="0"/>
    <x v="1"/>
    <n v="307"/>
    <d v="2026-03-31T00:00:00"/>
    <d v="2026-04-05T00:00:00"/>
    <d v="2026-04-04T00:00:00"/>
    <n v="312"/>
    <s v="PK-294"/>
    <n v="1"/>
    <x v="0"/>
    <s v="Y"/>
    <s v="Y"/>
    <s v="Y"/>
    <n v="4"/>
    <n v="1.0162866449511401"/>
    <n v="3.205128205128205E-3"/>
    <n v="1"/>
  </r>
  <r>
    <x v="932"/>
    <x v="7"/>
    <x v="2"/>
    <n v="122"/>
    <d v="2026-02-04T00:00:00"/>
    <d v="2026-02-10T00:00:00"/>
    <d v="2026-02-11T00:00:00"/>
    <n v="123"/>
    <s v="IM-131"/>
    <n v="7"/>
    <x v="0"/>
    <s v="N"/>
    <s v="Y"/>
    <s v="N"/>
    <n v="7"/>
    <n v="1.0081967213114753"/>
    <n v="5.6910569105691054E-2"/>
    <n v="0"/>
  </r>
  <r>
    <x v="933"/>
    <x v="11"/>
    <x v="2"/>
    <n v="753"/>
    <d v="2026-05-31T00:00:00"/>
    <d v="2026-06-13T00:00:00"/>
    <d v="2026-06-17T00:00:00"/>
    <n v="766"/>
    <s v="IM-206"/>
    <n v="5"/>
    <x v="0"/>
    <s v="N"/>
    <s v="Y"/>
    <s v="N"/>
    <n v="17"/>
    <n v="1.0172642762284196"/>
    <n v="6.5274151436031328E-3"/>
    <n v="0"/>
  </r>
  <r>
    <x v="934"/>
    <x v="5"/>
    <x v="0"/>
    <n v="529"/>
    <d v="2026-04-17T00:00:00"/>
    <d v="2026-04-23T00:00:00"/>
    <d v="2026-04-21T00:00:00"/>
    <n v="535"/>
    <s v="RM-239"/>
    <n v="3"/>
    <x v="0"/>
    <s v="Y"/>
    <s v="Y"/>
    <s v="Y"/>
    <n v="4"/>
    <n v="1.0113421550094519"/>
    <n v="5.6074766355140183E-3"/>
    <n v="1"/>
  </r>
  <r>
    <x v="935"/>
    <x v="19"/>
    <x v="0"/>
    <n v="403"/>
    <d v="2026-04-07T00:00:00"/>
    <d v="2026-04-12T00:00:00"/>
    <d v="2026-04-12T00:00:00"/>
    <n v="404"/>
    <s v="RM-205"/>
    <n v="0"/>
    <x v="0"/>
    <s v="Y"/>
    <s v="Y"/>
    <s v="Y"/>
    <n v="5"/>
    <n v="1.0024813895781637"/>
    <n v="0"/>
    <n v="1"/>
  </r>
  <r>
    <x v="936"/>
    <x v="11"/>
    <x v="0"/>
    <n v="911"/>
    <d v="2026-05-01T00:00:00"/>
    <d v="2026-05-12T00:00:00"/>
    <d v="2026-05-20T00:00:00"/>
    <n v="923"/>
    <s v="RM-196"/>
    <n v="11"/>
    <x v="0"/>
    <s v="N"/>
    <s v="Y"/>
    <s v="N"/>
    <n v="19"/>
    <n v="1.0131723380900111"/>
    <n v="1.1917659804983749E-2"/>
    <n v="0"/>
  </r>
  <r>
    <x v="937"/>
    <x v="15"/>
    <x v="0"/>
    <n v="819"/>
    <d v="2026-04-03T00:00:00"/>
    <d v="2026-04-11T00:00:00"/>
    <d v="2026-04-09T00:00:00"/>
    <n v="830"/>
    <s v="RM-100"/>
    <n v="2"/>
    <x v="0"/>
    <s v="Y"/>
    <s v="Y"/>
    <s v="Y"/>
    <n v="6"/>
    <n v="1.0134310134310134"/>
    <n v="2.4096385542168677E-3"/>
    <n v="1"/>
  </r>
  <r>
    <x v="938"/>
    <x v="7"/>
    <x v="0"/>
    <n v="348"/>
    <d v="2026-01-21T00:00:00"/>
    <d v="2026-02-01T00:00:00"/>
    <d v="2026-01-29T00:00:00"/>
    <n v="352"/>
    <s v="RM-125"/>
    <n v="22"/>
    <x v="0"/>
    <s v="Y"/>
    <s v="Y"/>
    <s v="Y"/>
    <n v="8"/>
    <n v="1.0114942528735633"/>
    <n v="6.25E-2"/>
    <n v="1"/>
  </r>
  <r>
    <x v="939"/>
    <x v="14"/>
    <x v="0"/>
    <n v="321"/>
    <d v="2026-01-06T00:00:00"/>
    <d v="2026-01-13T00:00:00"/>
    <d v="2026-01-18T00:00:00"/>
    <n v="276"/>
    <s v="RM-231"/>
    <n v="1"/>
    <x v="0"/>
    <s v="N"/>
    <s v="N"/>
    <s v="N"/>
    <n v="12"/>
    <n v="0.85981308411214952"/>
    <n v="3.6231884057971015E-3"/>
    <n v="0"/>
  </r>
  <r>
    <x v="940"/>
    <x v="0"/>
    <x v="0"/>
    <n v="518"/>
    <d v="2026-03-29T00:00:00"/>
    <d v="2026-04-06T00:00:00"/>
    <m/>
    <m/>
    <s v="RM-227"/>
    <m/>
    <x v="1"/>
    <s v="N/A"/>
    <s v="N/A"/>
    <s v="N/A"/>
    <s v="N/A"/>
    <s v="N/A"/>
    <s v="N/A"/>
    <s v=""/>
  </r>
  <r>
    <x v="941"/>
    <x v="5"/>
    <x v="2"/>
    <n v="290"/>
    <d v="2026-04-18T00:00:00"/>
    <d v="2026-05-02T00:00:00"/>
    <d v="2026-04-29T00:00:00"/>
    <n v="278"/>
    <s v="IM-247"/>
    <n v="3"/>
    <x v="0"/>
    <s v="Y"/>
    <s v="N"/>
    <s v="N"/>
    <n v="11"/>
    <n v="0.95862068965517244"/>
    <n v="1.0791366906474821E-2"/>
    <n v="0"/>
  </r>
  <r>
    <x v="942"/>
    <x v="11"/>
    <x v="2"/>
    <n v="694"/>
    <d v="2026-01-30T00:00:00"/>
    <d v="2026-02-10T00:00:00"/>
    <d v="2026-02-09T00:00:00"/>
    <n v="693"/>
    <s v="IM-160"/>
    <n v="7"/>
    <x v="0"/>
    <s v="Y"/>
    <s v="Y"/>
    <s v="Y"/>
    <n v="10"/>
    <n v="0.99855907780979825"/>
    <n v="1.0101010101010102E-2"/>
    <n v="1"/>
  </r>
  <r>
    <x v="943"/>
    <x v="10"/>
    <x v="0"/>
    <n v="522"/>
    <d v="2026-05-04T00:00:00"/>
    <d v="2026-05-16T00:00:00"/>
    <d v="2026-05-13T00:00:00"/>
    <n v="512"/>
    <s v="RM-168"/>
    <n v="2"/>
    <x v="0"/>
    <s v="Y"/>
    <s v="Y"/>
    <s v="Y"/>
    <n v="9"/>
    <n v="0.98084291187739459"/>
    <n v="3.90625E-3"/>
    <n v="1"/>
  </r>
  <r>
    <x v="944"/>
    <x v="13"/>
    <x v="2"/>
    <n v="835"/>
    <d v="2026-05-05T00:00:00"/>
    <d v="2026-05-10T00:00:00"/>
    <d v="2026-05-18T00:00:00"/>
    <n v="835"/>
    <s v="IM-150"/>
    <n v="68"/>
    <x v="0"/>
    <s v="N"/>
    <s v="Y"/>
    <s v="N"/>
    <n v="13"/>
    <n v="1"/>
    <n v="8.1437125748502995E-2"/>
    <n v="0"/>
  </r>
  <r>
    <x v="945"/>
    <x v="13"/>
    <x v="0"/>
    <n v="961"/>
    <d v="2026-04-22T00:00:00"/>
    <d v="2026-05-06T00:00:00"/>
    <d v="2026-05-15T00:00:00"/>
    <n v="906"/>
    <s v="RM-131"/>
    <n v="2"/>
    <x v="0"/>
    <s v="N"/>
    <s v="N"/>
    <s v="N"/>
    <n v="23"/>
    <n v="0.94276795005202918"/>
    <n v="2.2075055187637969E-3"/>
    <n v="0"/>
  </r>
  <r>
    <x v="946"/>
    <x v="1"/>
    <x v="0"/>
    <n v="399"/>
    <d v="2026-01-05T00:00:00"/>
    <d v="2026-01-17T00:00:00"/>
    <d v="2026-01-17T00:00:00"/>
    <n v="404"/>
    <s v="RM-134"/>
    <n v="7"/>
    <x v="0"/>
    <s v="Y"/>
    <s v="Y"/>
    <s v="Y"/>
    <n v="12"/>
    <n v="1.0125313283208019"/>
    <n v="1.7326732673267328E-2"/>
    <n v="1"/>
  </r>
  <r>
    <x v="947"/>
    <x v="10"/>
    <x v="2"/>
    <n v="705"/>
    <d v="2026-03-04T00:00:00"/>
    <d v="2026-03-18T00:00:00"/>
    <d v="2026-03-16T00:00:00"/>
    <n v="710"/>
    <s v="IM-282"/>
    <n v="34"/>
    <x v="0"/>
    <s v="Y"/>
    <s v="Y"/>
    <s v="Y"/>
    <n v="12"/>
    <n v="1.0070921985815602"/>
    <n v="4.788732394366197E-2"/>
    <n v="1"/>
  </r>
  <r>
    <x v="948"/>
    <x v="19"/>
    <x v="0"/>
    <n v="304"/>
    <d v="2026-05-01T00:00:00"/>
    <d v="2026-05-08T00:00:00"/>
    <d v="2026-05-10T00:00:00"/>
    <n v="302"/>
    <s v="RM-102"/>
    <n v="2"/>
    <x v="0"/>
    <s v="N"/>
    <s v="Y"/>
    <s v="N"/>
    <n v="9"/>
    <n v="0.99342105263157898"/>
    <n v="6.6225165562913907E-3"/>
    <n v="0"/>
  </r>
  <r>
    <x v="949"/>
    <x v="9"/>
    <x v="1"/>
    <n v="927"/>
    <d v="2026-04-07T00:00:00"/>
    <d v="2026-04-19T00:00:00"/>
    <d v="2026-04-18T00:00:00"/>
    <n v="869"/>
    <s v="PK-292"/>
    <n v="42"/>
    <x v="0"/>
    <s v="Y"/>
    <s v="N"/>
    <s v="N"/>
    <n v="11"/>
    <n v="0.93743257820927728"/>
    <n v="4.8331415420023012E-2"/>
    <n v="0"/>
  </r>
  <r>
    <x v="950"/>
    <x v="8"/>
    <x v="0"/>
    <n v="311"/>
    <d v="2026-05-28T00:00:00"/>
    <d v="2026-06-07T00:00:00"/>
    <d v="2026-06-05T00:00:00"/>
    <n v="315"/>
    <s v="RM-148"/>
    <n v="27"/>
    <x v="0"/>
    <s v="Y"/>
    <s v="Y"/>
    <s v="Y"/>
    <n v="8"/>
    <n v="1.0128617363344052"/>
    <n v="8.5714285714285715E-2"/>
    <n v="1"/>
  </r>
  <r>
    <x v="951"/>
    <x v="1"/>
    <x v="2"/>
    <n v="175"/>
    <d v="2026-01-19T00:00:00"/>
    <d v="2026-01-31T00:00:00"/>
    <d v="2026-02-05T00:00:00"/>
    <n v="177"/>
    <s v="IM-262"/>
    <n v="0"/>
    <x v="0"/>
    <s v="N"/>
    <s v="Y"/>
    <s v="N"/>
    <n v="17"/>
    <n v="1.0114285714285713"/>
    <n v="0"/>
    <n v="0"/>
  </r>
  <r>
    <x v="952"/>
    <x v="16"/>
    <x v="1"/>
    <n v="358"/>
    <d v="2026-01-23T00:00:00"/>
    <d v="2026-02-06T00:00:00"/>
    <d v="2026-02-07T00:00:00"/>
    <n v="312"/>
    <s v="PK-193"/>
    <n v="1"/>
    <x v="0"/>
    <s v="N"/>
    <s v="N"/>
    <s v="N"/>
    <n v="15"/>
    <n v="0.87150837988826813"/>
    <n v="3.205128205128205E-3"/>
    <n v="0"/>
  </r>
  <r>
    <x v="953"/>
    <x v="7"/>
    <x v="1"/>
    <n v="169"/>
    <d v="2026-04-04T00:00:00"/>
    <d v="2026-04-15T00:00:00"/>
    <d v="2026-04-21T00:00:00"/>
    <n v="171"/>
    <s v="PK-226"/>
    <n v="5"/>
    <x v="0"/>
    <s v="N"/>
    <s v="Y"/>
    <s v="N"/>
    <n v="17"/>
    <n v="1.0118343195266273"/>
    <n v="2.9239766081871343E-2"/>
    <n v="0"/>
  </r>
  <r>
    <x v="954"/>
    <x v="7"/>
    <x v="1"/>
    <n v="579"/>
    <d v="2026-04-26T00:00:00"/>
    <d v="2026-05-09T00:00:00"/>
    <d v="2026-05-07T00:00:00"/>
    <n v="568"/>
    <s v="PK-165"/>
    <n v="28"/>
    <x v="0"/>
    <s v="Y"/>
    <s v="Y"/>
    <s v="Y"/>
    <n v="11"/>
    <n v="0.98100172711571676"/>
    <n v="4.9295774647887321E-2"/>
    <n v="1"/>
  </r>
  <r>
    <x v="955"/>
    <x v="3"/>
    <x v="2"/>
    <n v="285"/>
    <d v="2026-01-29T00:00:00"/>
    <d v="2026-02-13T00:00:00"/>
    <d v="2026-02-19T00:00:00"/>
    <n v="239"/>
    <s v="IM-200"/>
    <n v="16"/>
    <x v="0"/>
    <s v="N"/>
    <s v="N"/>
    <s v="N"/>
    <n v="21"/>
    <n v="0.83859649122807023"/>
    <n v="6.6945606694560664E-2"/>
    <n v="0"/>
  </r>
  <r>
    <x v="956"/>
    <x v="12"/>
    <x v="1"/>
    <n v="138"/>
    <d v="2026-02-18T00:00:00"/>
    <d v="2026-02-28T00:00:00"/>
    <d v="2026-02-27T00:00:00"/>
    <n v="140"/>
    <s v="PK-107"/>
    <n v="2"/>
    <x v="0"/>
    <s v="Y"/>
    <s v="Y"/>
    <s v="Y"/>
    <n v="9"/>
    <n v="1.0144927536231885"/>
    <n v="1.4285714285714285E-2"/>
    <n v="1"/>
  </r>
  <r>
    <x v="957"/>
    <x v="3"/>
    <x v="2"/>
    <n v="468"/>
    <d v="2026-03-21T00:00:00"/>
    <d v="2026-03-27T00:00:00"/>
    <d v="2026-03-25T00:00:00"/>
    <n v="382"/>
    <s v="IM-176"/>
    <n v="12"/>
    <x v="0"/>
    <s v="Y"/>
    <s v="N"/>
    <s v="N"/>
    <n v="4"/>
    <n v="0.81623931623931623"/>
    <n v="3.1413612565445025E-2"/>
    <n v="0"/>
  </r>
  <r>
    <x v="958"/>
    <x v="0"/>
    <x v="0"/>
    <n v="252"/>
    <d v="2026-04-01T00:00:00"/>
    <d v="2026-04-13T00:00:00"/>
    <d v="2026-04-13T00:00:00"/>
    <n v="251"/>
    <s v="RM-244"/>
    <n v="1"/>
    <x v="0"/>
    <s v="Y"/>
    <s v="Y"/>
    <s v="Y"/>
    <n v="12"/>
    <n v="0.99603174603174605"/>
    <n v="3.9840637450199202E-3"/>
    <n v="1"/>
  </r>
  <r>
    <x v="959"/>
    <x v="4"/>
    <x v="1"/>
    <n v="977"/>
    <d v="2026-03-17T00:00:00"/>
    <d v="2026-03-23T00:00:00"/>
    <d v="2026-03-22T00:00:00"/>
    <n v="958"/>
    <s v="PK-182"/>
    <n v="1"/>
    <x v="0"/>
    <s v="Y"/>
    <s v="Y"/>
    <s v="Y"/>
    <n v="5"/>
    <n v="0.98055271238485153"/>
    <n v="1.0438413361169101E-3"/>
    <n v="1"/>
  </r>
  <r>
    <x v="960"/>
    <x v="19"/>
    <x v="1"/>
    <n v="232"/>
    <d v="2026-03-22T00:00:00"/>
    <d v="2026-03-28T00:00:00"/>
    <d v="2026-03-28T00:00:00"/>
    <n v="236"/>
    <s v="PK-161"/>
    <n v="8"/>
    <x v="0"/>
    <s v="Y"/>
    <s v="Y"/>
    <s v="Y"/>
    <n v="6"/>
    <n v="1.0172413793103448"/>
    <n v="3.3898305084745763E-2"/>
    <n v="1"/>
  </r>
  <r>
    <x v="961"/>
    <x v="12"/>
    <x v="0"/>
    <n v="603"/>
    <d v="2026-02-27T00:00:00"/>
    <d v="2026-03-09T00:00:00"/>
    <d v="2026-03-07T00:00:00"/>
    <n v="582"/>
    <s v="RM-158"/>
    <n v="4"/>
    <x v="0"/>
    <s v="Y"/>
    <s v="N"/>
    <s v="N"/>
    <n v="8"/>
    <n v="0.96517412935323388"/>
    <n v="6.8728522336769758E-3"/>
    <n v="0"/>
  </r>
  <r>
    <x v="962"/>
    <x v="15"/>
    <x v="1"/>
    <n v="203"/>
    <d v="2026-02-25T00:00:00"/>
    <d v="2026-03-05T00:00:00"/>
    <d v="2026-03-03T00:00:00"/>
    <n v="193"/>
    <s v="PK-151"/>
    <n v="2"/>
    <x v="0"/>
    <s v="Y"/>
    <s v="N"/>
    <s v="N"/>
    <n v="6"/>
    <n v="0.95073891625615758"/>
    <n v="1.0362694300518135E-2"/>
    <n v="0"/>
  </r>
  <r>
    <x v="963"/>
    <x v="4"/>
    <x v="0"/>
    <n v="297"/>
    <d v="2026-02-28T00:00:00"/>
    <d v="2026-03-11T00:00:00"/>
    <d v="2026-03-09T00:00:00"/>
    <n v="298"/>
    <s v="RM-133"/>
    <n v="9"/>
    <x v="0"/>
    <s v="Y"/>
    <s v="Y"/>
    <s v="Y"/>
    <n v="9"/>
    <n v="1.0033670033670035"/>
    <n v="3.0201342281879196E-2"/>
    <n v="1"/>
  </r>
  <r>
    <x v="964"/>
    <x v="14"/>
    <x v="0"/>
    <n v="820"/>
    <d v="2026-03-21T00:00:00"/>
    <d v="2026-03-26T00:00:00"/>
    <d v="2026-03-23T00:00:00"/>
    <n v="826"/>
    <s v="RM-243"/>
    <n v="4"/>
    <x v="0"/>
    <s v="Y"/>
    <s v="Y"/>
    <s v="Y"/>
    <n v="2"/>
    <n v="1.0073170731707317"/>
    <n v="4.8426150121065378E-3"/>
    <n v="1"/>
  </r>
  <r>
    <x v="965"/>
    <x v="3"/>
    <x v="2"/>
    <n v="297"/>
    <d v="2026-03-02T00:00:00"/>
    <d v="2026-03-14T00:00:00"/>
    <d v="2026-03-12T00:00:00"/>
    <n v="287"/>
    <s v="IM-204"/>
    <n v="3"/>
    <x v="0"/>
    <s v="Y"/>
    <s v="N"/>
    <s v="N"/>
    <n v="10"/>
    <n v="0.96632996632996637"/>
    <n v="1.0452961672473868E-2"/>
    <n v="0"/>
  </r>
  <r>
    <x v="966"/>
    <x v="14"/>
    <x v="1"/>
    <n v="715"/>
    <d v="2026-03-26T00:00:00"/>
    <d v="2026-04-04T00:00:00"/>
    <d v="2026-04-02T00:00:00"/>
    <n v="725"/>
    <s v="PK-136"/>
    <n v="10"/>
    <x v="0"/>
    <s v="Y"/>
    <s v="Y"/>
    <s v="Y"/>
    <n v="7"/>
    <n v="1.013986013986014"/>
    <n v="1.3793103448275862E-2"/>
    <n v="1"/>
  </r>
  <r>
    <x v="967"/>
    <x v="10"/>
    <x v="0"/>
    <n v="137"/>
    <d v="2026-05-01T00:00:00"/>
    <d v="2026-05-11T00:00:00"/>
    <d v="2026-05-16T00:00:00"/>
    <n v="131"/>
    <s v="RM-260"/>
    <n v="12"/>
    <x v="0"/>
    <s v="N"/>
    <s v="N"/>
    <s v="N"/>
    <n v="15"/>
    <n v="0.95620437956204385"/>
    <n v="9.1603053435114504E-2"/>
    <n v="0"/>
  </r>
  <r>
    <x v="968"/>
    <x v="18"/>
    <x v="0"/>
    <n v="269"/>
    <d v="2026-04-24T00:00:00"/>
    <d v="2026-05-04T00:00:00"/>
    <d v="2026-05-04T00:00:00"/>
    <n v="272"/>
    <s v="RM-182"/>
    <n v="16"/>
    <x v="0"/>
    <s v="Y"/>
    <s v="Y"/>
    <s v="Y"/>
    <n v="10"/>
    <n v="1.0111524163568772"/>
    <n v="5.8823529411764705E-2"/>
    <n v="1"/>
  </r>
  <r>
    <x v="969"/>
    <x v="2"/>
    <x v="0"/>
    <n v="237"/>
    <d v="2026-04-15T00:00:00"/>
    <d v="2026-04-28T00:00:00"/>
    <d v="2026-04-28T00:00:00"/>
    <n v="241"/>
    <s v="RM-158"/>
    <n v="12"/>
    <x v="0"/>
    <s v="Y"/>
    <s v="Y"/>
    <s v="Y"/>
    <n v="13"/>
    <n v="1.0168776371308017"/>
    <n v="4.9792531120331947E-2"/>
    <n v="1"/>
  </r>
  <r>
    <x v="970"/>
    <x v="2"/>
    <x v="1"/>
    <n v="877"/>
    <d v="2026-02-17T00:00:00"/>
    <d v="2026-02-25T00:00:00"/>
    <m/>
    <m/>
    <s v="PK-207"/>
    <m/>
    <x v="1"/>
    <s v="N/A"/>
    <s v="N/A"/>
    <s v="N/A"/>
    <s v="N/A"/>
    <s v="N/A"/>
    <s v="N/A"/>
    <s v=""/>
  </r>
  <r>
    <x v="971"/>
    <x v="11"/>
    <x v="1"/>
    <n v="792"/>
    <d v="2026-02-24T00:00:00"/>
    <d v="2026-03-06T00:00:00"/>
    <d v="2026-03-06T00:00:00"/>
    <n v="796"/>
    <s v="PK-241"/>
    <n v="9"/>
    <x v="0"/>
    <s v="Y"/>
    <s v="Y"/>
    <s v="Y"/>
    <n v="10"/>
    <n v="1.005050505050505"/>
    <n v="1.1306532663316583E-2"/>
    <n v="1"/>
  </r>
  <r>
    <x v="972"/>
    <x v="7"/>
    <x v="0"/>
    <n v="726"/>
    <d v="2026-02-11T00:00:00"/>
    <d v="2026-02-24T00:00:00"/>
    <d v="2026-02-21T00:00:00"/>
    <n v="738"/>
    <s v="RM-179"/>
    <n v="19"/>
    <x v="0"/>
    <s v="Y"/>
    <s v="Y"/>
    <s v="Y"/>
    <n v="10"/>
    <n v="1.0165289256198347"/>
    <n v="2.5745257452574527E-2"/>
    <n v="1"/>
  </r>
  <r>
    <x v="973"/>
    <x v="4"/>
    <x v="0"/>
    <n v="118"/>
    <d v="2026-04-18T00:00:00"/>
    <d v="2026-04-30T00:00:00"/>
    <d v="2026-04-28T00:00:00"/>
    <n v="109"/>
    <s v="RM-152"/>
    <n v="3"/>
    <x v="0"/>
    <s v="Y"/>
    <s v="N"/>
    <s v="N"/>
    <n v="10"/>
    <n v="0.92372881355932202"/>
    <n v="2.7522935779816515E-2"/>
    <n v="0"/>
  </r>
  <r>
    <x v="974"/>
    <x v="19"/>
    <x v="2"/>
    <n v="514"/>
    <d v="2026-03-21T00:00:00"/>
    <d v="2026-04-04T00:00:00"/>
    <d v="2026-04-10T00:00:00"/>
    <n v="521"/>
    <s v="IM-274"/>
    <n v="0"/>
    <x v="0"/>
    <s v="N"/>
    <s v="Y"/>
    <s v="N"/>
    <n v="20"/>
    <n v="1.0136186770428015"/>
    <n v="0"/>
    <n v="0"/>
  </r>
  <r>
    <x v="975"/>
    <x v="15"/>
    <x v="1"/>
    <n v="375"/>
    <d v="2026-02-17T00:00:00"/>
    <d v="2026-03-03T00:00:00"/>
    <d v="2026-03-01T00:00:00"/>
    <n v="333"/>
    <s v="PK-196"/>
    <n v="5"/>
    <x v="0"/>
    <s v="Y"/>
    <s v="N"/>
    <s v="N"/>
    <n v="12"/>
    <n v="0.88800000000000001"/>
    <n v="1.5015015015015015E-2"/>
    <n v="0"/>
  </r>
  <r>
    <x v="976"/>
    <x v="19"/>
    <x v="2"/>
    <n v="703"/>
    <d v="2026-04-08T00:00:00"/>
    <d v="2026-04-17T00:00:00"/>
    <d v="2026-04-17T00:00:00"/>
    <n v="708"/>
    <s v="IM-112"/>
    <n v="18"/>
    <x v="0"/>
    <s v="Y"/>
    <s v="Y"/>
    <s v="Y"/>
    <n v="9"/>
    <n v="1.0071123755334281"/>
    <n v="2.5423728813559324E-2"/>
    <n v="1"/>
  </r>
  <r>
    <x v="977"/>
    <x v="7"/>
    <x v="0"/>
    <n v="767"/>
    <d v="2026-03-18T00:00:00"/>
    <d v="2026-03-26T00:00:00"/>
    <d v="2026-04-03T00:00:00"/>
    <n v="764"/>
    <s v="RM-192"/>
    <n v="1"/>
    <x v="0"/>
    <s v="N"/>
    <s v="Y"/>
    <s v="N"/>
    <n v="16"/>
    <n v="0.99608865710560623"/>
    <n v="1.3089005235602095E-3"/>
    <n v="0"/>
  </r>
  <r>
    <x v="978"/>
    <x v="17"/>
    <x v="0"/>
    <n v="864"/>
    <d v="2026-03-05T00:00:00"/>
    <d v="2026-03-17T00:00:00"/>
    <d v="2026-03-17T00:00:00"/>
    <n v="879"/>
    <s v="RM-293"/>
    <n v="24"/>
    <x v="0"/>
    <s v="Y"/>
    <s v="Y"/>
    <s v="Y"/>
    <n v="12"/>
    <n v="1.0173611111111112"/>
    <n v="2.7303754266211604E-2"/>
    <n v="1"/>
  </r>
  <r>
    <x v="979"/>
    <x v="11"/>
    <x v="1"/>
    <n v="405"/>
    <d v="2026-02-17T00:00:00"/>
    <d v="2026-02-26T00:00:00"/>
    <d v="2026-02-26T00:00:00"/>
    <n v="405"/>
    <s v="PK-278"/>
    <n v="2"/>
    <x v="0"/>
    <s v="Y"/>
    <s v="Y"/>
    <s v="Y"/>
    <n v="9"/>
    <n v="1"/>
    <n v="4.9382716049382715E-3"/>
    <n v="1"/>
  </r>
  <r>
    <x v="980"/>
    <x v="18"/>
    <x v="1"/>
    <n v="930"/>
    <d v="2026-01-28T00:00:00"/>
    <d v="2026-02-04T00:00:00"/>
    <d v="2026-02-02T00:00:00"/>
    <n v="759"/>
    <s v="PK-211"/>
    <n v="29"/>
    <x v="0"/>
    <s v="Y"/>
    <s v="N"/>
    <s v="N"/>
    <n v="5"/>
    <n v="0.81612903225806455"/>
    <n v="3.8208168642951248E-2"/>
    <n v="0"/>
  </r>
  <r>
    <x v="981"/>
    <x v="19"/>
    <x v="1"/>
    <n v="342"/>
    <d v="2026-01-06T00:00:00"/>
    <d v="2026-01-13T00:00:00"/>
    <d v="2026-01-12T00:00:00"/>
    <n v="341"/>
    <s v="PK-284"/>
    <n v="13"/>
    <x v="0"/>
    <s v="Y"/>
    <s v="Y"/>
    <s v="Y"/>
    <n v="6"/>
    <n v="0.99707602339181289"/>
    <n v="3.8123167155425221E-2"/>
    <n v="1"/>
  </r>
  <r>
    <x v="982"/>
    <x v="12"/>
    <x v="1"/>
    <n v="994"/>
    <d v="2026-01-16T00:00:00"/>
    <d v="2026-01-26T00:00:00"/>
    <d v="2026-01-23T00:00:00"/>
    <n v="995"/>
    <s v="PK-180"/>
    <n v="28"/>
    <x v="0"/>
    <s v="Y"/>
    <s v="Y"/>
    <s v="Y"/>
    <n v="7"/>
    <n v="1.0010060362173039"/>
    <n v="2.8140703517587941E-2"/>
    <n v="1"/>
  </r>
  <r>
    <x v="983"/>
    <x v="8"/>
    <x v="1"/>
    <n v="505"/>
    <d v="2026-04-18T00:00:00"/>
    <d v="2026-04-28T00:00:00"/>
    <d v="2026-04-30T00:00:00"/>
    <n v="498"/>
    <s v="PK-150"/>
    <n v="21"/>
    <x v="0"/>
    <s v="N"/>
    <s v="Y"/>
    <s v="N"/>
    <n v="12"/>
    <n v="0.98613861386138613"/>
    <n v="4.2168674698795178E-2"/>
    <n v="0"/>
  </r>
  <r>
    <x v="984"/>
    <x v="4"/>
    <x v="0"/>
    <n v="495"/>
    <d v="2026-01-11T00:00:00"/>
    <d v="2026-01-23T00:00:00"/>
    <d v="2026-01-22T00:00:00"/>
    <n v="460"/>
    <s v="RM-226"/>
    <n v="7"/>
    <x v="0"/>
    <s v="Y"/>
    <s v="N"/>
    <s v="N"/>
    <n v="11"/>
    <n v="0.92929292929292928"/>
    <n v="1.5217391304347827E-2"/>
    <n v="0"/>
  </r>
  <r>
    <x v="985"/>
    <x v="14"/>
    <x v="0"/>
    <n v="435"/>
    <d v="2026-04-28T00:00:00"/>
    <d v="2026-05-03T00:00:00"/>
    <d v="2026-05-06T00:00:00"/>
    <n v="434"/>
    <s v="RM-185"/>
    <n v="10"/>
    <x v="0"/>
    <s v="N"/>
    <s v="Y"/>
    <s v="N"/>
    <n v="8"/>
    <n v="0.99770114942528731"/>
    <n v="2.3041474654377881E-2"/>
    <n v="0"/>
  </r>
  <r>
    <x v="986"/>
    <x v="0"/>
    <x v="2"/>
    <n v="685"/>
    <d v="2026-04-22T00:00:00"/>
    <d v="2026-04-28T00:00:00"/>
    <m/>
    <m/>
    <s v="IM-233"/>
    <m/>
    <x v="1"/>
    <s v="N/A"/>
    <s v="N/A"/>
    <s v="N/A"/>
    <s v="N/A"/>
    <s v="N/A"/>
    <s v="N/A"/>
    <s v=""/>
  </r>
  <r>
    <x v="987"/>
    <x v="12"/>
    <x v="1"/>
    <n v="258"/>
    <d v="2026-02-18T00:00:00"/>
    <d v="2026-03-04T00:00:00"/>
    <d v="2026-03-10T00:00:00"/>
    <n v="258"/>
    <s v="PK-218"/>
    <n v="2"/>
    <x v="0"/>
    <s v="N"/>
    <s v="Y"/>
    <s v="N"/>
    <n v="20"/>
    <n v="1"/>
    <n v="7.7519379844961239E-3"/>
    <n v="0"/>
  </r>
  <r>
    <x v="988"/>
    <x v="5"/>
    <x v="2"/>
    <n v="333"/>
    <d v="2026-01-27T00:00:00"/>
    <d v="2026-02-01T00:00:00"/>
    <d v="2026-02-03T00:00:00"/>
    <n v="308"/>
    <s v="IM-178"/>
    <n v="3"/>
    <x v="0"/>
    <s v="N"/>
    <s v="N"/>
    <s v="N"/>
    <n v="7"/>
    <n v="0.92492492492492495"/>
    <n v="9.74025974025974E-3"/>
    <n v="0"/>
  </r>
  <r>
    <x v="989"/>
    <x v="6"/>
    <x v="0"/>
    <n v="526"/>
    <d v="2026-02-13T00:00:00"/>
    <d v="2026-02-18T00:00:00"/>
    <d v="2026-02-18T00:00:00"/>
    <n v="504"/>
    <s v="RM-147"/>
    <n v="2"/>
    <x v="0"/>
    <s v="Y"/>
    <s v="N"/>
    <s v="N"/>
    <n v="5"/>
    <n v="0.95817490494296575"/>
    <n v="3.968253968253968E-3"/>
    <n v="0"/>
  </r>
  <r>
    <x v="990"/>
    <x v="2"/>
    <x v="0"/>
    <n v="502"/>
    <d v="2026-03-03T00:00:00"/>
    <d v="2026-03-15T00:00:00"/>
    <d v="2026-03-12T00:00:00"/>
    <n v="422"/>
    <s v="RM-237"/>
    <n v="24"/>
    <x v="0"/>
    <s v="Y"/>
    <s v="N"/>
    <s v="N"/>
    <n v="9"/>
    <n v="0.84063745019920322"/>
    <n v="5.6872037914691941E-2"/>
    <n v="0"/>
  </r>
  <r>
    <x v="991"/>
    <x v="4"/>
    <x v="1"/>
    <n v="220"/>
    <d v="2026-04-12T00:00:00"/>
    <d v="2026-04-19T00:00:00"/>
    <d v="2026-04-17T00:00:00"/>
    <n v="211"/>
    <s v="PK-256"/>
    <n v="5"/>
    <x v="0"/>
    <s v="Y"/>
    <s v="N"/>
    <s v="N"/>
    <n v="5"/>
    <n v="0.95909090909090911"/>
    <n v="2.3696682464454975E-2"/>
    <n v="0"/>
  </r>
  <r>
    <x v="992"/>
    <x v="9"/>
    <x v="0"/>
    <n v="115"/>
    <d v="2026-02-08T00:00:00"/>
    <d v="2026-02-18T00:00:00"/>
    <d v="2026-02-27T00:00:00"/>
    <n v="115"/>
    <s v="RM-155"/>
    <n v="1"/>
    <x v="0"/>
    <s v="N"/>
    <s v="Y"/>
    <s v="N"/>
    <n v="19"/>
    <n v="1"/>
    <n v="8.6956521739130436E-3"/>
    <n v="0"/>
  </r>
  <r>
    <x v="993"/>
    <x v="17"/>
    <x v="1"/>
    <n v="336"/>
    <d v="2026-05-10T00:00:00"/>
    <d v="2026-05-25T00:00:00"/>
    <d v="2026-05-25T00:00:00"/>
    <n v="331"/>
    <s v="PK-267"/>
    <n v="0"/>
    <x v="0"/>
    <s v="Y"/>
    <s v="Y"/>
    <s v="Y"/>
    <n v="15"/>
    <n v="0.98511904761904767"/>
    <n v="0"/>
    <n v="1"/>
  </r>
  <r>
    <x v="994"/>
    <x v="3"/>
    <x v="2"/>
    <n v="917"/>
    <d v="2026-03-02T00:00:00"/>
    <d v="2026-03-10T00:00:00"/>
    <d v="2026-03-19T00:00:00"/>
    <n v="923"/>
    <s v="unknown_SKU"/>
    <n v="80"/>
    <x v="0"/>
    <s v="N"/>
    <s v="Y"/>
    <s v="N"/>
    <n v="17"/>
    <n v="1.0065430752453652"/>
    <n v="8.6673889490790898E-2"/>
    <n v="0"/>
  </r>
  <r>
    <x v="995"/>
    <x v="7"/>
    <x v="1"/>
    <n v="811"/>
    <d v="2026-04-26T00:00:00"/>
    <d v="2026-05-11T00:00:00"/>
    <d v="2026-05-10T00:00:00"/>
    <n v="803"/>
    <s v="PK-245"/>
    <n v="24"/>
    <x v="0"/>
    <s v="Y"/>
    <s v="Y"/>
    <s v="Y"/>
    <n v="14"/>
    <n v="0.99013563501849566"/>
    <n v="2.9887920298879204E-2"/>
    <n v="1"/>
  </r>
  <r>
    <x v="996"/>
    <x v="0"/>
    <x v="1"/>
    <n v="945"/>
    <d v="2026-02-20T00:00:00"/>
    <d v="2026-03-05T00:00:00"/>
    <m/>
    <m/>
    <s v="PK-289"/>
    <m/>
    <x v="1"/>
    <s v="N/A"/>
    <s v="N/A"/>
    <s v="N/A"/>
    <s v="N/A"/>
    <s v="N/A"/>
    <s v="N/A"/>
    <s v=""/>
  </r>
  <r>
    <x v="997"/>
    <x v="13"/>
    <x v="2"/>
    <n v="150"/>
    <d v="2026-02-24T00:00:00"/>
    <d v="2026-03-08T00:00:00"/>
    <d v="2026-03-07T00:00:00"/>
    <n v="142"/>
    <s v="IM-216"/>
    <n v="1"/>
    <x v="0"/>
    <s v="Y"/>
    <s v="N"/>
    <s v="N"/>
    <n v="11"/>
    <n v="0.94666666666666666"/>
    <n v="7.0422535211267607E-3"/>
    <n v="0"/>
  </r>
  <r>
    <x v="998"/>
    <x v="10"/>
    <x v="1"/>
    <n v="118"/>
    <d v="2026-02-05T00:00:00"/>
    <d v="2026-02-16T00:00:00"/>
    <d v="2026-02-13T00:00:00"/>
    <n v="119"/>
    <s v="PK-221"/>
    <n v="3"/>
    <x v="0"/>
    <s v="Y"/>
    <s v="Y"/>
    <s v="Y"/>
    <n v="8"/>
    <n v="1.0084745762711864"/>
    <n v="2.5210084033613446E-2"/>
    <n v="1"/>
  </r>
  <r>
    <x v="999"/>
    <x v="3"/>
    <x v="0"/>
    <n v="840"/>
    <d v="2026-03-30T00:00:00"/>
    <d v="2026-04-05T00:00:00"/>
    <d v="2026-04-04T00:00:00"/>
    <n v="833"/>
    <s v="RM-204"/>
    <n v="71"/>
    <x v="0"/>
    <s v="Y"/>
    <s v="Y"/>
    <s v="Y"/>
    <n v="5"/>
    <n v="0.9916666666666667"/>
    <n v="8.5234093637454988E-2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O-1723"/>
    <x v="0"/>
    <s v="Raw Material"/>
    <n v="225"/>
    <d v="2026-04-19T00:00:00"/>
    <d v="2026-04-29T00:00:00"/>
    <d v="2026-04-28T00:00:00"/>
    <n v="186"/>
    <s v="RM-236"/>
    <n v="6"/>
    <s v="Delivered"/>
    <s v="Y"/>
    <s v="N"/>
    <s v="N"/>
    <n v="9"/>
    <n v="0.82666666666666666"/>
    <n v="3.2258064516129031E-2"/>
    <n v="0"/>
    <n v="0"/>
    <n v="0"/>
  </r>
  <r>
    <s v="PO-1668"/>
    <x v="1"/>
    <s v="Packaging"/>
    <n v="875"/>
    <d v="2026-04-30T00:00:00"/>
    <d v="2026-05-14T00:00:00"/>
    <d v="2026-05-12T00:00:00"/>
    <n v="859"/>
    <s v="PK-262"/>
    <n v="10"/>
    <s v="Delivered"/>
    <s v="Y"/>
    <s v="Y"/>
    <s v="Y"/>
    <n v="12"/>
    <n v="0.98171428571428576"/>
    <n v="1.1641443538998836E-2"/>
    <n v="1"/>
    <n v="0"/>
    <n v="0"/>
  </r>
  <r>
    <s v="PO-1171"/>
    <x v="2"/>
    <s v="Raw Material"/>
    <n v="288"/>
    <d v="2026-01-06T00:00:00"/>
    <d v="2026-01-16T00:00:00"/>
    <d v="2026-01-15T00:00:00"/>
    <n v="283"/>
    <s v="RM-271"/>
    <n v="9"/>
    <s v="Delivered"/>
    <s v="Y"/>
    <s v="Y"/>
    <s v="Y"/>
    <n v="9"/>
    <n v="0.98263888888888884"/>
    <n v="3.1802120141342753E-2"/>
    <n v="1"/>
    <n v="0"/>
    <n v="0"/>
  </r>
  <r>
    <s v="PO-1551"/>
    <x v="3"/>
    <s v="Imported"/>
    <n v="876"/>
    <d v="2026-01-17T00:00:00"/>
    <d v="2026-01-24T00:00:00"/>
    <d v="2026-02-01T00:00:00"/>
    <n v="877"/>
    <s v="IM-104"/>
    <n v="8"/>
    <s v="Delivered"/>
    <s v="N"/>
    <s v="Y"/>
    <s v="N"/>
    <n v="15"/>
    <n v="1.0011415525114156"/>
    <n v="9.1220068415051314E-3"/>
    <n v="0"/>
    <n v="8"/>
    <n v="4000"/>
  </r>
  <r>
    <s v="PO-1334"/>
    <x v="4"/>
    <s v="Packaging"/>
    <n v="445"/>
    <d v="2026-03-08T00:00:00"/>
    <d v="2026-03-13T00:00:00"/>
    <d v="2026-03-13T00:00:00"/>
    <n v="442"/>
    <s v="PK-146"/>
    <n v="6"/>
    <s v="Delivered"/>
    <s v="Y"/>
    <s v="Y"/>
    <s v="Y"/>
    <n v="5"/>
    <n v="0.99325842696629218"/>
    <n v="1.3574660633484163E-2"/>
    <n v="1"/>
    <n v="0"/>
    <n v="0"/>
  </r>
  <r>
    <s v="PO-1673"/>
    <x v="5"/>
    <s v="Raw Material"/>
    <n v="482"/>
    <d v="2026-04-22T00:00:00"/>
    <d v="2026-05-05T00:00:00"/>
    <d v="2026-05-04T00:00:00"/>
    <n v="473"/>
    <s v="RM-177"/>
    <n v="3"/>
    <s v="Delivered"/>
    <s v="Y"/>
    <s v="Y"/>
    <s v="Y"/>
    <n v="12"/>
    <n v="0.98132780082987547"/>
    <n v="6.3424947145877377E-3"/>
    <n v="1"/>
    <n v="0"/>
    <n v="0"/>
  </r>
  <r>
    <s v="PO-1653"/>
    <x v="6"/>
    <s v="Imported"/>
    <n v="810"/>
    <d v="2026-01-21T00:00:00"/>
    <d v="2026-01-28T00:00:00"/>
    <d v="2026-01-28T00:00:00"/>
    <n v="805"/>
    <s v="IM-281"/>
    <n v="7"/>
    <s v="Delivered"/>
    <s v="Y"/>
    <s v="Y"/>
    <s v="Y"/>
    <n v="7"/>
    <n v="0.99382716049382713"/>
    <n v="8.6956521739130436E-3"/>
    <n v="1"/>
    <n v="0"/>
    <n v="0"/>
  </r>
  <r>
    <s v="PO-1544"/>
    <x v="7"/>
    <s v="Imported"/>
    <n v="208"/>
    <d v="2026-05-19T00:00:00"/>
    <d v="2026-06-01T00:00:00"/>
    <d v="2026-05-30T00:00:00"/>
    <n v="183"/>
    <s v="IM-186"/>
    <n v="4"/>
    <s v="Delivered"/>
    <s v="Y"/>
    <s v="N"/>
    <s v="N"/>
    <n v="11"/>
    <n v="0.87980769230769229"/>
    <n v="2.185792349726776E-2"/>
    <n v="0"/>
    <n v="0"/>
    <n v="0"/>
  </r>
  <r>
    <s v="PO-1881"/>
    <x v="2"/>
    <s v="Raw Material"/>
    <n v="266"/>
    <d v="2026-03-08T00:00:00"/>
    <d v="2026-03-21T00:00:00"/>
    <d v="2026-03-18T00:00:00"/>
    <n v="270"/>
    <s v="RM-283"/>
    <n v="2"/>
    <s v="Delivered"/>
    <s v="Y"/>
    <s v="Y"/>
    <s v="Y"/>
    <n v="10"/>
    <n v="1.0150375939849625"/>
    <n v="7.4074074074074077E-3"/>
    <n v="1"/>
    <n v="0"/>
    <n v="0"/>
  </r>
  <r>
    <s v="PO-1397"/>
    <x v="8"/>
    <s v="Imported"/>
    <n v="184"/>
    <d v="2026-03-03T00:00:00"/>
    <d v="2026-03-08T00:00:00"/>
    <d v="2026-03-11T00:00:00"/>
    <n v="183"/>
    <s v="IM-151"/>
    <n v="1"/>
    <s v="Delivered"/>
    <s v="N"/>
    <s v="Y"/>
    <s v="N"/>
    <n v="8"/>
    <n v="0.99456521739130432"/>
    <n v="5.4644808743169399E-3"/>
    <n v="0"/>
    <n v="3"/>
    <n v="1500"/>
  </r>
  <r>
    <s v="PO-1409"/>
    <x v="9"/>
    <s v="Raw Material"/>
    <n v="242"/>
    <d v="2026-03-23T00:00:00"/>
    <d v="2026-04-02T00:00:00"/>
    <d v="2026-04-01T00:00:00"/>
    <n v="243"/>
    <s v="RM-180"/>
    <n v="13"/>
    <s v="Delivered"/>
    <s v="Y"/>
    <s v="Y"/>
    <s v="Y"/>
    <n v="9"/>
    <n v="1.0041322314049588"/>
    <n v="5.3497942386831275E-2"/>
    <n v="1"/>
    <n v="0"/>
    <n v="0"/>
  </r>
  <r>
    <s v="PO-1618"/>
    <x v="10"/>
    <s v="Imported"/>
    <n v="180"/>
    <d v="2026-03-18T00:00:00"/>
    <d v="2026-03-23T00:00:00"/>
    <d v="2026-03-24T00:00:00"/>
    <n v="181"/>
    <s v="IM-258"/>
    <n v="4"/>
    <s v="Delivered"/>
    <s v="N"/>
    <s v="Y"/>
    <s v="N"/>
    <n v="6"/>
    <n v="1.0055555555555555"/>
    <n v="2.2099447513812154E-2"/>
    <n v="0"/>
    <n v="1"/>
    <n v="500"/>
  </r>
  <r>
    <s v="PO-1305"/>
    <x v="11"/>
    <s v="Packaging"/>
    <n v="480"/>
    <d v="2026-05-06T00:00:00"/>
    <d v="2026-05-11T00:00:00"/>
    <d v="2026-05-19T00:00:00"/>
    <n v="489"/>
    <s v="PK-232"/>
    <n v="5"/>
    <s v="Delivered"/>
    <s v="N"/>
    <s v="Y"/>
    <s v="N"/>
    <n v="13"/>
    <n v="1.01875"/>
    <n v="1.0224948875255624E-2"/>
    <n v="0"/>
    <n v="8"/>
    <n v="4000"/>
  </r>
  <r>
    <s v="PO-1420"/>
    <x v="12"/>
    <s v="Raw Material"/>
    <n v="126"/>
    <d v="2026-05-09T00:00:00"/>
    <d v="2026-05-18T00:00:00"/>
    <d v="2026-05-17T00:00:00"/>
    <n v="124"/>
    <s v="unknown_SKU"/>
    <n v="1"/>
    <s v="Delivered"/>
    <s v="Y"/>
    <s v="Y"/>
    <s v="Y"/>
    <n v="8"/>
    <n v="0.98412698412698407"/>
    <n v="8.0645161290322578E-3"/>
    <n v="1"/>
    <n v="0"/>
    <n v="0"/>
  </r>
  <r>
    <s v="PO-1125"/>
    <x v="1"/>
    <s v="Raw Material"/>
    <n v="178"/>
    <d v="2026-01-08T00:00:00"/>
    <d v="2026-01-13T00:00:00"/>
    <d v="2026-01-12T00:00:00"/>
    <n v="180"/>
    <s v="RM-128"/>
    <n v="1"/>
    <s v="Delivered"/>
    <s v="Y"/>
    <s v="Y"/>
    <s v="Y"/>
    <n v="4"/>
    <n v="1.0112359550561798"/>
    <n v="5.5555555555555558E-3"/>
    <n v="1"/>
    <n v="0"/>
    <n v="0"/>
  </r>
  <r>
    <s v="PO-1277"/>
    <x v="8"/>
    <s v="Raw Material"/>
    <n v="369"/>
    <d v="2026-01-16T00:00:00"/>
    <d v="2026-01-27T00:00:00"/>
    <d v="2026-01-29T00:00:00"/>
    <n v="366"/>
    <s v="RM-107"/>
    <n v="14"/>
    <s v="Delivered"/>
    <s v="N"/>
    <s v="Y"/>
    <s v="N"/>
    <n v="13"/>
    <n v="0.99186991869918695"/>
    <n v="3.825136612021858E-2"/>
    <n v="0"/>
    <n v="2"/>
    <n v="1000"/>
  </r>
  <r>
    <s v="PO-1510"/>
    <x v="10"/>
    <s v="Raw Material"/>
    <n v="998"/>
    <d v="2026-03-24T00:00:00"/>
    <d v="2026-03-30T00:00:00"/>
    <d v="2026-03-28T00:00:00"/>
    <n v="996"/>
    <s v="RM-138"/>
    <n v="96"/>
    <s v="Delivered"/>
    <s v="Y"/>
    <s v="Y"/>
    <s v="Y"/>
    <n v="4"/>
    <n v="0.99799599198396793"/>
    <n v="9.6385542168674704E-2"/>
    <n v="1"/>
    <n v="0"/>
    <n v="0"/>
  </r>
  <r>
    <s v="PO-1597"/>
    <x v="1"/>
    <s v="Imported"/>
    <n v="984"/>
    <d v="2026-02-21T00:00:00"/>
    <d v="2026-02-28T00:00:00"/>
    <d v="2026-02-26T00:00:00"/>
    <n v="978"/>
    <s v="IM-253"/>
    <n v="23"/>
    <s v="Delivered"/>
    <s v="Y"/>
    <s v="Y"/>
    <s v="Y"/>
    <n v="5"/>
    <n v="0.99390243902439024"/>
    <n v="2.3517382413087935E-2"/>
    <n v="1"/>
    <n v="0"/>
    <n v="0"/>
  </r>
  <r>
    <s v="PO-1567"/>
    <x v="9"/>
    <s v="Raw Material"/>
    <n v="586"/>
    <d v="2026-05-01T00:00:00"/>
    <d v="2026-05-09T00:00:00"/>
    <d v="2026-05-06T00:00:00"/>
    <n v="514"/>
    <s v="RM-271"/>
    <n v="12"/>
    <s v="Delivered"/>
    <s v="Y"/>
    <s v="N"/>
    <s v="N"/>
    <n v="5"/>
    <n v="0.87713310580204773"/>
    <n v="2.3346303501945526E-2"/>
    <n v="0"/>
    <n v="0"/>
    <n v="0"/>
  </r>
  <r>
    <s v="PO-1094"/>
    <x v="13"/>
    <s v="Imported"/>
    <n v="132"/>
    <d v="2026-05-21T00:00:00"/>
    <d v="2026-05-27T00:00:00"/>
    <d v="2026-05-31T00:00:00"/>
    <n v="133"/>
    <s v="IM-136"/>
    <n v="1"/>
    <s v="Delivered"/>
    <s v="N"/>
    <s v="Y"/>
    <s v="N"/>
    <n v="10"/>
    <n v="1.0075757575757576"/>
    <n v="7.5187969924812026E-3"/>
    <n v="0"/>
    <n v="4"/>
    <n v="2000"/>
  </r>
  <r>
    <s v="PO-1108"/>
    <x v="14"/>
    <s v="Raw Material"/>
    <n v="390"/>
    <d v="2026-05-10T00:00:00"/>
    <d v="2026-05-16T00:00:00"/>
    <m/>
    <m/>
    <s v="RM-207"/>
    <m/>
    <s v="Pending"/>
    <s v="N/A"/>
    <s v="N/A"/>
    <s v="N/A"/>
    <s v="N/A"/>
    <s v="N/A"/>
    <s v="N/A"/>
    <s v=""/>
    <s v="N/A"/>
    <n v="0"/>
  </r>
  <r>
    <s v="PO-1442"/>
    <x v="15"/>
    <s v="Packaging"/>
    <n v="678"/>
    <d v="2026-05-24T00:00:00"/>
    <d v="2026-05-29T00:00:00"/>
    <d v="2026-05-28T00:00:00"/>
    <n v="636"/>
    <s v="PK-203"/>
    <n v="15"/>
    <s v="Delivered"/>
    <s v="Y"/>
    <s v="N"/>
    <s v="N"/>
    <n v="4"/>
    <n v="0.93805309734513276"/>
    <n v="2.358490566037736E-2"/>
    <n v="0"/>
    <n v="0"/>
    <n v="0"/>
  </r>
  <r>
    <s v="PO-1971"/>
    <x v="4"/>
    <s v="Raw Material"/>
    <n v="368"/>
    <d v="2026-04-07T00:00:00"/>
    <d v="2026-04-15T00:00:00"/>
    <m/>
    <m/>
    <s v="RM-257"/>
    <m/>
    <s v="Pending"/>
    <s v="N/A"/>
    <s v="N/A"/>
    <s v="N/A"/>
    <s v="N/A"/>
    <s v="N/A"/>
    <s v="N/A"/>
    <s v=""/>
    <s v="N/A"/>
    <n v="0"/>
  </r>
  <r>
    <s v="PO-1403"/>
    <x v="6"/>
    <s v="Raw Material"/>
    <n v="381"/>
    <d v="2026-04-24T00:00:00"/>
    <d v="2026-05-02T00:00:00"/>
    <d v="2026-05-02T00:00:00"/>
    <n v="340"/>
    <s v="RM-242"/>
    <n v="23"/>
    <s v="Delivered"/>
    <s v="Y"/>
    <s v="N"/>
    <s v="N"/>
    <n v="8"/>
    <n v="0.8923884514435696"/>
    <n v="6.7647058823529407E-2"/>
    <n v="0"/>
    <n v="0"/>
    <n v="0"/>
  </r>
  <r>
    <s v="PO-1786"/>
    <x v="1"/>
    <s v="Raw Material"/>
    <n v="577"/>
    <d v="2026-02-21T00:00:00"/>
    <d v="2026-03-07T00:00:00"/>
    <d v="2026-03-04T00:00:00"/>
    <n v="536"/>
    <s v="RM-269"/>
    <n v="8"/>
    <s v="Delivered"/>
    <s v="Y"/>
    <s v="N"/>
    <s v="N"/>
    <n v="11"/>
    <n v="0.92894280762564996"/>
    <n v="1.4925373134328358E-2"/>
    <n v="0"/>
    <n v="0"/>
    <n v="0"/>
  </r>
  <r>
    <s v="PO-1024"/>
    <x v="0"/>
    <s v="Packaging"/>
    <n v="550"/>
    <d v="2026-05-26T00:00:00"/>
    <d v="2026-06-02T00:00:00"/>
    <d v="2026-06-04T00:00:00"/>
    <n v="494"/>
    <s v="PK-243"/>
    <n v="1"/>
    <s v="Delivered"/>
    <s v="N"/>
    <s v="N"/>
    <s v="N"/>
    <n v="9"/>
    <n v="0.89818181818181819"/>
    <n v="2.0242914979757085E-3"/>
    <n v="0"/>
    <n v="2"/>
    <n v="1000"/>
  </r>
  <r>
    <s v="PO-1862"/>
    <x v="16"/>
    <s v="Imported"/>
    <n v="201"/>
    <d v="2026-01-07T00:00:00"/>
    <d v="2026-01-22T00:00:00"/>
    <d v="2026-01-19T00:00:00"/>
    <n v="175"/>
    <s v="IM-214"/>
    <n v="0"/>
    <s v="Delivered"/>
    <s v="Y"/>
    <s v="N"/>
    <s v="N"/>
    <n v="12"/>
    <n v="0.87064676616915426"/>
    <n v="0"/>
    <n v="0"/>
    <n v="0"/>
    <n v="0"/>
  </r>
  <r>
    <s v="PO-1882"/>
    <x v="16"/>
    <s v="Raw Material"/>
    <n v="661"/>
    <d v="2026-02-07T00:00:00"/>
    <d v="2026-02-15T00:00:00"/>
    <d v="2026-02-15T00:00:00"/>
    <n v="660"/>
    <s v="RM-173"/>
    <n v="6"/>
    <s v="Delivered"/>
    <s v="Y"/>
    <s v="Y"/>
    <s v="Y"/>
    <n v="8"/>
    <n v="0.99848714069591527"/>
    <n v="9.0909090909090905E-3"/>
    <n v="1"/>
    <n v="0"/>
    <n v="0"/>
  </r>
  <r>
    <s v="PO-1849"/>
    <x v="16"/>
    <s v="Imported"/>
    <n v="248"/>
    <d v="2026-05-19T00:00:00"/>
    <d v="2026-05-27T00:00:00"/>
    <d v="2026-06-05T00:00:00"/>
    <n v="234"/>
    <s v="IM-245"/>
    <n v="2"/>
    <s v="Delivered"/>
    <s v="N"/>
    <s v="N"/>
    <s v="N"/>
    <n v="17"/>
    <n v="0.94354838709677424"/>
    <n v="8.5470085470085479E-3"/>
    <n v="0"/>
    <n v="9"/>
    <n v="4500"/>
  </r>
  <r>
    <s v="PO-1009"/>
    <x v="13"/>
    <s v="Raw Material"/>
    <n v="692"/>
    <d v="2026-05-15T00:00:00"/>
    <d v="2026-05-20T00:00:00"/>
    <d v="2026-05-21T00:00:00"/>
    <n v="668"/>
    <s v="RM-229"/>
    <n v="23"/>
    <s v="Delivered"/>
    <s v="N"/>
    <s v="N"/>
    <s v="N"/>
    <n v="6"/>
    <n v="0.96531791907514453"/>
    <n v="3.4431137724550899E-2"/>
    <n v="0"/>
    <n v="1"/>
    <n v="500"/>
  </r>
  <r>
    <s v="PO-1299"/>
    <x v="1"/>
    <s v="Packaging"/>
    <n v="326"/>
    <d v="2026-03-25T00:00:00"/>
    <d v="2026-03-31T00:00:00"/>
    <d v="2026-03-29T00:00:00"/>
    <n v="329"/>
    <s v="PK-142"/>
    <n v="2"/>
    <s v="Delivered"/>
    <s v="Y"/>
    <s v="Y"/>
    <s v="Y"/>
    <n v="4"/>
    <n v="1.00920245398773"/>
    <n v="6.0790273556231003E-3"/>
    <n v="1"/>
    <n v="0"/>
    <n v="0"/>
  </r>
  <r>
    <s v="PO-1744"/>
    <x v="1"/>
    <s v="Packaging"/>
    <n v="761"/>
    <d v="2026-03-03T00:00:00"/>
    <d v="2026-03-15T00:00:00"/>
    <d v="2026-03-13T00:00:00"/>
    <n v="753"/>
    <s v="PK-130"/>
    <n v="4"/>
    <s v="Delivered"/>
    <s v="Y"/>
    <s v="Y"/>
    <s v="Y"/>
    <n v="10"/>
    <n v="0.98948751642575561"/>
    <n v="5.3120849933598934E-3"/>
    <n v="1"/>
    <n v="0"/>
    <n v="0"/>
  </r>
  <r>
    <s v="PO-1262"/>
    <x v="4"/>
    <s v="Imported"/>
    <n v="843"/>
    <d v="2026-01-21T00:00:00"/>
    <d v="2026-01-28T00:00:00"/>
    <m/>
    <m/>
    <s v="IM-278"/>
    <m/>
    <s v="Pending"/>
    <s v="N/A"/>
    <s v="N/A"/>
    <s v="N/A"/>
    <s v="N/A"/>
    <s v="N/A"/>
    <s v="N/A"/>
    <s v=""/>
    <s v="N/A"/>
    <n v="0"/>
  </r>
  <r>
    <s v="PO-1138"/>
    <x v="13"/>
    <s v="Raw Material"/>
    <n v="201"/>
    <d v="2026-01-29T00:00:00"/>
    <d v="2026-02-05T00:00:00"/>
    <d v="2026-02-09T00:00:00"/>
    <n v="204"/>
    <s v="RM-240"/>
    <n v="7"/>
    <s v="Delivered"/>
    <s v="N"/>
    <s v="Y"/>
    <s v="N"/>
    <n v="11"/>
    <n v="1.0149253731343284"/>
    <n v="3.4313725490196081E-2"/>
    <n v="0"/>
    <n v="4"/>
    <n v="2000"/>
  </r>
  <r>
    <s v="PO-1060"/>
    <x v="14"/>
    <s v="Raw Material"/>
    <n v="87"/>
    <d v="2026-02-09T00:00:00"/>
    <d v="2026-02-14T00:00:00"/>
    <d v="2026-02-11T00:00:00"/>
    <n v="87"/>
    <s v="RM-125"/>
    <n v="5"/>
    <s v="Delivered"/>
    <s v="Y"/>
    <s v="Y"/>
    <s v="Y"/>
    <n v="2"/>
    <n v="1"/>
    <n v="5.7471264367816091E-2"/>
    <n v="1"/>
    <n v="0"/>
    <n v="0"/>
  </r>
  <r>
    <s v="PO-1411"/>
    <x v="17"/>
    <s v="Raw Material"/>
    <n v="864"/>
    <d v="2026-05-30T00:00:00"/>
    <d v="2026-06-07T00:00:00"/>
    <d v="2026-06-05T00:00:00"/>
    <n v="861"/>
    <s v="RM-158"/>
    <n v="4"/>
    <s v="Delivered"/>
    <s v="Y"/>
    <s v="Y"/>
    <s v="Y"/>
    <n v="6"/>
    <n v="0.99652777777777779"/>
    <n v="4.6457607433217189E-3"/>
    <n v="1"/>
    <n v="0"/>
    <n v="0"/>
  </r>
  <r>
    <s v="PO-1788"/>
    <x v="15"/>
    <s v="Imported"/>
    <n v="872"/>
    <d v="2026-04-03T00:00:00"/>
    <d v="2026-04-08T00:00:00"/>
    <d v="2026-04-06T00:00:00"/>
    <n v="860"/>
    <s v="IM-233"/>
    <n v="11"/>
    <s v="Delivered"/>
    <s v="Y"/>
    <s v="Y"/>
    <s v="Y"/>
    <n v="3"/>
    <n v="0.98623853211009171"/>
    <n v="1.2790697674418604E-2"/>
    <n v="1"/>
    <n v="0"/>
    <n v="0"/>
  </r>
  <r>
    <s v="PO-1025"/>
    <x v="10"/>
    <s v="Raw Material"/>
    <n v="523"/>
    <d v="2026-01-19T00:00:00"/>
    <d v="2026-01-29T00:00:00"/>
    <d v="2026-01-29T00:00:00"/>
    <n v="517"/>
    <s v="RM-169"/>
    <n v="31"/>
    <s v="Delivered"/>
    <s v="Y"/>
    <s v="Y"/>
    <s v="Y"/>
    <n v="10"/>
    <n v="0.98852772466539196"/>
    <n v="5.9961315280464215E-2"/>
    <n v="1"/>
    <n v="0"/>
    <n v="0"/>
  </r>
  <r>
    <s v="PO-1800"/>
    <x v="3"/>
    <s v="Packaging"/>
    <n v="965"/>
    <d v="2026-01-27T00:00:00"/>
    <d v="2026-02-06T00:00:00"/>
    <d v="2026-02-05T00:00:00"/>
    <n v="882"/>
    <s v="PK-111"/>
    <n v="78"/>
    <s v="Delivered"/>
    <s v="Y"/>
    <s v="N"/>
    <s v="N"/>
    <n v="9"/>
    <n v="0.91398963730569949"/>
    <n v="8.8435374149659865E-2"/>
    <n v="0"/>
    <n v="0"/>
    <n v="0"/>
  </r>
  <r>
    <s v="PO-1901"/>
    <x v="16"/>
    <s v="Packaging"/>
    <n v="119"/>
    <d v="2026-06-02T00:00:00"/>
    <d v="2026-06-10T00:00:00"/>
    <d v="2026-06-08T00:00:00"/>
    <n v="104"/>
    <s v="PK-251"/>
    <n v="0"/>
    <s v="Delivered"/>
    <s v="Y"/>
    <s v="N"/>
    <s v="N"/>
    <n v="6"/>
    <n v="0.87394957983193278"/>
    <n v="0"/>
    <n v="0"/>
    <n v="0"/>
    <n v="0"/>
  </r>
  <r>
    <s v="PO-1503"/>
    <x v="9"/>
    <s v="Imported"/>
    <n v="428"/>
    <d v="2026-03-24T00:00:00"/>
    <d v="2026-04-06T00:00:00"/>
    <d v="2026-04-04T00:00:00"/>
    <n v="420"/>
    <s v="IM-289"/>
    <n v="4"/>
    <s v="Delivered"/>
    <s v="Y"/>
    <s v="Y"/>
    <s v="Y"/>
    <n v="11"/>
    <n v="0.98130841121495327"/>
    <n v="9.5238095238095247E-3"/>
    <n v="1"/>
    <n v="0"/>
    <n v="0"/>
  </r>
  <r>
    <s v="PO-1761"/>
    <x v="6"/>
    <s v="Raw Material"/>
    <n v="468"/>
    <d v="2026-03-17T00:00:00"/>
    <d v="2026-03-26T00:00:00"/>
    <d v="2026-03-25T00:00:00"/>
    <n v="468"/>
    <s v="RM-286"/>
    <n v="4"/>
    <s v="Delivered"/>
    <s v="Y"/>
    <s v="Y"/>
    <s v="Y"/>
    <n v="8"/>
    <n v="1"/>
    <n v="8.5470085470085479E-3"/>
    <n v="1"/>
    <n v="0"/>
    <n v="0"/>
  </r>
  <r>
    <s v="PO-1580"/>
    <x v="1"/>
    <s v="Raw Material"/>
    <n v="590"/>
    <d v="2026-02-11T00:00:00"/>
    <d v="2026-02-26T00:00:00"/>
    <d v="2026-02-23T00:00:00"/>
    <n v="601"/>
    <s v="RM-245"/>
    <n v="14"/>
    <s v="Delivered"/>
    <s v="Y"/>
    <s v="Y"/>
    <s v="Y"/>
    <n v="12"/>
    <n v="1.0186440677966102"/>
    <n v="2.329450915141431E-2"/>
    <n v="1"/>
    <n v="0"/>
    <n v="0"/>
  </r>
  <r>
    <s v="PO-1707"/>
    <x v="8"/>
    <s v="Imported"/>
    <n v="588"/>
    <d v="2026-05-29T00:00:00"/>
    <d v="2026-06-08T00:00:00"/>
    <d v="2026-06-15T00:00:00"/>
    <n v="581"/>
    <s v="IM-152"/>
    <n v="46"/>
    <s v="Delivered"/>
    <s v="N"/>
    <s v="Y"/>
    <s v="N"/>
    <n v="17"/>
    <n v="0.98809523809523814"/>
    <n v="7.9173838209982791E-2"/>
    <n v="0"/>
    <n v="7"/>
    <n v="3500"/>
  </r>
  <r>
    <s v="PO-1140"/>
    <x v="18"/>
    <s v="Raw Material"/>
    <n v="411"/>
    <d v="2026-04-11T00:00:00"/>
    <d v="2026-04-22T00:00:00"/>
    <d v="2026-04-19T00:00:00"/>
    <n v="415"/>
    <s v="RM-281"/>
    <n v="11"/>
    <s v="Delivered"/>
    <s v="Y"/>
    <s v="Y"/>
    <s v="Y"/>
    <n v="8"/>
    <n v="1.0097323600973236"/>
    <n v="2.6506024096385541E-2"/>
    <n v="1"/>
    <n v="0"/>
    <n v="0"/>
  </r>
  <r>
    <s v="PO-1920"/>
    <x v="18"/>
    <s v="Raw Material"/>
    <n v="543"/>
    <d v="2026-04-09T00:00:00"/>
    <d v="2026-04-19T00:00:00"/>
    <d v="2026-04-16T00:00:00"/>
    <n v="549"/>
    <s v="RM-178"/>
    <n v="4"/>
    <s v="Delivered"/>
    <s v="Y"/>
    <s v="Y"/>
    <s v="Y"/>
    <n v="7"/>
    <n v="1.011049723756906"/>
    <n v="7.2859744990892532E-3"/>
    <n v="1"/>
    <n v="0"/>
    <n v="0"/>
  </r>
  <r>
    <s v="PO-1641"/>
    <x v="1"/>
    <s v="Packaging"/>
    <n v="585"/>
    <d v="2026-01-30T00:00:00"/>
    <d v="2026-02-06T00:00:00"/>
    <d v="2026-02-03T00:00:00"/>
    <n v="480"/>
    <s v="PK-214"/>
    <n v="7"/>
    <s v="Delivered"/>
    <s v="Y"/>
    <s v="N"/>
    <s v="N"/>
    <n v="4"/>
    <n v="0.82051282051282048"/>
    <n v="1.4583333333333334E-2"/>
    <n v="0"/>
    <n v="0"/>
    <n v="0"/>
  </r>
  <r>
    <s v="PO-1556"/>
    <x v="8"/>
    <s v="Imported"/>
    <n v="488"/>
    <d v="2026-02-26T00:00:00"/>
    <d v="2026-03-12T00:00:00"/>
    <d v="2026-03-17T00:00:00"/>
    <n v="479"/>
    <s v="IM-258"/>
    <n v="24"/>
    <s v="Delivered"/>
    <s v="N"/>
    <s v="Y"/>
    <s v="N"/>
    <n v="19"/>
    <n v="0.98155737704918034"/>
    <n v="5.0104384133611693E-2"/>
    <n v="0"/>
    <n v="5"/>
    <n v="2500"/>
  </r>
  <r>
    <s v="PO-1610"/>
    <x v="1"/>
    <s v="Raw Material"/>
    <n v="615"/>
    <d v="2026-06-01T00:00:00"/>
    <d v="2026-06-12T00:00:00"/>
    <d v="2026-06-13T00:00:00"/>
    <n v="537"/>
    <s v="RM-136"/>
    <n v="0"/>
    <s v="Delivered"/>
    <s v="N"/>
    <s v="N"/>
    <s v="N"/>
    <n v="12"/>
    <n v="0.87317073170731707"/>
    <n v="0"/>
    <n v="0"/>
    <n v="1"/>
    <n v="500"/>
  </r>
  <r>
    <s v="PO-1729"/>
    <x v="15"/>
    <s v="Raw Material"/>
    <n v="93"/>
    <d v="2026-03-07T00:00:00"/>
    <d v="2026-03-21T00:00:00"/>
    <d v="2026-03-18T00:00:00"/>
    <n v="92"/>
    <s v="RM-268"/>
    <n v="0"/>
    <s v="Delivered"/>
    <s v="Y"/>
    <s v="Y"/>
    <s v="Y"/>
    <n v="11"/>
    <n v="0.989247311827957"/>
    <n v="0"/>
    <n v="1"/>
    <n v="0"/>
    <n v="0"/>
  </r>
  <r>
    <s v="PO-1013"/>
    <x v="6"/>
    <s v="Raw Material"/>
    <n v="720"/>
    <d v="2026-03-27T00:00:00"/>
    <d v="2026-04-08T00:00:00"/>
    <d v="2026-04-05T00:00:00"/>
    <n v="689"/>
    <s v="RM-138"/>
    <n v="46"/>
    <s v="Delivered"/>
    <s v="Y"/>
    <s v="N"/>
    <s v="N"/>
    <n v="9"/>
    <n v="0.95694444444444449"/>
    <n v="6.6763425253991288E-2"/>
    <n v="0"/>
    <n v="0"/>
    <n v="0"/>
  </r>
  <r>
    <s v="PO-1271"/>
    <x v="12"/>
    <s v="Packaging"/>
    <n v="782"/>
    <d v="2026-02-08T00:00:00"/>
    <d v="2026-02-14T00:00:00"/>
    <d v="2026-02-23T00:00:00"/>
    <n v="775"/>
    <s v="PK-263"/>
    <n v="15"/>
    <s v="Delivered"/>
    <s v="N"/>
    <s v="Y"/>
    <s v="N"/>
    <n v="15"/>
    <n v="0.99104859335038364"/>
    <n v="1.935483870967742E-2"/>
    <n v="0"/>
    <n v="9"/>
    <n v="4500"/>
  </r>
  <r>
    <s v="PO-1244"/>
    <x v="10"/>
    <s v="Raw Material"/>
    <n v="483"/>
    <d v="2026-05-20T00:00:00"/>
    <d v="2026-06-04T00:00:00"/>
    <d v="2026-06-11T00:00:00"/>
    <n v="484"/>
    <s v="RM-289"/>
    <n v="24"/>
    <s v="Delivered"/>
    <s v="N"/>
    <s v="Y"/>
    <s v="N"/>
    <n v="22"/>
    <n v="1.0020703933747412"/>
    <n v="4.9586776859504134E-2"/>
    <n v="0"/>
    <n v="7"/>
    <n v="3500"/>
  </r>
  <r>
    <s v="PO-1792"/>
    <x v="16"/>
    <s v="Raw Material"/>
    <n v="622"/>
    <d v="2026-03-06T00:00:00"/>
    <d v="2026-03-20T00:00:00"/>
    <d v="2026-03-29T00:00:00"/>
    <n v="504"/>
    <s v="RM-173"/>
    <n v="1"/>
    <s v="Delivered"/>
    <s v="N"/>
    <s v="N"/>
    <s v="N"/>
    <n v="23"/>
    <n v="0.81028938906752412"/>
    <n v="1.984126984126984E-3"/>
    <n v="0"/>
    <n v="9"/>
    <n v="4500"/>
  </r>
  <r>
    <s v="PO-1270"/>
    <x v="0"/>
    <s v="Raw Material"/>
    <n v="371"/>
    <d v="2026-03-12T00:00:00"/>
    <d v="2026-03-17T00:00:00"/>
    <d v="2026-03-14T00:00:00"/>
    <n v="297"/>
    <s v="RM-234"/>
    <n v="12"/>
    <s v="Delivered"/>
    <s v="Y"/>
    <s v="N"/>
    <s v="N"/>
    <n v="2"/>
    <n v="0.80053908355795145"/>
    <n v="4.0404040404040407E-2"/>
    <n v="0"/>
    <n v="0"/>
    <n v="0"/>
  </r>
  <r>
    <s v="PO-1426"/>
    <x v="9"/>
    <s v="Imported"/>
    <n v="990"/>
    <d v="2026-02-10T00:00:00"/>
    <d v="2026-02-17T00:00:00"/>
    <d v="2026-02-15T00:00:00"/>
    <n v="979"/>
    <s v="IM-224"/>
    <n v="15"/>
    <s v="Delivered"/>
    <s v="Y"/>
    <s v="Y"/>
    <s v="Y"/>
    <n v="5"/>
    <n v="0.98888888888888893"/>
    <n v="1.5321756894790603E-2"/>
    <n v="1"/>
    <n v="0"/>
    <n v="0"/>
  </r>
  <r>
    <s v="PO-1993"/>
    <x v="7"/>
    <s v="Raw Material"/>
    <n v="352"/>
    <d v="2026-02-01T00:00:00"/>
    <d v="2026-02-16T00:00:00"/>
    <d v="2026-02-15T00:00:00"/>
    <n v="353"/>
    <s v="RM-123"/>
    <n v="21"/>
    <s v="Delivered"/>
    <s v="Y"/>
    <s v="Y"/>
    <s v="Y"/>
    <n v="14"/>
    <n v="1.0028409090909092"/>
    <n v="5.9490084985835696E-2"/>
    <n v="1"/>
    <n v="0"/>
    <n v="0"/>
  </r>
  <r>
    <s v="PO-1222"/>
    <x v="5"/>
    <s v="Packaging"/>
    <n v="458"/>
    <d v="2026-01-27T00:00:00"/>
    <d v="2026-02-09T00:00:00"/>
    <d v="2026-02-08T00:00:00"/>
    <n v="452"/>
    <s v="PK-105"/>
    <n v="1"/>
    <s v="Delivered"/>
    <s v="Y"/>
    <s v="Y"/>
    <s v="Y"/>
    <n v="12"/>
    <n v="0.98689956331877726"/>
    <n v="2.2123893805309734E-3"/>
    <n v="1"/>
    <n v="0"/>
    <n v="0"/>
  </r>
  <r>
    <s v="PO-1952"/>
    <x v="14"/>
    <s v="Raw Material"/>
    <n v="172"/>
    <d v="2026-01-05T00:00:00"/>
    <d v="2026-01-19T00:00:00"/>
    <d v="2026-01-19T00:00:00"/>
    <n v="172"/>
    <s v="RM-210"/>
    <n v="10"/>
    <s v="Delivered"/>
    <s v="Y"/>
    <s v="Y"/>
    <s v="Y"/>
    <n v="14"/>
    <n v="1"/>
    <n v="5.8139534883720929E-2"/>
    <n v="1"/>
    <n v="0"/>
    <n v="0"/>
  </r>
  <r>
    <s v="PO-1760"/>
    <x v="13"/>
    <s v="Packaging"/>
    <n v="205"/>
    <d v="2026-03-09T00:00:00"/>
    <d v="2026-03-22T00:00:00"/>
    <d v="2026-03-21T00:00:00"/>
    <n v="189"/>
    <s v="PK-110"/>
    <n v="0"/>
    <s v="Delivered"/>
    <s v="Y"/>
    <s v="N"/>
    <s v="N"/>
    <n v="12"/>
    <n v="0.92195121951219516"/>
    <n v="0"/>
    <n v="0"/>
    <n v="0"/>
    <n v="0"/>
  </r>
  <r>
    <s v="PO-1742"/>
    <x v="14"/>
    <s v="Raw Material"/>
    <n v="184"/>
    <d v="2026-05-06T00:00:00"/>
    <d v="2026-05-15T00:00:00"/>
    <d v="2026-05-22T00:00:00"/>
    <n v="187"/>
    <s v="RM-195"/>
    <n v="0"/>
    <s v="Delivered"/>
    <s v="N"/>
    <s v="Y"/>
    <s v="N"/>
    <n v="16"/>
    <n v="1.0163043478260869"/>
    <n v="0"/>
    <n v="0"/>
    <n v="7"/>
    <n v="3500"/>
  </r>
  <r>
    <s v="PO-1695"/>
    <x v="6"/>
    <s v="Raw Material"/>
    <n v="969"/>
    <d v="2026-02-07T00:00:00"/>
    <d v="2026-02-13T00:00:00"/>
    <d v="2026-02-11T00:00:00"/>
    <n v="973"/>
    <s v="RM-153"/>
    <n v="5"/>
    <s v="Delivered"/>
    <s v="Y"/>
    <s v="Y"/>
    <s v="Y"/>
    <n v="4"/>
    <n v="1.0041279669762642"/>
    <n v="5.1387461459403904E-3"/>
    <n v="1"/>
    <n v="0"/>
    <n v="0"/>
  </r>
  <r>
    <s v="PO-1601"/>
    <x v="5"/>
    <s v="Raw Material"/>
    <n v="574"/>
    <d v="2026-03-30T00:00:00"/>
    <d v="2026-04-04T00:00:00"/>
    <d v="2026-04-01T00:00:00"/>
    <n v="578"/>
    <s v="RM-263"/>
    <n v="7"/>
    <s v="Delivered"/>
    <s v="Y"/>
    <s v="Y"/>
    <s v="Y"/>
    <n v="2"/>
    <n v="1.0069686411149825"/>
    <n v="1.2110726643598616E-2"/>
    <n v="1"/>
    <n v="0"/>
    <n v="0"/>
  </r>
  <r>
    <s v="PO-1652"/>
    <x v="17"/>
    <s v="Packaging"/>
    <n v="668"/>
    <d v="2026-04-17T00:00:00"/>
    <d v="2026-04-29T00:00:00"/>
    <d v="2026-04-27T00:00:00"/>
    <n v="677"/>
    <s v="PK-280"/>
    <n v="11"/>
    <s v="Delivered"/>
    <s v="Y"/>
    <s v="Y"/>
    <s v="Y"/>
    <n v="10"/>
    <n v="1.0134730538922156"/>
    <n v="1.6248153618906941E-2"/>
    <n v="1"/>
    <n v="0"/>
    <n v="0"/>
  </r>
  <r>
    <s v="PO-1384"/>
    <x v="8"/>
    <s v="Raw Material"/>
    <n v="308"/>
    <d v="2026-05-25T00:00:00"/>
    <d v="2026-05-30T00:00:00"/>
    <d v="2026-05-27T00:00:00"/>
    <n v="308"/>
    <s v="RM-161"/>
    <n v="19"/>
    <s v="Delivered"/>
    <s v="Y"/>
    <s v="Y"/>
    <s v="Y"/>
    <n v="2"/>
    <n v="1"/>
    <n v="6.1688311688311688E-2"/>
    <n v="1"/>
    <n v="0"/>
    <n v="0"/>
  </r>
  <r>
    <s v="PO-1204"/>
    <x v="5"/>
    <s v="Packaging"/>
    <n v="352"/>
    <d v="2026-03-02T00:00:00"/>
    <d v="2026-03-10T00:00:00"/>
    <d v="2026-03-10T00:00:00"/>
    <n v="355"/>
    <s v="PK-103"/>
    <n v="1"/>
    <s v="Delivered"/>
    <s v="Y"/>
    <s v="Y"/>
    <s v="Y"/>
    <n v="8"/>
    <n v="1.0085227272727273"/>
    <n v="2.8169014084507044E-3"/>
    <n v="1"/>
    <n v="0"/>
    <n v="0"/>
  </r>
  <r>
    <s v="PO-1684"/>
    <x v="11"/>
    <s v="Packaging"/>
    <n v="182"/>
    <d v="2026-04-07T00:00:00"/>
    <d v="2026-04-22T00:00:00"/>
    <d v="2026-04-22T00:00:00"/>
    <n v="184"/>
    <s v="PK-157"/>
    <n v="1"/>
    <s v="Delivered"/>
    <s v="Y"/>
    <s v="Y"/>
    <s v="Y"/>
    <n v="15"/>
    <n v="1.0109890109890109"/>
    <n v="5.434782608695652E-3"/>
    <n v="1"/>
    <n v="0"/>
    <n v="0"/>
  </r>
  <r>
    <s v="PO-1734"/>
    <x v="12"/>
    <s v="Raw Material"/>
    <n v="788"/>
    <d v="2026-03-04T00:00:00"/>
    <d v="2026-03-10T00:00:00"/>
    <d v="2026-03-11T00:00:00"/>
    <n v="798"/>
    <s v="RM-248"/>
    <n v="11"/>
    <s v="Delivered"/>
    <s v="N"/>
    <s v="Y"/>
    <s v="N"/>
    <n v="7"/>
    <n v="1.0126903553299493"/>
    <n v="1.3784461152882205E-2"/>
    <n v="0"/>
    <n v="1"/>
    <n v="500"/>
  </r>
  <r>
    <s v="PO-1666"/>
    <x v="4"/>
    <s v="Packaging"/>
    <n v="495"/>
    <d v="2026-05-19T00:00:00"/>
    <d v="2026-05-24T00:00:00"/>
    <d v="2026-05-23T00:00:00"/>
    <n v="418"/>
    <s v="PK-180"/>
    <n v="1"/>
    <s v="Delivered"/>
    <s v="Y"/>
    <s v="N"/>
    <s v="N"/>
    <n v="4"/>
    <n v="0.84444444444444444"/>
    <n v="2.3923444976076554E-3"/>
    <n v="0"/>
    <n v="0"/>
    <n v="0"/>
  </r>
  <r>
    <s v="PO-1724"/>
    <x v="4"/>
    <s v="Raw Material"/>
    <n v="450"/>
    <d v="2026-01-20T00:00:00"/>
    <d v="2026-01-25T00:00:00"/>
    <d v="2026-01-24T00:00:00"/>
    <n v="442"/>
    <s v="RM-296"/>
    <n v="8"/>
    <s v="Delivered"/>
    <s v="Y"/>
    <s v="Y"/>
    <s v="Y"/>
    <n v="4"/>
    <n v="0.98222222222222222"/>
    <n v="1.8099547511312219E-2"/>
    <n v="1"/>
    <n v="0"/>
    <n v="0"/>
  </r>
  <r>
    <s v="PO-1651"/>
    <x v="3"/>
    <s v="Packaging"/>
    <n v="880"/>
    <d v="2026-03-24T00:00:00"/>
    <d v="2026-03-29T00:00:00"/>
    <d v="2026-03-26T00:00:00"/>
    <n v="875"/>
    <s v="PK-113"/>
    <n v="28"/>
    <s v="Delivered"/>
    <s v="Y"/>
    <s v="Y"/>
    <s v="Y"/>
    <n v="2"/>
    <n v="0.99431818181818177"/>
    <n v="3.2000000000000001E-2"/>
    <n v="1"/>
    <n v="0"/>
    <n v="0"/>
  </r>
  <r>
    <s v="PO-1830"/>
    <x v="14"/>
    <s v="Raw Material"/>
    <n v="506"/>
    <d v="2026-03-22T00:00:00"/>
    <d v="2026-04-03T00:00:00"/>
    <d v="2026-04-03T00:00:00"/>
    <n v="511"/>
    <s v="RM-176"/>
    <n v="28"/>
    <s v="Delivered"/>
    <s v="Y"/>
    <s v="Y"/>
    <s v="Y"/>
    <n v="12"/>
    <n v="1.0098814229249011"/>
    <n v="5.4794520547945202E-2"/>
    <n v="1"/>
    <n v="0"/>
    <n v="0"/>
  </r>
  <r>
    <s v="PO-1034"/>
    <x v="19"/>
    <s v="Raw Material"/>
    <n v="855"/>
    <d v="2026-03-26T00:00:00"/>
    <d v="2026-04-09T00:00:00"/>
    <d v="2026-04-07T00:00:00"/>
    <n v="802"/>
    <s v="RM-134"/>
    <n v="12"/>
    <s v="Delivered"/>
    <s v="Y"/>
    <s v="N"/>
    <s v="N"/>
    <n v="12"/>
    <n v="0.93801169590643274"/>
    <n v="1.4962593516209476E-2"/>
    <n v="0"/>
    <n v="0"/>
    <n v="0"/>
  </r>
  <r>
    <s v="PO-1053"/>
    <x v="6"/>
    <s v="Packaging"/>
    <n v="703"/>
    <d v="2026-03-02T00:00:00"/>
    <d v="2026-03-07T00:00:00"/>
    <d v="2026-03-06T00:00:00"/>
    <n v="706"/>
    <s v="PK-232"/>
    <n v="38"/>
    <s v="Delivered"/>
    <s v="Y"/>
    <s v="Y"/>
    <s v="Y"/>
    <n v="4"/>
    <n v="1.004267425320057"/>
    <n v="5.3824362606232294E-2"/>
    <n v="1"/>
    <n v="0"/>
    <n v="0"/>
  </r>
  <r>
    <s v="PO-1659"/>
    <x v="12"/>
    <s v="Packaging"/>
    <n v="261"/>
    <d v="2026-03-17T00:00:00"/>
    <d v="2026-03-25T00:00:00"/>
    <d v="2026-03-24T00:00:00"/>
    <n v="214"/>
    <s v="PK-163"/>
    <n v="2"/>
    <s v="Delivered"/>
    <s v="Y"/>
    <s v="N"/>
    <s v="N"/>
    <n v="7"/>
    <n v="0.81992337164750961"/>
    <n v="9.3457943925233638E-3"/>
    <n v="0"/>
    <n v="0"/>
    <n v="0"/>
  </r>
  <r>
    <s v="PO-1308"/>
    <x v="19"/>
    <s v="Raw Material"/>
    <n v="500"/>
    <d v="2026-05-06T00:00:00"/>
    <d v="2026-05-13T00:00:00"/>
    <d v="2026-05-12T00:00:00"/>
    <n v="507"/>
    <s v="RM-167"/>
    <n v="9"/>
    <s v="Delivered"/>
    <s v="Y"/>
    <s v="Y"/>
    <s v="Y"/>
    <n v="6"/>
    <n v="1.014"/>
    <n v="1.7751479289940829E-2"/>
    <n v="1"/>
    <n v="0"/>
    <n v="0"/>
  </r>
  <r>
    <s v="PO-1743"/>
    <x v="19"/>
    <s v="Raw Material"/>
    <n v="529"/>
    <d v="2026-05-29T00:00:00"/>
    <d v="2026-06-05T00:00:00"/>
    <d v="2026-06-02T00:00:00"/>
    <n v="538"/>
    <s v="RM-144"/>
    <n v="11"/>
    <s v="Delivered"/>
    <s v="Y"/>
    <s v="Y"/>
    <s v="Y"/>
    <n v="4"/>
    <n v="1.0170132325141776"/>
    <n v="2.0446096654275093E-2"/>
    <n v="1"/>
    <n v="0"/>
    <n v="0"/>
  </r>
  <r>
    <s v="PO-1664"/>
    <x v="17"/>
    <s v="Raw Material"/>
    <n v="339"/>
    <d v="2026-05-25T00:00:00"/>
    <d v="2026-06-03T00:00:00"/>
    <d v="2026-06-11T00:00:00"/>
    <n v="346"/>
    <s v="RM-149"/>
    <n v="1"/>
    <s v="Delivered"/>
    <s v="N"/>
    <s v="Y"/>
    <s v="N"/>
    <n v="17"/>
    <n v="1.0206489675516224"/>
    <n v="2.8901734104046241E-3"/>
    <n v="0"/>
    <n v="8"/>
    <n v="4000"/>
  </r>
  <r>
    <s v="PO-1572"/>
    <x v="16"/>
    <s v="Raw Material"/>
    <n v="356"/>
    <d v="2026-05-15T00:00:00"/>
    <d v="2026-05-29T00:00:00"/>
    <d v="2026-05-29T00:00:00"/>
    <n v="311"/>
    <s v="RM-292"/>
    <n v="3"/>
    <s v="Delivered"/>
    <s v="Y"/>
    <s v="N"/>
    <s v="N"/>
    <n v="14"/>
    <n v="0.8735955056179775"/>
    <n v="9.6463022508038593E-3"/>
    <n v="0"/>
    <n v="0"/>
    <n v="0"/>
  </r>
  <r>
    <s v="PO-1355"/>
    <x v="17"/>
    <s v="Raw Material"/>
    <n v="493"/>
    <d v="2026-04-10T00:00:00"/>
    <d v="2026-04-25T00:00:00"/>
    <d v="2026-04-23T00:00:00"/>
    <n v="491"/>
    <s v="RM-206"/>
    <n v="12"/>
    <s v="Delivered"/>
    <s v="Y"/>
    <s v="Y"/>
    <s v="Y"/>
    <n v="13"/>
    <n v="0.99594320486815413"/>
    <n v="2.4439918533604887E-2"/>
    <n v="1"/>
    <n v="0"/>
    <n v="0"/>
  </r>
  <r>
    <s v="PO-1339"/>
    <x v="9"/>
    <s v="Raw Material"/>
    <n v="901"/>
    <d v="2026-03-06T00:00:00"/>
    <d v="2026-03-21T00:00:00"/>
    <d v="2026-03-22T00:00:00"/>
    <n v="898"/>
    <s v="RM-234"/>
    <n v="42"/>
    <s v="Delivered"/>
    <s v="N"/>
    <s v="Y"/>
    <s v="N"/>
    <n v="16"/>
    <n v="0.99667036625971139"/>
    <n v="4.6770601336302897E-2"/>
    <n v="0"/>
    <n v="1"/>
    <n v="500"/>
  </r>
  <r>
    <s v="PO-1728"/>
    <x v="13"/>
    <s v="Raw Material"/>
    <n v="241"/>
    <d v="2026-05-18T00:00:00"/>
    <d v="2026-05-29T00:00:00"/>
    <d v="2026-05-29T00:00:00"/>
    <n v="217"/>
    <s v="RM-204"/>
    <n v="11"/>
    <s v="Delivered"/>
    <s v="Y"/>
    <s v="N"/>
    <s v="N"/>
    <n v="11"/>
    <n v="0.90041493775933612"/>
    <n v="5.0691244239631339E-2"/>
    <n v="0"/>
    <n v="0"/>
    <n v="0"/>
  </r>
  <r>
    <s v="PO-1321"/>
    <x v="15"/>
    <s v="Raw Material"/>
    <n v="705"/>
    <d v="2026-05-03T00:00:00"/>
    <d v="2026-05-10T00:00:00"/>
    <d v="2026-05-09T00:00:00"/>
    <n v="698"/>
    <s v="RM-283"/>
    <n v="3"/>
    <s v="Delivered"/>
    <s v="Y"/>
    <s v="Y"/>
    <s v="Y"/>
    <n v="6"/>
    <n v="0.99007092198581559"/>
    <n v="4.2979942693409743E-3"/>
    <n v="1"/>
    <n v="0"/>
    <n v="0"/>
  </r>
  <r>
    <s v="PO-1655"/>
    <x v="14"/>
    <s v="Packaging"/>
    <n v="100"/>
    <d v="2026-02-08T00:00:00"/>
    <d v="2026-02-13T00:00:00"/>
    <d v="2026-02-13T00:00:00"/>
    <n v="99"/>
    <s v="PK-111"/>
    <n v="3"/>
    <s v="Delivered"/>
    <s v="Y"/>
    <s v="Y"/>
    <s v="Y"/>
    <n v="5"/>
    <n v="0.99"/>
    <n v="3.0303030303030304E-2"/>
    <n v="1"/>
    <n v="0"/>
    <n v="0"/>
  </r>
  <r>
    <s v="PO-1685"/>
    <x v="0"/>
    <s v="Imported"/>
    <n v="454"/>
    <d v="2026-03-22T00:00:00"/>
    <d v="2026-04-02T00:00:00"/>
    <d v="2026-04-10T00:00:00"/>
    <n v="455"/>
    <s v="IM-197"/>
    <n v="12"/>
    <s v="Delivered"/>
    <s v="N"/>
    <s v="Y"/>
    <s v="N"/>
    <n v="19"/>
    <n v="1.0022026431718061"/>
    <n v="2.6373626373626374E-2"/>
    <n v="0"/>
    <n v="8"/>
    <n v="4000"/>
  </r>
  <r>
    <s v="PO-1571"/>
    <x v="14"/>
    <s v="Imported"/>
    <n v="773"/>
    <d v="2026-06-01T00:00:00"/>
    <d v="2026-06-11T00:00:00"/>
    <d v="2026-06-08T00:00:00"/>
    <n v="695"/>
    <s v="IM-215"/>
    <n v="11"/>
    <s v="Delivered"/>
    <s v="Y"/>
    <s v="N"/>
    <s v="N"/>
    <n v="7"/>
    <n v="0.89909443725743854"/>
    <n v="1.5827338129496403E-2"/>
    <n v="0"/>
    <n v="0"/>
    <n v="0"/>
  </r>
  <r>
    <s v="PO-1099"/>
    <x v="16"/>
    <s v="Raw Material"/>
    <n v="858"/>
    <d v="2026-01-30T00:00:00"/>
    <d v="2026-02-08T00:00:00"/>
    <d v="2026-02-12T00:00:00"/>
    <n v="851"/>
    <s v="RM-214"/>
    <n v="9"/>
    <s v="Delivered"/>
    <s v="N"/>
    <s v="Y"/>
    <s v="N"/>
    <n v="13"/>
    <n v="0.99184149184149184"/>
    <n v="1.0575793184488837E-2"/>
    <n v="0"/>
    <n v="4"/>
    <n v="2000"/>
  </r>
  <r>
    <s v="PO-1682"/>
    <x v="11"/>
    <s v="Packaging"/>
    <n v="243"/>
    <d v="2026-01-15T00:00:00"/>
    <d v="2026-01-25T00:00:00"/>
    <d v="2026-01-23T00:00:00"/>
    <n v="200"/>
    <s v="PK-252"/>
    <n v="1"/>
    <s v="Delivered"/>
    <s v="Y"/>
    <s v="N"/>
    <s v="N"/>
    <n v="8"/>
    <n v="0.82304526748971196"/>
    <n v="5.0000000000000001E-3"/>
    <n v="0"/>
    <n v="0"/>
    <n v="0"/>
  </r>
  <r>
    <s v="PO-1471"/>
    <x v="11"/>
    <s v="Packaging"/>
    <n v="385"/>
    <d v="2026-04-27T00:00:00"/>
    <d v="2026-05-10T00:00:00"/>
    <d v="2026-05-11T00:00:00"/>
    <n v="389"/>
    <s v="PK-299"/>
    <n v="4"/>
    <s v="Delivered"/>
    <s v="N"/>
    <s v="Y"/>
    <s v="N"/>
    <n v="14"/>
    <n v="1.0103896103896104"/>
    <n v="1.0282776349614395E-2"/>
    <n v="0"/>
    <n v="1"/>
    <n v="500"/>
  </r>
  <r>
    <s v="PO-1491"/>
    <x v="19"/>
    <s v="Raw Material"/>
    <n v="867"/>
    <d v="2026-04-03T00:00:00"/>
    <d v="2026-04-09T00:00:00"/>
    <d v="2026-04-06T00:00:00"/>
    <n v="883"/>
    <s v="RM-296"/>
    <n v="21"/>
    <s v="Delivered"/>
    <s v="Y"/>
    <s v="Y"/>
    <s v="Y"/>
    <n v="3"/>
    <n v="1.0184544405997693"/>
    <n v="2.3782559456398639E-2"/>
    <n v="1"/>
    <n v="0"/>
    <n v="0"/>
  </r>
  <r>
    <s v="PO-1663"/>
    <x v="7"/>
    <s v="Raw Material"/>
    <n v="872"/>
    <d v="2026-03-20T00:00:00"/>
    <d v="2026-03-31T00:00:00"/>
    <d v="2026-03-30T00:00:00"/>
    <n v="878"/>
    <s v="RM-255"/>
    <n v="28"/>
    <s v="Delivered"/>
    <s v="Y"/>
    <s v="Y"/>
    <s v="Y"/>
    <n v="10"/>
    <n v="1.0068807339449541"/>
    <n v="3.1890660592255128E-2"/>
    <n v="1"/>
    <n v="0"/>
    <n v="0"/>
  </r>
  <r>
    <s v="PO-1318"/>
    <x v="8"/>
    <s v="Raw Material"/>
    <n v="498"/>
    <d v="2026-02-16T00:00:00"/>
    <d v="2026-02-24T00:00:00"/>
    <m/>
    <m/>
    <s v="RM-182"/>
    <m/>
    <s v="Pending"/>
    <s v="N/A"/>
    <s v="N/A"/>
    <s v="N/A"/>
    <s v="N/A"/>
    <s v="N/A"/>
    <s v="N/A"/>
    <s v=""/>
    <s v="N/A"/>
    <n v="0"/>
  </r>
  <r>
    <s v="PO-1900"/>
    <x v="18"/>
    <s v="Imported"/>
    <n v="899"/>
    <d v="2026-03-08T00:00:00"/>
    <d v="2026-03-23T00:00:00"/>
    <d v="2026-03-21T00:00:00"/>
    <n v="802"/>
    <s v="IM-157"/>
    <n v="37"/>
    <s v="Delivered"/>
    <s v="Y"/>
    <s v="N"/>
    <s v="N"/>
    <n v="13"/>
    <n v="0.89210233592880983"/>
    <n v="4.6134663341645885E-2"/>
    <n v="0"/>
    <n v="0"/>
    <n v="0"/>
  </r>
  <r>
    <s v="PO-1324"/>
    <x v="8"/>
    <s v="Imported"/>
    <n v="605"/>
    <d v="2026-05-19T00:00:00"/>
    <d v="2026-05-30T00:00:00"/>
    <d v="2026-05-30T00:00:00"/>
    <n v="595"/>
    <s v="IM-183"/>
    <n v="16"/>
    <s v="Delivered"/>
    <s v="Y"/>
    <s v="Y"/>
    <s v="Y"/>
    <n v="11"/>
    <n v="0.98347107438016534"/>
    <n v="2.689075630252101E-2"/>
    <n v="1"/>
    <n v="0"/>
    <n v="0"/>
  </r>
  <r>
    <s v="PO-1417"/>
    <x v="19"/>
    <s v="Raw Material"/>
    <n v="225"/>
    <d v="2026-01-10T00:00:00"/>
    <d v="2026-01-24T00:00:00"/>
    <d v="2026-02-02T00:00:00"/>
    <n v="226"/>
    <s v="RM-192"/>
    <n v="4"/>
    <s v="Delivered"/>
    <s v="N"/>
    <s v="Y"/>
    <s v="N"/>
    <n v="23"/>
    <n v="1.0044444444444445"/>
    <n v="1.7699115044247787E-2"/>
    <n v="0"/>
    <n v="9"/>
    <n v="4500"/>
  </r>
  <r>
    <s v="PO-1113"/>
    <x v="16"/>
    <s v="Packaging"/>
    <n v="904"/>
    <d v="2026-04-21T00:00:00"/>
    <d v="2026-04-27T00:00:00"/>
    <d v="2026-04-28T00:00:00"/>
    <n v="916"/>
    <s v="PK-173"/>
    <n v="13"/>
    <s v="Delivered"/>
    <s v="N"/>
    <s v="Y"/>
    <s v="N"/>
    <n v="7"/>
    <n v="1.0132743362831858"/>
    <n v="1.4192139737991267E-2"/>
    <n v="0"/>
    <n v="1"/>
    <n v="500"/>
  </r>
  <r>
    <s v="PO-1720"/>
    <x v="19"/>
    <s v="Imported"/>
    <n v="928"/>
    <d v="2026-02-16T00:00:00"/>
    <d v="2026-02-25T00:00:00"/>
    <d v="2026-03-04T00:00:00"/>
    <n v="935"/>
    <s v="IM-174"/>
    <n v="11"/>
    <s v="Delivered"/>
    <s v="N"/>
    <s v="Y"/>
    <s v="N"/>
    <n v="16"/>
    <n v="1.0075431034482758"/>
    <n v="1.1764705882352941E-2"/>
    <n v="0"/>
    <n v="7"/>
    <n v="3500"/>
  </r>
  <r>
    <s v="PO-1872"/>
    <x v="17"/>
    <s v="Raw Material"/>
    <n v="184"/>
    <d v="2026-01-25T00:00:00"/>
    <d v="2026-02-03T00:00:00"/>
    <d v="2026-02-10T00:00:00"/>
    <n v="184"/>
    <s v="RM-274"/>
    <n v="4"/>
    <s v="Delivered"/>
    <s v="N"/>
    <s v="Y"/>
    <s v="N"/>
    <n v="16"/>
    <n v="1"/>
    <n v="2.1739130434782608E-2"/>
    <n v="0"/>
    <n v="7"/>
    <n v="3500"/>
  </r>
  <r>
    <s v="PO-1407"/>
    <x v="12"/>
    <s v="Raw Material"/>
    <n v="936"/>
    <d v="2026-02-04T00:00:00"/>
    <d v="2026-02-12T00:00:00"/>
    <d v="2026-02-11T00:00:00"/>
    <n v="906"/>
    <s v="RM-285"/>
    <n v="15"/>
    <s v="Delivered"/>
    <s v="Y"/>
    <s v="N"/>
    <s v="N"/>
    <n v="7"/>
    <n v="0.96794871794871795"/>
    <n v="1.6556291390728478E-2"/>
    <n v="0"/>
    <n v="0"/>
    <n v="0"/>
  </r>
  <r>
    <s v="PO-1921"/>
    <x v="10"/>
    <s v="Raw Material"/>
    <n v="918"/>
    <d v="2026-05-23T00:00:00"/>
    <d v="2026-06-04T00:00:00"/>
    <d v="2026-06-01T00:00:00"/>
    <n v="915"/>
    <s v="RM-277"/>
    <n v="43"/>
    <s v="Delivered"/>
    <s v="Y"/>
    <s v="Y"/>
    <s v="Y"/>
    <n v="9"/>
    <n v="0.99673202614379086"/>
    <n v="4.6994535519125684E-2"/>
    <n v="1"/>
    <n v="0"/>
    <n v="0"/>
  </r>
  <r>
    <s v="PO-1898"/>
    <x v="0"/>
    <s v="Packaging"/>
    <n v="697"/>
    <d v="2026-02-14T00:00:00"/>
    <d v="2026-02-25T00:00:00"/>
    <d v="2026-02-25T00:00:00"/>
    <n v="687"/>
    <s v="PK-277"/>
    <n v="17"/>
    <s v="Delivered"/>
    <s v="Y"/>
    <s v="Y"/>
    <s v="Y"/>
    <n v="11"/>
    <n v="0.98565279770444758"/>
    <n v="2.4745269286754003E-2"/>
    <n v="1"/>
    <n v="0"/>
    <n v="0"/>
  </r>
  <r>
    <s v="PO-1752"/>
    <x v="9"/>
    <s v="Packaging"/>
    <n v="825"/>
    <d v="2026-01-19T00:00:00"/>
    <d v="2026-01-27T00:00:00"/>
    <d v="2026-01-25T00:00:00"/>
    <n v="837"/>
    <s v="PK-298"/>
    <n v="18"/>
    <s v="Delivered"/>
    <s v="Y"/>
    <s v="Y"/>
    <s v="Y"/>
    <n v="6"/>
    <n v="1.0145454545454546"/>
    <n v="2.1505376344086023E-2"/>
    <n v="1"/>
    <n v="0"/>
    <n v="0"/>
  </r>
  <r>
    <s v="PO-1675"/>
    <x v="1"/>
    <s v="Raw Material"/>
    <n v="300"/>
    <d v="2026-04-21T00:00:00"/>
    <d v="2026-05-06T00:00:00"/>
    <d v="2026-05-04T00:00:00"/>
    <n v="295"/>
    <s v="unknown_SKU"/>
    <n v="4"/>
    <s v="Delivered"/>
    <s v="Y"/>
    <s v="Y"/>
    <s v="Y"/>
    <n v="13"/>
    <n v="0.98333333333333328"/>
    <n v="1.3559322033898305E-2"/>
    <n v="1"/>
    <n v="0"/>
    <n v="0"/>
  </r>
  <r>
    <s v="PO-1228"/>
    <x v="2"/>
    <s v="Packaging"/>
    <n v="529"/>
    <d v="2026-05-05T00:00:00"/>
    <d v="2026-05-20T00:00:00"/>
    <d v="2026-05-20T00:00:00"/>
    <n v="524"/>
    <s v="PK-159"/>
    <n v="25"/>
    <s v="Delivered"/>
    <s v="Y"/>
    <s v="Y"/>
    <s v="Y"/>
    <n v="15"/>
    <n v="0.99054820415879019"/>
    <n v="4.7709923664122141E-2"/>
    <n v="1"/>
    <n v="0"/>
    <n v="0"/>
  </r>
  <r>
    <s v="PO-1237"/>
    <x v="17"/>
    <s v="Raw Material"/>
    <n v="787"/>
    <d v="2026-03-23T00:00:00"/>
    <d v="2026-04-05T00:00:00"/>
    <d v="2026-04-13T00:00:00"/>
    <n v="782"/>
    <s v="RM-152"/>
    <n v="10"/>
    <s v="Delivered"/>
    <s v="N"/>
    <s v="Y"/>
    <s v="N"/>
    <n v="21"/>
    <n v="0.99364675984752227"/>
    <n v="1.278772378516624E-2"/>
    <n v="0"/>
    <n v="8"/>
    <n v="4000"/>
  </r>
  <r>
    <s v="PO-1768"/>
    <x v="7"/>
    <s v="Packaging"/>
    <n v="833"/>
    <d v="2026-05-03T00:00:00"/>
    <d v="2026-05-10T00:00:00"/>
    <d v="2026-05-07T00:00:00"/>
    <n v="847"/>
    <s v="PK-136"/>
    <n v="44"/>
    <s v="Delivered"/>
    <s v="Y"/>
    <s v="Y"/>
    <s v="Y"/>
    <n v="4"/>
    <n v="1.0168067226890756"/>
    <n v="5.1948051948051951E-2"/>
    <n v="1"/>
    <n v="0"/>
    <n v="0"/>
  </r>
  <r>
    <s v="PO-1602"/>
    <x v="9"/>
    <s v="Packaging"/>
    <n v="845"/>
    <d v="2026-03-17T00:00:00"/>
    <d v="2026-03-26T00:00:00"/>
    <d v="2026-03-26T00:00:00"/>
    <n v="762"/>
    <s v="PK-125"/>
    <n v="47"/>
    <s v="Delivered"/>
    <s v="Y"/>
    <s v="N"/>
    <s v="N"/>
    <n v="9"/>
    <n v="0.90177514792899405"/>
    <n v="6.1679790026246718E-2"/>
    <n v="0"/>
    <n v="0"/>
    <n v="0"/>
  </r>
  <r>
    <s v="PO-1357"/>
    <x v="10"/>
    <s v="Raw Material"/>
    <n v="662"/>
    <d v="2026-02-17T00:00:00"/>
    <d v="2026-03-04T00:00:00"/>
    <d v="2026-03-03T00:00:00"/>
    <n v="669"/>
    <s v="RM-291"/>
    <n v="59"/>
    <s v="Delivered"/>
    <s v="Y"/>
    <s v="Y"/>
    <s v="Y"/>
    <n v="14"/>
    <n v="1.0105740181268883"/>
    <n v="8.8191330343796712E-2"/>
    <n v="1"/>
    <n v="0"/>
    <n v="0"/>
  </r>
  <r>
    <s v="PO-1739"/>
    <x v="4"/>
    <s v="Imported"/>
    <n v="832"/>
    <d v="2026-01-23T00:00:00"/>
    <d v="2026-01-30T00:00:00"/>
    <d v="2026-01-27T00:00:00"/>
    <n v="825"/>
    <s v="IM-244"/>
    <n v="25"/>
    <s v="Delivered"/>
    <s v="Y"/>
    <s v="Y"/>
    <s v="Y"/>
    <n v="4"/>
    <n v="0.99158653846153844"/>
    <n v="3.0303030303030304E-2"/>
    <n v="1"/>
    <n v="0"/>
    <n v="0"/>
  </r>
  <r>
    <s v="PO-1482"/>
    <x v="10"/>
    <s v="Packaging"/>
    <n v="577"/>
    <d v="2026-01-29T00:00:00"/>
    <d v="2026-02-12T00:00:00"/>
    <d v="2026-02-11T00:00:00"/>
    <n v="582"/>
    <s v="PK-293"/>
    <n v="1"/>
    <s v="Delivered"/>
    <s v="Y"/>
    <s v="Y"/>
    <s v="Y"/>
    <n v="13"/>
    <n v="1.0086655112651646"/>
    <n v="1.718213058419244E-3"/>
    <n v="1"/>
    <n v="0"/>
    <n v="0"/>
  </r>
  <r>
    <s v="PO-1928"/>
    <x v="3"/>
    <s v="Packaging"/>
    <n v="992"/>
    <d v="2026-04-14T00:00:00"/>
    <d v="2026-04-19T00:00:00"/>
    <d v="2026-04-18T00:00:00"/>
    <n v="1004"/>
    <s v="PK-172"/>
    <n v="49"/>
    <s v="Delivered"/>
    <s v="Y"/>
    <s v="Y"/>
    <s v="Y"/>
    <n v="4"/>
    <n v="1.0120967741935485"/>
    <n v="4.8804780876494022E-2"/>
    <n v="1"/>
    <n v="0"/>
    <n v="0"/>
  </r>
  <r>
    <s v="PO-1110"/>
    <x v="7"/>
    <s v="Packaging"/>
    <n v="749"/>
    <d v="2026-01-07T00:00:00"/>
    <d v="2026-01-19T00:00:00"/>
    <d v="2026-01-17T00:00:00"/>
    <n v="735"/>
    <s v="PK-164"/>
    <n v="1"/>
    <s v="Delivered"/>
    <s v="Y"/>
    <s v="Y"/>
    <s v="Y"/>
    <n v="10"/>
    <n v="0.98130841121495327"/>
    <n v="1.3605442176870747E-3"/>
    <n v="1"/>
    <n v="0"/>
    <n v="0"/>
  </r>
  <r>
    <s v="PO-1026"/>
    <x v="8"/>
    <s v="Imported"/>
    <n v="902"/>
    <d v="2026-04-08T00:00:00"/>
    <d v="2026-04-15T00:00:00"/>
    <d v="2026-04-17T00:00:00"/>
    <n v="896"/>
    <s v="IM-215"/>
    <n v="69"/>
    <s v="Delivered"/>
    <s v="N"/>
    <s v="Y"/>
    <s v="N"/>
    <n v="9"/>
    <n v="0.99334811529933487"/>
    <n v="7.7008928571428575E-2"/>
    <n v="0"/>
    <n v="2"/>
    <n v="1000"/>
  </r>
  <r>
    <s v="PO-1057"/>
    <x v="14"/>
    <s v="Raw Material"/>
    <n v="979"/>
    <d v="2026-05-28T00:00:00"/>
    <d v="2026-06-09T00:00:00"/>
    <d v="2026-06-17T00:00:00"/>
    <n v="994"/>
    <s v="RM-217"/>
    <n v="29"/>
    <s v="Delivered"/>
    <s v="N"/>
    <s v="Y"/>
    <s v="N"/>
    <n v="20"/>
    <n v="1.0153217568947905"/>
    <n v="2.9175050301810865E-2"/>
    <n v="0"/>
    <n v="8"/>
    <n v="4000"/>
  </r>
  <r>
    <s v="PO-1046"/>
    <x v="11"/>
    <s v="Raw Material"/>
    <n v="747"/>
    <d v="2026-04-16T00:00:00"/>
    <d v="2026-04-28T00:00:00"/>
    <d v="2026-05-02T00:00:00"/>
    <n v="743"/>
    <s v="RM-115"/>
    <n v="7"/>
    <s v="Delivered"/>
    <s v="N"/>
    <s v="Y"/>
    <s v="N"/>
    <n v="16"/>
    <n v="0.99464524765729589"/>
    <n v="9.4212651413189772E-3"/>
    <n v="0"/>
    <n v="4"/>
    <n v="2000"/>
  </r>
  <r>
    <s v="PO-1360"/>
    <x v="3"/>
    <s v="Imported"/>
    <n v="584"/>
    <d v="2026-05-12T00:00:00"/>
    <d v="2026-05-22T00:00:00"/>
    <d v="2026-05-28T00:00:00"/>
    <n v="578"/>
    <s v="IM-212"/>
    <n v="28"/>
    <s v="Delivered"/>
    <s v="N"/>
    <s v="Y"/>
    <s v="N"/>
    <n v="16"/>
    <n v="0.98972602739726023"/>
    <n v="4.8442906574394463E-2"/>
    <n v="0"/>
    <n v="6"/>
    <n v="3000"/>
  </r>
  <r>
    <s v="PO-1990"/>
    <x v="2"/>
    <s v="Raw Material"/>
    <n v="204"/>
    <d v="2026-04-19T00:00:00"/>
    <d v="2026-04-28T00:00:00"/>
    <d v="2026-04-27T00:00:00"/>
    <n v="204"/>
    <s v="RM-194"/>
    <n v="2"/>
    <s v="Delivered"/>
    <s v="Y"/>
    <s v="Y"/>
    <s v="Y"/>
    <n v="8"/>
    <n v="1"/>
    <n v="9.8039215686274508E-3"/>
    <n v="1"/>
    <n v="0"/>
    <n v="0"/>
  </r>
  <r>
    <s v="PO-1748"/>
    <x v="2"/>
    <s v="Packaging"/>
    <n v="167"/>
    <d v="2026-03-03T00:00:00"/>
    <d v="2026-03-10T00:00:00"/>
    <d v="2026-03-07T00:00:00"/>
    <n v="150"/>
    <s v="PK-138"/>
    <n v="3"/>
    <s v="Delivered"/>
    <s v="Y"/>
    <s v="N"/>
    <s v="N"/>
    <n v="4"/>
    <n v="0.89820359281437123"/>
    <n v="0.02"/>
    <n v="0"/>
    <n v="0"/>
    <n v="0"/>
  </r>
  <r>
    <s v="PO-1098"/>
    <x v="1"/>
    <s v="Packaging"/>
    <n v="555"/>
    <d v="2026-05-22T00:00:00"/>
    <d v="2026-05-27T00:00:00"/>
    <d v="2026-05-25T00:00:00"/>
    <n v="460"/>
    <s v="PK-152"/>
    <n v="8"/>
    <s v="Delivered"/>
    <s v="Y"/>
    <s v="N"/>
    <s v="N"/>
    <n v="3"/>
    <n v="0.8288288288288288"/>
    <n v="1.7391304347826087E-2"/>
    <n v="0"/>
    <n v="0"/>
    <n v="0"/>
  </r>
  <r>
    <s v="PO-1489"/>
    <x v="18"/>
    <s v="Raw Material"/>
    <n v="346"/>
    <d v="2026-01-13T00:00:00"/>
    <d v="2026-01-22T00:00:00"/>
    <d v="2026-01-19T00:00:00"/>
    <n v="289"/>
    <s v="RM-209"/>
    <n v="8"/>
    <s v="Delivered"/>
    <s v="Y"/>
    <s v="N"/>
    <s v="N"/>
    <n v="6"/>
    <n v="0.83526011560693647"/>
    <n v="2.768166089965398E-2"/>
    <n v="0"/>
    <n v="0"/>
    <n v="0"/>
  </r>
  <r>
    <s v="PO-1540"/>
    <x v="19"/>
    <s v="Packaging"/>
    <n v="317"/>
    <d v="2026-04-22T00:00:00"/>
    <d v="2026-05-03T00:00:00"/>
    <d v="2026-05-01T00:00:00"/>
    <n v="312"/>
    <s v="PK-137"/>
    <n v="5"/>
    <s v="Delivered"/>
    <s v="Y"/>
    <s v="Y"/>
    <s v="Y"/>
    <n v="9"/>
    <n v="0.98422712933753942"/>
    <n v="1.6025641025641024E-2"/>
    <n v="1"/>
    <n v="0"/>
    <n v="0"/>
  </r>
  <r>
    <s v="PO-1408"/>
    <x v="5"/>
    <s v="Raw Material"/>
    <n v="101"/>
    <d v="2026-03-24T00:00:00"/>
    <d v="2026-03-29T00:00:00"/>
    <d v="2026-03-26T00:00:00"/>
    <n v="100"/>
    <s v="RM-248"/>
    <n v="0"/>
    <s v="Delivered"/>
    <s v="Y"/>
    <s v="Y"/>
    <s v="Y"/>
    <n v="2"/>
    <n v="0.99009900990099009"/>
    <n v="0"/>
    <n v="1"/>
    <n v="0"/>
    <n v="0"/>
  </r>
  <r>
    <s v="PO-1330"/>
    <x v="16"/>
    <s v="Imported"/>
    <n v="689"/>
    <d v="2026-01-26T00:00:00"/>
    <d v="2026-02-03T00:00:00"/>
    <d v="2026-01-31T00:00:00"/>
    <n v="553"/>
    <s v="IM-222"/>
    <n v="6"/>
    <s v="Delivered"/>
    <s v="Y"/>
    <s v="N"/>
    <s v="N"/>
    <n v="5"/>
    <n v="0.8026124818577649"/>
    <n v="1.0849909584086799E-2"/>
    <n v="0"/>
    <n v="0"/>
    <n v="0"/>
  </r>
  <r>
    <s v="PO-1153"/>
    <x v="0"/>
    <s v="Packaging"/>
    <n v="880"/>
    <d v="2026-04-03T00:00:00"/>
    <d v="2026-04-11T00:00:00"/>
    <d v="2026-04-10T00:00:00"/>
    <n v="876"/>
    <s v="PK-171"/>
    <n v="25"/>
    <s v="Delivered"/>
    <s v="Y"/>
    <s v="Y"/>
    <s v="Y"/>
    <n v="7"/>
    <n v="0.99545454545454548"/>
    <n v="2.8538812785388126E-2"/>
    <n v="1"/>
    <n v="0"/>
    <n v="0"/>
  </r>
  <r>
    <s v="PO-1794"/>
    <x v="10"/>
    <s v="Packaging"/>
    <n v="485"/>
    <d v="2026-04-19T00:00:00"/>
    <d v="2026-04-29T00:00:00"/>
    <d v="2026-04-29T00:00:00"/>
    <n v="482"/>
    <s v="PK-257"/>
    <n v="2"/>
    <s v="Delivered"/>
    <s v="Y"/>
    <s v="Y"/>
    <s v="Y"/>
    <n v="10"/>
    <n v="0.99381443298969074"/>
    <n v="4.1493775933609959E-3"/>
    <n v="1"/>
    <n v="0"/>
    <n v="0"/>
  </r>
  <r>
    <s v="PO-1043"/>
    <x v="18"/>
    <s v="Raw Material"/>
    <n v="555"/>
    <d v="2026-03-03T00:00:00"/>
    <d v="2026-03-11T00:00:00"/>
    <d v="2026-03-10T00:00:00"/>
    <n v="560"/>
    <s v="RM-225"/>
    <n v="21"/>
    <s v="Delivered"/>
    <s v="Y"/>
    <s v="Y"/>
    <s v="Y"/>
    <n v="7"/>
    <n v="1.0090090090090089"/>
    <n v="3.7499999999999999E-2"/>
    <n v="1"/>
    <n v="0"/>
    <n v="0"/>
  </r>
  <r>
    <s v="PO-1964"/>
    <x v="16"/>
    <s v="Packaging"/>
    <n v="219"/>
    <d v="2026-02-03T00:00:00"/>
    <d v="2026-02-15T00:00:00"/>
    <d v="2026-02-13T00:00:00"/>
    <n v="216"/>
    <s v="PK-177"/>
    <n v="0"/>
    <s v="Delivered"/>
    <s v="Y"/>
    <s v="Y"/>
    <s v="Y"/>
    <n v="10"/>
    <n v="0.98630136986301364"/>
    <n v="0"/>
    <n v="1"/>
    <n v="0"/>
    <n v="0"/>
  </r>
  <r>
    <s v="PO-1493"/>
    <x v="4"/>
    <s v="Imported"/>
    <n v="94"/>
    <d v="2026-04-19T00:00:00"/>
    <d v="2026-04-27T00:00:00"/>
    <d v="2026-04-26T00:00:00"/>
    <n v="93"/>
    <s v="IM-227"/>
    <n v="2"/>
    <s v="Delivered"/>
    <s v="Y"/>
    <s v="Y"/>
    <s v="Y"/>
    <n v="7"/>
    <n v="0.98936170212765961"/>
    <n v="2.1505376344086023E-2"/>
    <n v="1"/>
    <n v="0"/>
    <n v="0"/>
  </r>
  <r>
    <s v="PO-1063"/>
    <x v="10"/>
    <s v="Raw Material"/>
    <n v="224"/>
    <d v="2026-02-17T00:00:00"/>
    <d v="2026-03-02T00:00:00"/>
    <d v="2026-02-27T00:00:00"/>
    <n v="227"/>
    <s v="RM-225"/>
    <n v="11"/>
    <s v="Delivered"/>
    <s v="Y"/>
    <s v="Y"/>
    <s v="Y"/>
    <n v="10"/>
    <n v="1.0133928571428572"/>
    <n v="4.8458149779735685E-2"/>
    <n v="1"/>
    <n v="0"/>
    <n v="0"/>
  </r>
  <r>
    <s v="PO-1557"/>
    <x v="15"/>
    <s v="Imported"/>
    <n v="178"/>
    <d v="2026-02-01T00:00:00"/>
    <d v="2026-02-13T00:00:00"/>
    <d v="2026-02-15T00:00:00"/>
    <n v="181"/>
    <s v="IM-281"/>
    <n v="3"/>
    <s v="Delivered"/>
    <s v="N"/>
    <s v="Y"/>
    <s v="N"/>
    <n v="14"/>
    <n v="1.0168539325842696"/>
    <n v="1.6574585635359115E-2"/>
    <n v="0"/>
    <n v="2"/>
    <n v="1000"/>
  </r>
  <r>
    <s v="PO-1071"/>
    <x v="11"/>
    <s v="Packaging"/>
    <n v="660"/>
    <d v="2026-04-08T00:00:00"/>
    <d v="2026-04-13T00:00:00"/>
    <d v="2026-04-13T00:00:00"/>
    <n v="671"/>
    <s v="PK-137"/>
    <n v="11"/>
    <s v="Delivered"/>
    <s v="Y"/>
    <s v="Y"/>
    <s v="Y"/>
    <n v="5"/>
    <n v="1.0166666666666666"/>
    <n v="1.6393442622950821E-2"/>
    <n v="1"/>
    <n v="0"/>
    <n v="0"/>
  </r>
  <r>
    <s v="PO-1038"/>
    <x v="12"/>
    <s v="Imported"/>
    <n v="930"/>
    <d v="2026-02-01T00:00:00"/>
    <d v="2026-02-09T00:00:00"/>
    <d v="2026-02-09T00:00:00"/>
    <n v="922"/>
    <s v="IM-108"/>
    <n v="8"/>
    <s v="Delivered"/>
    <s v="Y"/>
    <s v="Y"/>
    <s v="Y"/>
    <n v="8"/>
    <n v="0.99139784946236564"/>
    <n v="8.6767895878524948E-3"/>
    <n v="1"/>
    <n v="0"/>
    <n v="0"/>
  </r>
  <r>
    <s v="PO-1916"/>
    <x v="19"/>
    <s v="Imported"/>
    <n v="254"/>
    <d v="2026-05-11T00:00:00"/>
    <d v="2026-05-26T00:00:00"/>
    <d v="2026-05-24T00:00:00"/>
    <n v="204"/>
    <s v="IM-152"/>
    <n v="1"/>
    <s v="Delivered"/>
    <s v="Y"/>
    <s v="N"/>
    <s v="N"/>
    <n v="13"/>
    <n v="0.80314960629921262"/>
    <n v="4.9019607843137254E-3"/>
    <n v="0"/>
    <n v="0"/>
    <n v="0"/>
  </r>
  <r>
    <s v="PO-1163"/>
    <x v="17"/>
    <s v="Packaging"/>
    <n v="251"/>
    <d v="2026-02-27T00:00:00"/>
    <d v="2026-03-04T00:00:00"/>
    <d v="2026-03-11T00:00:00"/>
    <n v="251"/>
    <s v="PK-106"/>
    <n v="6"/>
    <s v="Delivered"/>
    <s v="N"/>
    <s v="Y"/>
    <s v="N"/>
    <n v="12"/>
    <n v="1"/>
    <n v="2.3904382470119521E-2"/>
    <n v="0"/>
    <n v="7"/>
    <n v="3500"/>
  </r>
  <r>
    <s v="PO-1942"/>
    <x v="15"/>
    <s v="Imported"/>
    <n v="813"/>
    <d v="2026-03-24T00:00:00"/>
    <d v="2026-04-03T00:00:00"/>
    <d v="2026-04-08T00:00:00"/>
    <n v="806"/>
    <s v="IM-291"/>
    <n v="14"/>
    <s v="Delivered"/>
    <s v="N"/>
    <s v="Y"/>
    <s v="N"/>
    <n v="15"/>
    <n v="0.991389913899139"/>
    <n v="1.7369727047146403E-2"/>
    <n v="0"/>
    <n v="5"/>
    <n v="2500"/>
  </r>
  <r>
    <s v="PO-1933"/>
    <x v="1"/>
    <s v="Packaging"/>
    <n v="310"/>
    <d v="2026-03-05T00:00:00"/>
    <d v="2026-03-19T00:00:00"/>
    <d v="2026-03-17T00:00:00"/>
    <n v="307"/>
    <s v="PK-188"/>
    <n v="0"/>
    <s v="Delivered"/>
    <s v="Y"/>
    <s v="Y"/>
    <s v="Y"/>
    <n v="12"/>
    <n v="0.99032258064516132"/>
    <n v="0"/>
    <n v="1"/>
    <n v="0"/>
    <n v="0"/>
  </r>
  <r>
    <s v="PO-1351"/>
    <x v="12"/>
    <s v="Packaging"/>
    <n v="677"/>
    <d v="2026-04-07T00:00:00"/>
    <d v="2026-04-20T00:00:00"/>
    <d v="2026-04-19T00:00:00"/>
    <n v="574"/>
    <s v="PK-164"/>
    <n v="9"/>
    <s v="Delivered"/>
    <s v="Y"/>
    <s v="N"/>
    <s v="N"/>
    <n v="12"/>
    <n v="0.84785819793205319"/>
    <n v="1.5679442508710801E-2"/>
    <n v="0"/>
    <n v="0"/>
    <n v="0"/>
  </r>
  <r>
    <s v="PO-1205"/>
    <x v="17"/>
    <s v="Packaging"/>
    <n v="238"/>
    <d v="2026-03-27T00:00:00"/>
    <d v="2026-04-03T00:00:00"/>
    <d v="2026-04-06T00:00:00"/>
    <n v="234"/>
    <s v="PK-123"/>
    <n v="1"/>
    <s v="Delivered"/>
    <s v="N"/>
    <s v="Y"/>
    <s v="N"/>
    <n v="10"/>
    <n v="0.98319327731092432"/>
    <n v="4.2735042735042739E-3"/>
    <n v="0"/>
    <n v="3"/>
    <n v="1500"/>
  </r>
  <r>
    <s v="PO-1466"/>
    <x v="1"/>
    <s v="Imported"/>
    <n v="264"/>
    <d v="2026-01-29T00:00:00"/>
    <d v="2026-02-09T00:00:00"/>
    <d v="2026-02-16T00:00:00"/>
    <n v="261"/>
    <s v="IM-233"/>
    <n v="4"/>
    <s v="Delivered"/>
    <s v="N"/>
    <s v="Y"/>
    <s v="N"/>
    <n v="18"/>
    <n v="0.98863636363636365"/>
    <n v="1.532567049808429E-2"/>
    <n v="0"/>
    <n v="7"/>
    <n v="3500"/>
  </r>
  <r>
    <s v="PO-1642"/>
    <x v="3"/>
    <s v="Raw Material"/>
    <n v="912"/>
    <d v="2026-06-02T00:00:00"/>
    <d v="2026-06-15T00:00:00"/>
    <d v="2026-06-21T00:00:00"/>
    <n v="895"/>
    <s v="RM-186"/>
    <n v="7"/>
    <s v="Delivered"/>
    <s v="N"/>
    <s v="Y"/>
    <s v="N"/>
    <n v="19"/>
    <n v="0.98135964912280704"/>
    <n v="7.82122905027933E-3"/>
    <n v="0"/>
    <n v="6"/>
    <n v="3000"/>
  </r>
  <r>
    <s v="PO-1974"/>
    <x v="15"/>
    <s v="Raw Material"/>
    <n v="798"/>
    <d v="2026-04-27T00:00:00"/>
    <d v="2026-05-10T00:00:00"/>
    <d v="2026-05-07T00:00:00"/>
    <n v="795"/>
    <s v="RM-160"/>
    <n v="3"/>
    <s v="Delivered"/>
    <s v="Y"/>
    <s v="Y"/>
    <s v="Y"/>
    <n v="10"/>
    <n v="0.99624060150375937"/>
    <n v="3.7735849056603774E-3"/>
    <n v="1"/>
    <n v="0"/>
    <n v="0"/>
  </r>
  <r>
    <s v="PO-1969"/>
    <x v="1"/>
    <s v="Packaging"/>
    <n v="249"/>
    <d v="2026-03-13T00:00:00"/>
    <d v="2026-03-19T00:00:00"/>
    <d v="2026-03-19T00:00:00"/>
    <n v="253"/>
    <s v="PK-136"/>
    <n v="2"/>
    <s v="Delivered"/>
    <s v="Y"/>
    <s v="Y"/>
    <s v="Y"/>
    <n v="6"/>
    <n v="1.0160642570281124"/>
    <n v="7.9051383399209481E-3"/>
    <n v="1"/>
    <n v="0"/>
    <n v="0"/>
  </r>
  <r>
    <s v="PO-1146"/>
    <x v="4"/>
    <s v="Raw Material"/>
    <n v="684"/>
    <d v="2026-05-02T00:00:00"/>
    <d v="2026-05-16T00:00:00"/>
    <d v="2026-05-14T00:00:00"/>
    <n v="599"/>
    <s v="RM-109"/>
    <n v="12"/>
    <s v="Delivered"/>
    <s v="Y"/>
    <s v="N"/>
    <s v="N"/>
    <n v="12"/>
    <n v="0.8757309941520468"/>
    <n v="2.003338898163606E-2"/>
    <n v="0"/>
    <n v="0"/>
    <n v="0"/>
  </r>
  <r>
    <s v="PO-1344"/>
    <x v="18"/>
    <s v="Raw Material"/>
    <n v="678"/>
    <d v="2026-02-02T00:00:00"/>
    <d v="2026-02-11T00:00:00"/>
    <d v="2026-02-09T00:00:00"/>
    <n v="599"/>
    <s v="RM-226"/>
    <n v="16"/>
    <s v="Delivered"/>
    <s v="Y"/>
    <s v="N"/>
    <s v="N"/>
    <n v="7"/>
    <n v="0.88348082595870203"/>
    <n v="2.6711185308848081E-2"/>
    <n v="0"/>
    <n v="0"/>
    <n v="0"/>
  </r>
  <r>
    <s v="PO-1596"/>
    <x v="7"/>
    <s v="Imported"/>
    <n v="572"/>
    <d v="2026-04-05T00:00:00"/>
    <d v="2026-04-19T00:00:00"/>
    <d v="2026-04-26T00:00:00"/>
    <n v="483"/>
    <s v="IM-123"/>
    <n v="12"/>
    <s v="Delivered"/>
    <s v="N"/>
    <s v="N"/>
    <s v="N"/>
    <n v="21"/>
    <n v="0.84440559440559437"/>
    <n v="2.4844720496894408E-2"/>
    <n v="0"/>
    <n v="7"/>
    <n v="3500"/>
  </r>
  <r>
    <s v="PO-1828"/>
    <x v="12"/>
    <s v="Packaging"/>
    <n v="250"/>
    <d v="2026-05-07T00:00:00"/>
    <d v="2026-05-17T00:00:00"/>
    <d v="2026-05-16T00:00:00"/>
    <n v="247"/>
    <s v="PK-219"/>
    <n v="1"/>
    <s v="Delivered"/>
    <s v="Y"/>
    <s v="Y"/>
    <s v="Y"/>
    <n v="9"/>
    <n v="0.98799999999999999"/>
    <n v="4.048582995951417E-3"/>
    <n v="1"/>
    <n v="0"/>
    <n v="0"/>
  </r>
  <r>
    <s v="PO-1164"/>
    <x v="12"/>
    <s v="Packaging"/>
    <n v="663"/>
    <d v="2026-05-05T00:00:00"/>
    <d v="2026-05-19T00:00:00"/>
    <d v="2026-05-16T00:00:00"/>
    <n v="618"/>
    <s v="PK-221"/>
    <n v="5"/>
    <s v="Delivered"/>
    <s v="Y"/>
    <s v="N"/>
    <s v="N"/>
    <n v="11"/>
    <n v="0.9321266968325792"/>
    <n v="8.0906148867313909E-3"/>
    <n v="0"/>
    <n v="0"/>
    <n v="0"/>
  </r>
  <r>
    <s v="PO-1813"/>
    <x v="6"/>
    <s v="Packaging"/>
    <n v="728"/>
    <d v="2026-04-29T00:00:00"/>
    <d v="2026-05-13T00:00:00"/>
    <d v="2026-05-13T00:00:00"/>
    <n v="724"/>
    <s v="PK-230"/>
    <n v="34"/>
    <s v="Delivered"/>
    <s v="Y"/>
    <s v="Y"/>
    <s v="Y"/>
    <n v="14"/>
    <n v="0.99450549450549453"/>
    <n v="4.6961325966850827E-2"/>
    <n v="1"/>
    <n v="0"/>
    <n v="0"/>
  </r>
  <r>
    <s v="PO-1316"/>
    <x v="7"/>
    <s v="Imported"/>
    <n v="842"/>
    <d v="2026-03-26T00:00:00"/>
    <d v="2026-04-01T00:00:00"/>
    <d v="2026-04-10T00:00:00"/>
    <n v="836"/>
    <s v="IM-156"/>
    <n v="53"/>
    <s v="Delivered"/>
    <s v="N"/>
    <s v="Y"/>
    <s v="N"/>
    <n v="15"/>
    <n v="0.99287410926365793"/>
    <n v="6.3397129186602869E-2"/>
    <n v="0"/>
    <n v="9"/>
    <n v="4500"/>
  </r>
  <r>
    <s v="PO-1061"/>
    <x v="19"/>
    <s v="Packaging"/>
    <n v="605"/>
    <d v="2026-05-14T00:00:00"/>
    <d v="2026-05-28T00:00:00"/>
    <d v="2026-05-31T00:00:00"/>
    <n v="615"/>
    <s v="PK-177"/>
    <n v="17"/>
    <s v="Delivered"/>
    <s v="N"/>
    <s v="Y"/>
    <s v="N"/>
    <n v="17"/>
    <n v="1.0165289256198347"/>
    <n v="2.7642276422764227E-2"/>
    <n v="0"/>
    <n v="3"/>
    <n v="1500"/>
  </r>
  <r>
    <s v="PO-1591"/>
    <x v="17"/>
    <s v="Packaging"/>
    <n v="316"/>
    <d v="2026-02-04T00:00:00"/>
    <d v="2026-02-19T00:00:00"/>
    <d v="2026-02-17T00:00:00"/>
    <n v="311"/>
    <s v="PK-299"/>
    <n v="8"/>
    <s v="Delivered"/>
    <s v="Y"/>
    <s v="Y"/>
    <s v="Y"/>
    <n v="13"/>
    <n v="0.98417721518987344"/>
    <n v="2.5723472668810289E-2"/>
    <n v="1"/>
    <n v="0"/>
    <n v="0"/>
  </r>
  <r>
    <s v="PO-1740"/>
    <x v="7"/>
    <s v="Raw Material"/>
    <n v="238"/>
    <d v="2026-04-03T00:00:00"/>
    <d v="2026-04-10T00:00:00"/>
    <d v="2026-04-19T00:00:00"/>
    <n v="240"/>
    <s v="RM-121"/>
    <n v="5"/>
    <s v="Delivered"/>
    <s v="N"/>
    <s v="Y"/>
    <s v="N"/>
    <n v="16"/>
    <n v="1.0084033613445378"/>
    <n v="2.0833333333333332E-2"/>
    <n v="0"/>
    <n v="9"/>
    <n v="4500"/>
  </r>
  <r>
    <s v="PO-1511"/>
    <x v="3"/>
    <s v="Imported"/>
    <n v="585"/>
    <d v="2026-03-15T00:00:00"/>
    <d v="2026-03-25T00:00:00"/>
    <d v="2026-03-23T00:00:00"/>
    <n v="554"/>
    <s v="IM-139"/>
    <n v="13"/>
    <s v="Delivered"/>
    <s v="Y"/>
    <s v="N"/>
    <s v="N"/>
    <n v="8"/>
    <n v="0.94700854700854697"/>
    <n v="2.3465703971119134E-2"/>
    <n v="0"/>
    <n v="0"/>
    <n v="0"/>
  </r>
  <r>
    <s v="PO-1513"/>
    <x v="6"/>
    <s v="Imported"/>
    <n v="162"/>
    <d v="2026-01-28T00:00:00"/>
    <d v="2026-02-08T00:00:00"/>
    <d v="2026-02-05T00:00:00"/>
    <n v="141"/>
    <s v="IM-212"/>
    <n v="4"/>
    <s v="Delivered"/>
    <s v="Y"/>
    <s v="N"/>
    <s v="N"/>
    <n v="8"/>
    <n v="0.87037037037037035"/>
    <n v="2.8368794326241134E-2"/>
    <n v="0"/>
    <n v="0"/>
    <n v="0"/>
  </r>
  <r>
    <s v="PO-1924"/>
    <x v="19"/>
    <s v="Imported"/>
    <n v="999"/>
    <d v="2026-02-07T00:00:00"/>
    <d v="2026-02-12T00:00:00"/>
    <d v="2026-02-10T00:00:00"/>
    <n v="1005"/>
    <s v="IM-183"/>
    <n v="22"/>
    <s v="Delivered"/>
    <s v="Y"/>
    <s v="Y"/>
    <s v="Y"/>
    <n v="3"/>
    <n v="1.0060060060060061"/>
    <n v="2.1890547263681594E-2"/>
    <n v="1"/>
    <n v="0"/>
    <n v="0"/>
  </r>
  <r>
    <s v="PO-1419"/>
    <x v="6"/>
    <s v="Raw Material"/>
    <n v="594"/>
    <d v="2026-01-15T00:00:00"/>
    <d v="2026-01-30T00:00:00"/>
    <d v="2026-01-30T00:00:00"/>
    <n v="598"/>
    <s v="RM-211"/>
    <n v="5"/>
    <s v="Delivered"/>
    <s v="Y"/>
    <s v="Y"/>
    <s v="Y"/>
    <n v="15"/>
    <n v="1.0067340067340067"/>
    <n v="8.3612040133779261E-3"/>
    <n v="1"/>
    <n v="0"/>
    <n v="0"/>
  </r>
  <r>
    <s v="PO-1562"/>
    <x v="10"/>
    <s v="Raw Material"/>
    <n v="765"/>
    <d v="2026-04-02T00:00:00"/>
    <d v="2026-04-09T00:00:00"/>
    <d v="2026-04-08T00:00:00"/>
    <n v="656"/>
    <s v="RM-190"/>
    <n v="51"/>
    <s v="Delivered"/>
    <s v="Y"/>
    <s v="N"/>
    <s v="N"/>
    <n v="6"/>
    <n v="0.857516339869281"/>
    <n v="7.774390243902439E-2"/>
    <n v="0"/>
    <n v="0"/>
    <n v="0"/>
  </r>
  <r>
    <s v="PO-1186"/>
    <x v="3"/>
    <s v="Raw Material"/>
    <n v="387"/>
    <d v="2026-05-23T00:00:00"/>
    <d v="2026-06-01T00:00:00"/>
    <d v="2026-06-06T00:00:00"/>
    <n v="382"/>
    <s v="RM-259"/>
    <n v="11"/>
    <s v="Delivered"/>
    <s v="N"/>
    <s v="Y"/>
    <s v="N"/>
    <n v="14"/>
    <n v="0.98708010335917318"/>
    <n v="2.8795811518324606E-2"/>
    <n v="0"/>
    <n v="5"/>
    <n v="2500"/>
  </r>
  <r>
    <s v="PO-1168"/>
    <x v="11"/>
    <s v="Imported"/>
    <n v="659"/>
    <d v="2026-02-19T00:00:00"/>
    <d v="2026-02-26T00:00:00"/>
    <d v="2026-02-24T00:00:00"/>
    <n v="666"/>
    <s v="IM-287"/>
    <n v="3"/>
    <s v="Delivered"/>
    <s v="Y"/>
    <s v="Y"/>
    <s v="Y"/>
    <n v="5"/>
    <n v="1.0106221547799696"/>
    <n v="4.5045045045045045E-3"/>
    <n v="1"/>
    <n v="0"/>
    <n v="0"/>
  </r>
  <r>
    <s v="PO-1220"/>
    <x v="7"/>
    <s v="Imported"/>
    <n v="957"/>
    <d v="2026-05-11T00:00:00"/>
    <d v="2026-05-19T00:00:00"/>
    <d v="2026-05-18T00:00:00"/>
    <n v="971"/>
    <s v="IM-253"/>
    <n v="56"/>
    <s v="Delivered"/>
    <s v="Y"/>
    <s v="Y"/>
    <s v="Y"/>
    <n v="7"/>
    <n v="1.0146290491118077"/>
    <n v="5.7672502574665295E-2"/>
    <n v="1"/>
    <n v="0"/>
    <n v="0"/>
  </r>
  <r>
    <s v="PO-1365"/>
    <x v="5"/>
    <s v="Raw Material"/>
    <n v="882"/>
    <d v="2026-04-09T00:00:00"/>
    <d v="2026-04-14T00:00:00"/>
    <d v="2026-04-19T00:00:00"/>
    <n v="884"/>
    <s v="RM-190"/>
    <n v="4"/>
    <s v="Delivered"/>
    <s v="N"/>
    <s v="Y"/>
    <s v="N"/>
    <n v="10"/>
    <n v="1.0022675736961451"/>
    <n v="4.5248868778280547E-3"/>
    <n v="0"/>
    <n v="5"/>
    <n v="2500"/>
  </r>
  <r>
    <s v="PO-1683"/>
    <x v="8"/>
    <s v="Imported"/>
    <n v="494"/>
    <d v="2026-02-08T00:00:00"/>
    <d v="2026-02-16T00:00:00"/>
    <d v="2026-02-15T00:00:00"/>
    <n v="486"/>
    <s v="IM-111"/>
    <n v="13"/>
    <s v="Delivered"/>
    <s v="Y"/>
    <s v="Y"/>
    <s v="Y"/>
    <n v="7"/>
    <n v="0.98380566801619429"/>
    <n v="2.6748971193415638E-2"/>
    <n v="1"/>
    <n v="0"/>
    <n v="0"/>
  </r>
  <r>
    <s v="PO-1109"/>
    <x v="18"/>
    <s v="Raw Material"/>
    <n v="556"/>
    <d v="2026-02-02T00:00:00"/>
    <d v="2026-02-07T00:00:00"/>
    <d v="2026-02-16T00:00:00"/>
    <n v="551"/>
    <s v="RM-145"/>
    <n v="14"/>
    <s v="Delivered"/>
    <s v="N"/>
    <s v="Y"/>
    <s v="N"/>
    <n v="14"/>
    <n v="0.99100719424460426"/>
    <n v="2.5408348457350273E-2"/>
    <n v="0"/>
    <n v="9"/>
    <n v="4500"/>
  </r>
  <r>
    <s v="PO-1216"/>
    <x v="16"/>
    <s v="Raw Material"/>
    <n v="524"/>
    <d v="2026-05-12T00:00:00"/>
    <d v="2026-05-25T00:00:00"/>
    <d v="2026-05-27T00:00:00"/>
    <n v="522"/>
    <s v="RM-184"/>
    <n v="1"/>
    <s v="Delivered"/>
    <s v="N"/>
    <s v="Y"/>
    <s v="N"/>
    <n v="15"/>
    <n v="0.99618320610687028"/>
    <n v="1.9157088122605363E-3"/>
    <n v="0"/>
    <n v="2"/>
    <n v="1000"/>
  </r>
  <r>
    <s v="PO-1256"/>
    <x v="11"/>
    <s v="Raw Material"/>
    <n v="471"/>
    <d v="2026-03-09T00:00:00"/>
    <d v="2026-03-18T00:00:00"/>
    <d v="2026-03-18T00:00:00"/>
    <n v="472"/>
    <s v="RM-137"/>
    <n v="1"/>
    <s v="Delivered"/>
    <s v="Y"/>
    <s v="Y"/>
    <s v="Y"/>
    <n v="9"/>
    <n v="1.0021231422505308"/>
    <n v="2.1186440677966102E-3"/>
    <n v="1"/>
    <n v="0"/>
    <n v="0"/>
  </r>
  <r>
    <s v="PO-1785"/>
    <x v="9"/>
    <s v="Raw Material"/>
    <n v="961"/>
    <d v="2026-02-10T00:00:00"/>
    <d v="2026-02-25T00:00:00"/>
    <d v="2026-02-25T00:00:00"/>
    <n v="954"/>
    <s v="RM-130"/>
    <n v="66"/>
    <s v="Delivered"/>
    <s v="Y"/>
    <s v="Y"/>
    <s v="Y"/>
    <n v="15"/>
    <n v="0.99271592091571281"/>
    <n v="6.9182389937106917E-2"/>
    <n v="1"/>
    <n v="0"/>
    <n v="0"/>
  </r>
  <r>
    <s v="PO-1412"/>
    <x v="16"/>
    <s v="Packaging"/>
    <n v="994"/>
    <d v="2026-03-26T00:00:00"/>
    <d v="2026-04-02T00:00:00"/>
    <d v="2026-04-05T00:00:00"/>
    <n v="936"/>
    <s v="PK-262"/>
    <n v="14"/>
    <s v="Delivered"/>
    <s v="N"/>
    <s v="N"/>
    <s v="N"/>
    <n v="10"/>
    <n v="0.94164989939637822"/>
    <n v="1.4957264957264958E-2"/>
    <n v="0"/>
    <n v="3"/>
    <n v="1500"/>
  </r>
  <r>
    <s v="PO-1170"/>
    <x v="15"/>
    <s v="Raw Material"/>
    <n v="309"/>
    <d v="2026-06-02T00:00:00"/>
    <d v="2026-06-14T00:00:00"/>
    <d v="2026-06-13T00:00:00"/>
    <n v="307"/>
    <s v="RM-259"/>
    <n v="3"/>
    <s v="Delivered"/>
    <s v="Y"/>
    <s v="Y"/>
    <s v="Y"/>
    <n v="11"/>
    <n v="0.99352750809061485"/>
    <n v="9.7719869706840382E-3"/>
    <n v="1"/>
    <n v="0"/>
    <n v="0"/>
  </r>
  <r>
    <s v="PO-1148"/>
    <x v="13"/>
    <s v="Raw Material"/>
    <n v="995"/>
    <d v="2026-05-18T00:00:00"/>
    <d v="2026-06-02T00:00:00"/>
    <d v="2026-06-04T00:00:00"/>
    <n v="835"/>
    <s v="RM-210"/>
    <n v="4"/>
    <s v="Delivered"/>
    <s v="N"/>
    <s v="N"/>
    <s v="N"/>
    <n v="17"/>
    <n v="0.83919597989949746"/>
    <n v="4.7904191616766467E-3"/>
    <n v="0"/>
    <n v="2"/>
    <n v="1000"/>
  </r>
  <r>
    <s v="PO-1418"/>
    <x v="18"/>
    <s v="Imported"/>
    <n v="531"/>
    <d v="2026-05-29T00:00:00"/>
    <d v="2026-06-06T00:00:00"/>
    <d v="2026-06-05T00:00:00"/>
    <n v="485"/>
    <s v="IM-142"/>
    <n v="25"/>
    <s v="Delivered"/>
    <s v="Y"/>
    <s v="N"/>
    <s v="N"/>
    <n v="7"/>
    <n v="0.91337099811676081"/>
    <n v="5.1546391752577317E-2"/>
    <n v="0"/>
    <n v="0"/>
    <n v="0"/>
  </r>
  <r>
    <s v="PO-1775"/>
    <x v="11"/>
    <s v="Imported"/>
    <n v="201"/>
    <d v="2026-06-02T00:00:00"/>
    <d v="2026-06-17T00:00:00"/>
    <d v="2026-06-25T00:00:00"/>
    <n v="200"/>
    <s v="IM-118"/>
    <n v="1"/>
    <s v="Delivered"/>
    <s v="N"/>
    <s v="Y"/>
    <s v="N"/>
    <n v="23"/>
    <n v="0.99502487562189057"/>
    <n v="5.0000000000000001E-3"/>
    <n v="0"/>
    <n v="8"/>
    <n v="4000"/>
  </r>
  <r>
    <s v="PO-1985"/>
    <x v="8"/>
    <s v="Packaging"/>
    <n v="246"/>
    <d v="2026-04-09T00:00:00"/>
    <d v="2026-04-16T00:00:00"/>
    <d v="2026-04-14T00:00:00"/>
    <n v="250"/>
    <s v="PK-169"/>
    <n v="19"/>
    <s v="Delivered"/>
    <s v="Y"/>
    <s v="Y"/>
    <s v="Y"/>
    <n v="5"/>
    <n v="1.0162601626016261"/>
    <n v="7.5999999999999998E-2"/>
    <n v="1"/>
    <n v="0"/>
    <n v="0"/>
  </r>
  <r>
    <s v="PO-1732"/>
    <x v="5"/>
    <s v="Raw Material"/>
    <n v="212"/>
    <d v="2026-03-22T00:00:00"/>
    <d v="2026-03-27T00:00:00"/>
    <d v="2026-03-24T00:00:00"/>
    <n v="206"/>
    <s v="RM-164"/>
    <n v="1"/>
    <s v="Delivered"/>
    <s v="Y"/>
    <s v="N"/>
    <s v="N"/>
    <n v="2"/>
    <n v="0.97169811320754718"/>
    <n v="4.8543689320388345E-3"/>
    <n v="0"/>
    <n v="0"/>
    <n v="0"/>
  </r>
  <r>
    <s v="PO-1912"/>
    <x v="14"/>
    <s v="Raw Material"/>
    <n v="87"/>
    <d v="2026-01-15T00:00:00"/>
    <d v="2026-01-24T00:00:00"/>
    <d v="2026-02-01T00:00:00"/>
    <n v="86"/>
    <s v="RM-281"/>
    <n v="2"/>
    <s v="Delivered"/>
    <s v="N"/>
    <s v="Y"/>
    <s v="N"/>
    <n v="17"/>
    <n v="0.9885057471264368"/>
    <n v="2.3255813953488372E-2"/>
    <n v="0"/>
    <n v="8"/>
    <n v="4000"/>
  </r>
  <r>
    <s v="PO-1737"/>
    <x v="13"/>
    <s v="Imported"/>
    <n v="226"/>
    <d v="2026-03-14T00:00:00"/>
    <d v="2026-03-20T00:00:00"/>
    <d v="2026-03-25T00:00:00"/>
    <n v="203"/>
    <s v="IM-145"/>
    <n v="10"/>
    <s v="Delivered"/>
    <s v="N"/>
    <s v="N"/>
    <s v="N"/>
    <n v="11"/>
    <n v="0.89823008849557517"/>
    <n v="4.9261083743842367E-2"/>
    <n v="0"/>
    <n v="5"/>
    <n v="2500"/>
  </r>
  <r>
    <s v="PO-1137"/>
    <x v="14"/>
    <s v="Packaging"/>
    <n v="974"/>
    <d v="2026-01-26T00:00:00"/>
    <d v="2026-02-09T00:00:00"/>
    <d v="2026-02-06T00:00:00"/>
    <n v="852"/>
    <s v="PK-157"/>
    <n v="35"/>
    <s v="Delivered"/>
    <s v="Y"/>
    <s v="N"/>
    <s v="N"/>
    <n v="11"/>
    <n v="0.87474332648870634"/>
    <n v="4.1079812206572773E-2"/>
    <n v="0"/>
    <n v="0"/>
    <n v="0"/>
  </r>
  <r>
    <s v="PO-1128"/>
    <x v="18"/>
    <s v="Raw Material"/>
    <n v="350"/>
    <d v="2026-01-28T00:00:00"/>
    <d v="2026-02-03T00:00:00"/>
    <d v="2026-02-02T00:00:00"/>
    <n v="346"/>
    <s v="RM-124"/>
    <n v="19"/>
    <s v="Delivered"/>
    <s v="Y"/>
    <s v="Y"/>
    <s v="Y"/>
    <n v="5"/>
    <n v="0.98857142857142855"/>
    <n v="5.4913294797687862E-2"/>
    <n v="1"/>
    <n v="0"/>
    <n v="0"/>
  </r>
  <r>
    <s v="PO-1624"/>
    <x v="12"/>
    <s v="Raw Material"/>
    <n v="621"/>
    <d v="2026-05-10T00:00:00"/>
    <d v="2026-05-17T00:00:00"/>
    <d v="2026-05-20T00:00:00"/>
    <n v="524"/>
    <s v="RM-132"/>
    <n v="1"/>
    <s v="Delivered"/>
    <s v="N"/>
    <s v="N"/>
    <s v="N"/>
    <n v="10"/>
    <n v="0.8438003220611916"/>
    <n v="1.9083969465648854E-3"/>
    <n v="0"/>
    <n v="3"/>
    <n v="1500"/>
  </r>
  <r>
    <s v="PO-1718"/>
    <x v="17"/>
    <s v="Packaging"/>
    <n v="974"/>
    <d v="2026-04-02T00:00:00"/>
    <d v="2026-04-10T00:00:00"/>
    <d v="2026-04-10T00:00:00"/>
    <n v="960"/>
    <s v="PK-248"/>
    <n v="13"/>
    <s v="Delivered"/>
    <s v="Y"/>
    <s v="Y"/>
    <s v="Y"/>
    <n v="8"/>
    <n v="0.98562628336755642"/>
    <n v="1.3541666666666667E-2"/>
    <n v="1"/>
    <n v="0"/>
    <n v="0"/>
  </r>
  <r>
    <s v="PO-1756"/>
    <x v="15"/>
    <s v="Packaging"/>
    <n v="190"/>
    <d v="2026-05-04T00:00:00"/>
    <d v="2026-05-11T00:00:00"/>
    <d v="2026-05-15T00:00:00"/>
    <n v="186"/>
    <s v="PK-156"/>
    <n v="1"/>
    <s v="Delivered"/>
    <s v="N"/>
    <s v="N"/>
    <s v="N"/>
    <n v="11"/>
    <n v="0.97894736842105268"/>
    <n v="5.3763440860215058E-3"/>
    <n v="0"/>
    <n v="4"/>
    <n v="2000"/>
  </r>
  <r>
    <s v="PO-1587"/>
    <x v="14"/>
    <s v="Raw Material"/>
    <n v="375"/>
    <d v="2026-04-22T00:00:00"/>
    <d v="2026-05-05T00:00:00"/>
    <d v="2026-05-11T00:00:00"/>
    <n v="372"/>
    <s v="RM-155"/>
    <n v="1"/>
    <s v="Delivered"/>
    <s v="N"/>
    <s v="Y"/>
    <s v="N"/>
    <n v="19"/>
    <n v="0.99199999999999999"/>
    <n v="2.6881720430107529E-3"/>
    <n v="0"/>
    <n v="6"/>
    <n v="3000"/>
  </r>
  <r>
    <s v="PO-1947"/>
    <x v="15"/>
    <s v="Raw Material"/>
    <n v="133"/>
    <d v="2026-02-01T00:00:00"/>
    <d v="2026-02-16T00:00:00"/>
    <d v="2026-02-16T00:00:00"/>
    <n v="134"/>
    <s v="RM-177"/>
    <n v="1"/>
    <s v="Delivered"/>
    <s v="Y"/>
    <s v="Y"/>
    <s v="Y"/>
    <n v="15"/>
    <n v="1.0075187969924813"/>
    <n v="7.462686567164179E-3"/>
    <n v="1"/>
    <n v="0"/>
    <n v="0"/>
  </r>
  <r>
    <s v="PO-1874"/>
    <x v="4"/>
    <s v="Imported"/>
    <n v="705"/>
    <d v="2026-01-21T00:00:00"/>
    <d v="2026-02-03T00:00:00"/>
    <d v="2026-02-03T00:00:00"/>
    <n v="706"/>
    <s v="IM-284"/>
    <n v="10"/>
    <s v="Delivered"/>
    <s v="Y"/>
    <s v="Y"/>
    <s v="Y"/>
    <n v="13"/>
    <n v="1.0014184397163119"/>
    <n v="1.4164305949008499E-2"/>
    <n v="1"/>
    <n v="0"/>
    <n v="0"/>
  </r>
  <r>
    <s v="PO-1232"/>
    <x v="4"/>
    <s v="Raw Material"/>
    <n v="381"/>
    <d v="2026-05-01T00:00:00"/>
    <d v="2026-05-10T00:00:00"/>
    <d v="2026-05-10T00:00:00"/>
    <n v="385"/>
    <s v="RM-156"/>
    <n v="10"/>
    <s v="Delivered"/>
    <s v="Y"/>
    <s v="Y"/>
    <s v="Y"/>
    <n v="9"/>
    <n v="1.0104986876640421"/>
    <n v="2.5974025974025976E-2"/>
    <n v="1"/>
    <n v="0"/>
    <n v="0"/>
  </r>
  <r>
    <s v="PO-1859"/>
    <x v="9"/>
    <s v="Packaging"/>
    <n v="319"/>
    <d v="2026-01-28T00:00:00"/>
    <d v="2026-02-08T00:00:00"/>
    <d v="2026-02-05T00:00:00"/>
    <n v="314"/>
    <s v="PK-297"/>
    <n v="20"/>
    <s v="Delivered"/>
    <s v="Y"/>
    <s v="Y"/>
    <s v="Y"/>
    <n v="8"/>
    <n v="0.98432601880877746"/>
    <n v="6.3694267515923567E-2"/>
    <n v="1"/>
    <n v="0"/>
    <n v="0"/>
  </r>
  <r>
    <s v="PO-1677"/>
    <x v="6"/>
    <s v="Packaging"/>
    <n v="864"/>
    <d v="2026-02-13T00:00:00"/>
    <d v="2026-02-22T00:00:00"/>
    <d v="2026-02-19T00:00:00"/>
    <n v="736"/>
    <s v="PK-132"/>
    <n v="42"/>
    <s v="Delivered"/>
    <s v="Y"/>
    <s v="N"/>
    <s v="N"/>
    <n v="6"/>
    <n v="0.85185185185185186"/>
    <n v="5.7065217391304345E-2"/>
    <n v="0"/>
    <n v="0"/>
    <n v="0"/>
  </r>
  <r>
    <s v="PO-1972"/>
    <x v="9"/>
    <s v="Packaging"/>
    <n v="878"/>
    <d v="2026-03-19T00:00:00"/>
    <d v="2026-04-03T00:00:00"/>
    <d v="2026-04-06T00:00:00"/>
    <n v="889"/>
    <s v="PK-219"/>
    <n v="37"/>
    <s v="Delivered"/>
    <s v="N"/>
    <s v="Y"/>
    <s v="N"/>
    <n v="18"/>
    <n v="1.0125284738041003"/>
    <n v="4.1619797525309338E-2"/>
    <n v="0"/>
    <n v="3"/>
    <n v="1500"/>
  </r>
  <r>
    <s v="PO-1362"/>
    <x v="17"/>
    <s v="Packaging"/>
    <n v="848"/>
    <d v="2026-02-01T00:00:00"/>
    <d v="2026-02-13T00:00:00"/>
    <d v="2026-02-11T00:00:00"/>
    <n v="805"/>
    <s v="PK-183"/>
    <n v="8"/>
    <s v="Delivered"/>
    <s v="Y"/>
    <s v="N"/>
    <s v="N"/>
    <n v="10"/>
    <n v="0.9492924528301887"/>
    <n v="9.9378881987577643E-3"/>
    <n v="0"/>
    <n v="0"/>
    <n v="0"/>
  </r>
  <r>
    <s v="PO-1894"/>
    <x v="13"/>
    <s v="Raw Material"/>
    <n v="539"/>
    <d v="2026-03-19T00:00:00"/>
    <d v="2026-03-30T00:00:00"/>
    <d v="2026-04-08T00:00:00"/>
    <n v="536"/>
    <s v="RM-207"/>
    <n v="5"/>
    <s v="Delivered"/>
    <s v="N"/>
    <s v="Y"/>
    <s v="N"/>
    <n v="20"/>
    <n v="0.99443413729128016"/>
    <n v="9.3283582089552231E-3"/>
    <n v="0"/>
    <n v="9"/>
    <n v="4500"/>
  </r>
  <r>
    <s v="PO-1967"/>
    <x v="3"/>
    <s v="Packaging"/>
    <n v="695"/>
    <d v="2026-01-12T00:00:00"/>
    <d v="2026-01-24T00:00:00"/>
    <d v="2026-01-28T00:00:00"/>
    <n v="658"/>
    <s v="PK-139"/>
    <n v="55"/>
    <s v="Delivered"/>
    <s v="N"/>
    <s v="N"/>
    <s v="N"/>
    <n v="16"/>
    <n v="0.94676258992805751"/>
    <n v="8.3586626139817627E-2"/>
    <n v="0"/>
    <n v="4"/>
    <n v="2000"/>
  </r>
  <r>
    <s v="PO-1134"/>
    <x v="12"/>
    <s v="Raw Material"/>
    <n v="745"/>
    <d v="2026-03-22T00:00:00"/>
    <d v="2026-03-30T00:00:00"/>
    <d v="2026-03-28T00:00:00"/>
    <n v="736"/>
    <s v="RM-260"/>
    <n v="14"/>
    <s v="Delivered"/>
    <s v="Y"/>
    <s v="Y"/>
    <s v="Y"/>
    <n v="6"/>
    <n v="0.98791946308724832"/>
    <n v="1.9021739130434784E-2"/>
    <n v="1"/>
    <n v="0"/>
    <n v="0"/>
  </r>
  <r>
    <s v="PO-1326"/>
    <x v="12"/>
    <s v="Packaging"/>
    <n v="466"/>
    <d v="2026-03-16T00:00:00"/>
    <d v="2026-03-31T00:00:00"/>
    <d v="2026-04-09T00:00:00"/>
    <n v="468"/>
    <s v="PK-268"/>
    <n v="7"/>
    <s v="Delivered"/>
    <s v="N"/>
    <s v="Y"/>
    <s v="N"/>
    <n v="24"/>
    <n v="1.0042918454935623"/>
    <n v="1.4957264957264958E-2"/>
    <n v="0"/>
    <n v="9"/>
    <n v="4500"/>
  </r>
  <r>
    <s v="PO-1015"/>
    <x v="12"/>
    <s v="Raw Material"/>
    <n v="483"/>
    <d v="2026-02-21T00:00:00"/>
    <d v="2026-02-28T00:00:00"/>
    <d v="2026-02-28T00:00:00"/>
    <n v="490"/>
    <s v="RM-246"/>
    <n v="13"/>
    <s v="Delivered"/>
    <s v="Y"/>
    <s v="Y"/>
    <s v="Y"/>
    <n v="7"/>
    <n v="1.0144927536231885"/>
    <n v="2.6530612244897958E-2"/>
    <n v="1"/>
    <n v="0"/>
    <n v="0"/>
  </r>
  <r>
    <s v="PO-1451"/>
    <x v="19"/>
    <s v="Raw Material"/>
    <n v="689"/>
    <d v="2026-01-15T00:00:00"/>
    <d v="2026-01-25T00:00:00"/>
    <d v="2026-01-25T00:00:00"/>
    <n v="692"/>
    <s v="RM-141"/>
    <n v="25"/>
    <s v="Delivered"/>
    <s v="Y"/>
    <s v="Y"/>
    <s v="Y"/>
    <n v="10"/>
    <n v="1.004354136429608"/>
    <n v="3.6127167630057806E-2"/>
    <n v="1"/>
    <n v="0"/>
    <n v="0"/>
  </r>
  <r>
    <s v="PO-1159"/>
    <x v="11"/>
    <s v="Packaging"/>
    <n v="443"/>
    <d v="2026-02-19T00:00:00"/>
    <d v="2026-02-25T00:00:00"/>
    <d v="2026-02-22T00:00:00"/>
    <n v="442"/>
    <s v="PK-169"/>
    <n v="6"/>
    <s v="Delivered"/>
    <s v="Y"/>
    <s v="Y"/>
    <s v="Y"/>
    <n v="3"/>
    <n v="0.99774266365688491"/>
    <n v="1.3574660633484163E-2"/>
    <n v="1"/>
    <n v="0"/>
    <n v="0"/>
  </r>
  <r>
    <s v="PO-1817"/>
    <x v="8"/>
    <s v="Imported"/>
    <n v="490"/>
    <d v="2026-05-05T00:00:00"/>
    <d v="2026-05-10T00:00:00"/>
    <d v="2026-05-08T00:00:00"/>
    <n v="496"/>
    <s v="IM-264"/>
    <n v="1"/>
    <s v="Delivered"/>
    <s v="Y"/>
    <s v="Y"/>
    <s v="Y"/>
    <n v="3"/>
    <n v="1.0122448979591836"/>
    <n v="2.0161290322580645E-3"/>
    <n v="1"/>
    <n v="0"/>
    <n v="0"/>
  </r>
  <r>
    <s v="PO-1796"/>
    <x v="6"/>
    <s v="Packaging"/>
    <n v="759"/>
    <d v="2026-03-11T00:00:00"/>
    <d v="2026-03-16T00:00:00"/>
    <d v="2026-03-13T00:00:00"/>
    <n v="759"/>
    <s v="PK-270"/>
    <n v="6"/>
    <s v="Delivered"/>
    <s v="Y"/>
    <s v="Y"/>
    <s v="Y"/>
    <n v="2"/>
    <n v="1"/>
    <n v="7.9051383399209481E-3"/>
    <n v="1"/>
    <n v="0"/>
    <n v="0"/>
  </r>
  <r>
    <s v="PO-1500"/>
    <x v="10"/>
    <s v="Packaging"/>
    <n v="451"/>
    <d v="2026-02-21T00:00:00"/>
    <d v="2026-02-28T00:00:00"/>
    <d v="2026-02-27T00:00:00"/>
    <n v="454"/>
    <s v="PK-232"/>
    <n v="31"/>
    <s v="Delivered"/>
    <s v="Y"/>
    <s v="Y"/>
    <s v="Y"/>
    <n v="6"/>
    <n v="1.0066518847006651"/>
    <n v="6.8281938325991193E-2"/>
    <n v="1"/>
    <n v="0"/>
    <n v="0"/>
  </r>
  <r>
    <s v="PO-1048"/>
    <x v="3"/>
    <s v="Raw Material"/>
    <n v="529"/>
    <d v="2026-02-20T00:00:00"/>
    <d v="2026-03-05T00:00:00"/>
    <d v="2026-03-07T00:00:00"/>
    <n v="522"/>
    <s v="RM-296"/>
    <n v="19"/>
    <s v="Delivered"/>
    <s v="N"/>
    <s v="Y"/>
    <s v="N"/>
    <n v="15"/>
    <n v="0.98676748582230622"/>
    <n v="3.6398467432950193E-2"/>
    <n v="0"/>
    <n v="2"/>
    <n v="1000"/>
  </r>
  <r>
    <s v="PO-1074"/>
    <x v="0"/>
    <s v="Raw Material"/>
    <n v="716"/>
    <d v="2026-02-05T00:00:00"/>
    <d v="2026-02-12T00:00:00"/>
    <d v="2026-02-11T00:00:00"/>
    <n v="718"/>
    <s v="RM-113"/>
    <n v="11"/>
    <s v="Delivered"/>
    <s v="Y"/>
    <s v="Y"/>
    <s v="Y"/>
    <n v="6"/>
    <n v="1.0027932960893855"/>
    <n v="1.532033426183844E-2"/>
    <n v="1"/>
    <n v="0"/>
    <n v="0"/>
  </r>
  <r>
    <s v="PO-1253"/>
    <x v="18"/>
    <s v="Raw Material"/>
    <n v="879"/>
    <d v="2026-05-06T00:00:00"/>
    <d v="2026-05-12T00:00:00"/>
    <d v="2026-05-12T00:00:00"/>
    <n v="888"/>
    <s v="RM-172"/>
    <n v="6"/>
    <s v="Delivered"/>
    <s v="Y"/>
    <s v="Y"/>
    <s v="Y"/>
    <n v="6"/>
    <n v="1.0102389078498293"/>
    <n v="6.7567567567567571E-3"/>
    <n v="1"/>
    <n v="0"/>
    <n v="0"/>
  </r>
  <r>
    <s v="PO-1499"/>
    <x v="14"/>
    <s v="Imported"/>
    <n v="202"/>
    <d v="2026-04-01T00:00:00"/>
    <d v="2026-04-14T00:00:00"/>
    <d v="2026-04-11T00:00:00"/>
    <n v="201"/>
    <s v="IM-271"/>
    <n v="7"/>
    <s v="Delivered"/>
    <s v="Y"/>
    <s v="Y"/>
    <s v="Y"/>
    <n v="10"/>
    <n v="0.99504950495049505"/>
    <n v="3.482587064676617E-2"/>
    <n v="1"/>
    <n v="0"/>
    <n v="0"/>
  </r>
  <r>
    <s v="PO-1613"/>
    <x v="8"/>
    <s v="Raw Material"/>
    <n v="561"/>
    <d v="2026-05-22T00:00:00"/>
    <d v="2026-06-06T00:00:00"/>
    <d v="2026-06-08T00:00:00"/>
    <n v="555"/>
    <s v="RM-240"/>
    <n v="49"/>
    <s v="Delivered"/>
    <s v="N"/>
    <s v="Y"/>
    <s v="N"/>
    <n v="17"/>
    <n v="0.98930481283422456"/>
    <n v="8.8288288288288289E-2"/>
    <n v="0"/>
    <n v="2"/>
    <n v="1000"/>
  </r>
  <r>
    <s v="PO-1515"/>
    <x v="4"/>
    <s v="Packaging"/>
    <n v="994"/>
    <d v="2026-03-01T00:00:00"/>
    <d v="2026-03-12T00:00:00"/>
    <d v="2026-03-10T00:00:00"/>
    <n v="982"/>
    <s v="PK-121"/>
    <n v="27"/>
    <s v="Delivered"/>
    <s v="Y"/>
    <s v="Y"/>
    <s v="Y"/>
    <n v="9"/>
    <n v="0.98792756539235416"/>
    <n v="2.7494908350305498E-2"/>
    <n v="1"/>
    <n v="0"/>
    <n v="0"/>
  </r>
  <r>
    <s v="PO-1598"/>
    <x v="18"/>
    <s v="Packaging"/>
    <n v="176"/>
    <d v="2026-04-30T00:00:00"/>
    <d v="2026-05-15T00:00:00"/>
    <m/>
    <m/>
    <s v="PK-128"/>
    <m/>
    <s v="Pending"/>
    <s v="N/A"/>
    <s v="N/A"/>
    <s v="N/A"/>
    <s v="N/A"/>
    <s v="N/A"/>
    <s v="N/A"/>
    <s v=""/>
    <s v="N/A"/>
    <n v="0"/>
  </r>
  <r>
    <s v="PO-1595"/>
    <x v="3"/>
    <s v="Raw Material"/>
    <n v="242"/>
    <d v="2026-02-27T00:00:00"/>
    <d v="2026-03-09T00:00:00"/>
    <d v="2026-03-07T00:00:00"/>
    <n v="242"/>
    <s v="RM-115"/>
    <n v="2"/>
    <s v="Delivered"/>
    <s v="Y"/>
    <s v="Y"/>
    <s v="Y"/>
    <n v="8"/>
    <n v="1"/>
    <n v="8.2644628099173556E-3"/>
    <n v="1"/>
    <n v="0"/>
    <n v="0"/>
  </r>
  <r>
    <s v="PO-1716"/>
    <x v="17"/>
    <s v="Packaging"/>
    <n v="641"/>
    <d v="2026-02-20T00:00:00"/>
    <d v="2026-03-05T00:00:00"/>
    <d v="2026-03-04T00:00:00"/>
    <n v="636"/>
    <s v="PK-265"/>
    <n v="4"/>
    <s v="Delivered"/>
    <s v="Y"/>
    <s v="Y"/>
    <s v="Y"/>
    <n v="12"/>
    <n v="0.99219968798751945"/>
    <n v="6.2893081761006293E-3"/>
    <n v="1"/>
    <n v="0"/>
    <n v="0"/>
  </r>
  <r>
    <s v="PO-1623"/>
    <x v="2"/>
    <s v="Raw Material"/>
    <n v="884"/>
    <d v="2026-04-11T00:00:00"/>
    <d v="2026-04-19T00:00:00"/>
    <d v="2026-04-21T00:00:00"/>
    <n v="871"/>
    <s v="RM-218"/>
    <n v="49"/>
    <s v="Delivered"/>
    <s v="N"/>
    <s v="Y"/>
    <s v="N"/>
    <n v="10"/>
    <n v="0.98529411764705888"/>
    <n v="5.6257175660160738E-2"/>
    <n v="0"/>
    <n v="2"/>
    <n v="1000"/>
  </r>
  <r>
    <s v="PO-1781"/>
    <x v="10"/>
    <s v="Imported"/>
    <n v="940"/>
    <d v="2026-02-16T00:00:00"/>
    <d v="2026-02-21T00:00:00"/>
    <d v="2026-02-19T00:00:00"/>
    <n v="934"/>
    <s v="IM-117"/>
    <n v="43"/>
    <s v="Delivered"/>
    <s v="Y"/>
    <s v="Y"/>
    <s v="Y"/>
    <n v="3"/>
    <n v="0.99361702127659579"/>
    <n v="4.6038543897216275E-2"/>
    <n v="1"/>
    <n v="0"/>
    <n v="0"/>
  </r>
  <r>
    <s v="PO-1885"/>
    <x v="4"/>
    <s v="Raw Material"/>
    <n v="473"/>
    <d v="2026-04-07T00:00:00"/>
    <d v="2026-04-16T00:00:00"/>
    <d v="2026-04-13T00:00:00"/>
    <n v="467"/>
    <s v="RM-182"/>
    <n v="5"/>
    <s v="Delivered"/>
    <s v="Y"/>
    <s v="Y"/>
    <s v="Y"/>
    <n v="6"/>
    <n v="0.98731501057082449"/>
    <n v="1.0706638115631691E-2"/>
    <n v="1"/>
    <n v="0"/>
    <n v="0"/>
  </r>
  <r>
    <s v="PO-1054"/>
    <x v="16"/>
    <s v="Imported"/>
    <n v="177"/>
    <d v="2026-02-11T00:00:00"/>
    <d v="2026-02-17T00:00:00"/>
    <d v="2026-02-16T00:00:00"/>
    <n v="180"/>
    <s v="IM-291"/>
    <n v="1"/>
    <s v="Delivered"/>
    <s v="Y"/>
    <s v="Y"/>
    <s v="Y"/>
    <n v="5"/>
    <n v="1.0169491525423728"/>
    <n v="5.5555555555555558E-3"/>
    <n v="1"/>
    <n v="0"/>
    <n v="0"/>
  </r>
  <r>
    <s v="PO-1804"/>
    <x v="18"/>
    <s v="Raw Material"/>
    <n v="179"/>
    <d v="2026-04-03T00:00:00"/>
    <d v="2026-04-08T00:00:00"/>
    <d v="2026-04-06T00:00:00"/>
    <n v="179"/>
    <s v="RM-128"/>
    <n v="9"/>
    <s v="Delivered"/>
    <s v="Y"/>
    <s v="Y"/>
    <s v="Y"/>
    <n v="3"/>
    <n v="1"/>
    <n v="5.027932960893855E-2"/>
    <n v="1"/>
    <n v="0"/>
    <n v="0"/>
  </r>
  <r>
    <s v="PO-1097"/>
    <x v="2"/>
    <s v="Raw Material"/>
    <n v="708"/>
    <d v="2026-05-06T00:00:00"/>
    <d v="2026-05-17T00:00:00"/>
    <d v="2026-05-22T00:00:00"/>
    <n v="701"/>
    <s v="RM-264"/>
    <n v="29"/>
    <s v="Delivered"/>
    <s v="N"/>
    <s v="Y"/>
    <s v="N"/>
    <n v="16"/>
    <n v="0.99011299435028244"/>
    <n v="4.136947218259629E-2"/>
    <n v="0"/>
    <n v="5"/>
    <n v="2500"/>
  </r>
  <r>
    <s v="PO-1294"/>
    <x v="19"/>
    <s v="Raw Material"/>
    <n v="899"/>
    <d v="2026-01-09T00:00:00"/>
    <d v="2026-01-17T00:00:00"/>
    <d v="2026-01-25T00:00:00"/>
    <n v="915"/>
    <s v="RM-213"/>
    <n v="26"/>
    <s v="Delivered"/>
    <s v="N"/>
    <s v="Y"/>
    <s v="N"/>
    <n v="16"/>
    <n v="1.0177975528364849"/>
    <n v="2.8415300546448089E-2"/>
    <n v="0"/>
    <n v="8"/>
    <n v="4000"/>
  </r>
  <r>
    <s v="PO-1242"/>
    <x v="12"/>
    <s v="Packaging"/>
    <n v="744"/>
    <d v="2026-01-10T00:00:00"/>
    <d v="2026-01-20T00:00:00"/>
    <m/>
    <m/>
    <s v="PK-186"/>
    <m/>
    <s v="Pending"/>
    <s v="N/A"/>
    <s v="N/A"/>
    <s v="N/A"/>
    <s v="N/A"/>
    <s v="N/A"/>
    <s v="N/A"/>
    <s v=""/>
    <s v="N/A"/>
    <n v="0"/>
  </r>
  <r>
    <s v="PO-1284"/>
    <x v="2"/>
    <s v="Packaging"/>
    <n v="252"/>
    <d v="2026-04-14T00:00:00"/>
    <d v="2026-04-25T00:00:00"/>
    <d v="2026-05-04T00:00:00"/>
    <n v="230"/>
    <s v="PK-283"/>
    <n v="10"/>
    <s v="Delivered"/>
    <s v="N"/>
    <s v="N"/>
    <s v="N"/>
    <n v="20"/>
    <n v="0.91269841269841268"/>
    <n v="4.3478260869565216E-2"/>
    <n v="0"/>
    <n v="9"/>
    <n v="4500"/>
  </r>
  <r>
    <s v="PO-1498"/>
    <x v="6"/>
    <s v="Packaging"/>
    <n v="787"/>
    <d v="2026-03-01T00:00:00"/>
    <d v="2026-03-11T00:00:00"/>
    <d v="2026-03-10T00:00:00"/>
    <n v="637"/>
    <s v="PK-299"/>
    <n v="35"/>
    <s v="Delivered"/>
    <s v="Y"/>
    <s v="N"/>
    <s v="N"/>
    <n v="9"/>
    <n v="0.80940279542566707"/>
    <n v="5.4945054945054944E-2"/>
    <n v="0"/>
    <n v="0"/>
    <n v="0"/>
  </r>
  <r>
    <s v="PO-1127"/>
    <x v="14"/>
    <s v="Imported"/>
    <n v="532"/>
    <d v="2026-01-10T00:00:00"/>
    <d v="2026-01-17T00:00:00"/>
    <d v="2026-01-14T00:00:00"/>
    <n v="537"/>
    <s v="IM-183"/>
    <n v="23"/>
    <s v="Delivered"/>
    <s v="Y"/>
    <s v="Y"/>
    <s v="Y"/>
    <n v="4"/>
    <n v="1.0093984962406015"/>
    <n v="4.2830540037243951E-2"/>
    <n v="1"/>
    <n v="0"/>
    <n v="0"/>
  </r>
  <r>
    <s v="PO-1454"/>
    <x v="17"/>
    <s v="Packaging"/>
    <n v="445"/>
    <d v="2026-02-22T00:00:00"/>
    <d v="2026-03-05T00:00:00"/>
    <d v="2026-03-05T00:00:00"/>
    <n v="441"/>
    <s v="PK-174"/>
    <n v="2"/>
    <s v="Delivered"/>
    <s v="Y"/>
    <s v="Y"/>
    <s v="Y"/>
    <n v="11"/>
    <n v="0.99101123595505614"/>
    <n v="4.5351473922902496E-3"/>
    <n v="1"/>
    <n v="0"/>
    <n v="0"/>
  </r>
  <r>
    <s v="PO-1485"/>
    <x v="16"/>
    <s v="Raw Material"/>
    <n v="927"/>
    <d v="2026-05-31T00:00:00"/>
    <d v="2026-06-05T00:00:00"/>
    <d v="2026-06-12T00:00:00"/>
    <n v="810"/>
    <s v="RM-141"/>
    <n v="9"/>
    <s v="Delivered"/>
    <s v="N"/>
    <s v="N"/>
    <s v="N"/>
    <n v="12"/>
    <n v="0.87378640776699024"/>
    <n v="1.1111111111111112E-2"/>
    <n v="0"/>
    <n v="7"/>
    <n v="3500"/>
  </r>
  <r>
    <s v="PO-1336"/>
    <x v="19"/>
    <s v="Raw Material"/>
    <n v="967"/>
    <d v="2026-03-10T00:00:00"/>
    <d v="2026-03-21T00:00:00"/>
    <d v="2026-03-21T00:00:00"/>
    <n v="835"/>
    <s v="RM-201"/>
    <n v="42"/>
    <s v="Delivered"/>
    <s v="Y"/>
    <s v="N"/>
    <s v="N"/>
    <n v="11"/>
    <n v="0.86349534643226478"/>
    <n v="5.0299401197604787E-2"/>
    <n v="0"/>
    <n v="0"/>
    <n v="0"/>
  </r>
  <r>
    <s v="PO-1842"/>
    <x v="4"/>
    <s v="Imported"/>
    <n v="476"/>
    <d v="2026-02-19T00:00:00"/>
    <d v="2026-03-01T00:00:00"/>
    <d v="2026-03-02T00:00:00"/>
    <n v="402"/>
    <s v="IM-273"/>
    <n v="13"/>
    <s v="Delivered"/>
    <s v="N"/>
    <s v="N"/>
    <s v="N"/>
    <n v="11"/>
    <n v="0.84453781512605042"/>
    <n v="3.2338308457711441E-2"/>
    <n v="0"/>
    <n v="1"/>
    <n v="500"/>
  </r>
  <r>
    <s v="PO-1726"/>
    <x v="9"/>
    <s v="Imported"/>
    <n v="255"/>
    <d v="2026-04-02T00:00:00"/>
    <d v="2026-04-08T00:00:00"/>
    <d v="2026-04-11T00:00:00"/>
    <n v="256"/>
    <s v="IM-245"/>
    <n v="16"/>
    <s v="Delivered"/>
    <s v="N"/>
    <s v="Y"/>
    <s v="N"/>
    <n v="9"/>
    <n v="1.003921568627451"/>
    <n v="6.25E-2"/>
    <n v="0"/>
    <n v="3"/>
    <n v="1500"/>
  </r>
  <r>
    <s v="PO-1880"/>
    <x v="15"/>
    <s v="Raw Material"/>
    <n v="490"/>
    <d v="2026-04-07T00:00:00"/>
    <d v="2026-04-17T00:00:00"/>
    <d v="2026-04-20T00:00:00"/>
    <n v="438"/>
    <s v="RM-108"/>
    <n v="8"/>
    <s v="Delivered"/>
    <s v="N"/>
    <s v="N"/>
    <s v="N"/>
    <n v="13"/>
    <n v="0.89387755102040811"/>
    <n v="1.8264840182648401E-2"/>
    <n v="0"/>
    <n v="3"/>
    <n v="1500"/>
  </r>
  <r>
    <s v="PO-1484"/>
    <x v="18"/>
    <s v="Imported"/>
    <n v="561"/>
    <d v="2026-05-10T00:00:00"/>
    <d v="2026-05-25T00:00:00"/>
    <d v="2026-05-23T00:00:00"/>
    <n v="568"/>
    <s v="IM-252"/>
    <n v="22"/>
    <s v="Delivered"/>
    <s v="Y"/>
    <s v="Y"/>
    <s v="Y"/>
    <n v="13"/>
    <n v="1.0124777183600713"/>
    <n v="3.873239436619718E-2"/>
    <n v="1"/>
    <n v="0"/>
    <n v="0"/>
  </r>
  <r>
    <s v="PO-1080"/>
    <x v="4"/>
    <s v="Raw Material"/>
    <n v="220"/>
    <d v="2026-05-24T00:00:00"/>
    <d v="2026-06-07T00:00:00"/>
    <d v="2026-06-05T00:00:00"/>
    <n v="216"/>
    <s v="RM-206"/>
    <n v="6"/>
    <s v="Delivered"/>
    <s v="Y"/>
    <s v="Y"/>
    <s v="Y"/>
    <n v="12"/>
    <n v="0.98181818181818181"/>
    <n v="2.7777777777777776E-2"/>
    <n v="1"/>
    <n v="0"/>
    <n v="0"/>
  </r>
  <r>
    <s v="PO-1158"/>
    <x v="0"/>
    <s v="Packaging"/>
    <n v="744"/>
    <d v="2026-05-01T00:00:00"/>
    <d v="2026-05-15T00:00:00"/>
    <d v="2026-05-13T00:00:00"/>
    <n v="736"/>
    <s v="PK-297"/>
    <n v="15"/>
    <s v="Delivered"/>
    <s v="Y"/>
    <s v="Y"/>
    <s v="Y"/>
    <n v="12"/>
    <n v="0.989247311827957"/>
    <n v="2.0380434782608696E-2"/>
    <n v="1"/>
    <n v="0"/>
    <n v="0"/>
  </r>
  <r>
    <s v="PO-1463"/>
    <x v="3"/>
    <s v="Packaging"/>
    <n v="112"/>
    <d v="2026-02-03T00:00:00"/>
    <d v="2026-02-16T00:00:00"/>
    <d v="2026-02-22T00:00:00"/>
    <n v="111"/>
    <s v="PK-200"/>
    <n v="9"/>
    <s v="Delivered"/>
    <s v="N"/>
    <s v="Y"/>
    <s v="N"/>
    <n v="19"/>
    <n v="0.9910714285714286"/>
    <n v="8.1081081081081086E-2"/>
    <n v="0"/>
    <n v="6"/>
    <n v="3000"/>
  </r>
  <r>
    <s v="PO-1619"/>
    <x v="17"/>
    <s v="Raw Material"/>
    <n v="673"/>
    <d v="2026-05-07T00:00:00"/>
    <d v="2026-05-16T00:00:00"/>
    <d v="2026-05-16T00:00:00"/>
    <n v="665"/>
    <s v="RM-140"/>
    <n v="2"/>
    <s v="Delivered"/>
    <s v="Y"/>
    <s v="Y"/>
    <s v="Y"/>
    <n v="9"/>
    <n v="0.98811292719167909"/>
    <n v="3.0075187969924814E-3"/>
    <n v="1"/>
    <n v="0"/>
    <n v="0"/>
  </r>
  <r>
    <s v="PO-1259"/>
    <x v="8"/>
    <s v="Imported"/>
    <n v="510"/>
    <d v="2026-02-02T00:00:00"/>
    <d v="2026-02-17T00:00:00"/>
    <d v="2026-02-18T00:00:00"/>
    <n v="507"/>
    <s v="IM-212"/>
    <n v="27"/>
    <s v="Delivered"/>
    <s v="N"/>
    <s v="Y"/>
    <s v="N"/>
    <n v="16"/>
    <n v="0.99411764705882355"/>
    <n v="5.3254437869822487E-2"/>
    <n v="0"/>
    <n v="1"/>
    <n v="500"/>
  </r>
  <r>
    <s v="PO-1843"/>
    <x v="5"/>
    <s v="Packaging"/>
    <n v="533"/>
    <d v="2026-02-01T00:00:00"/>
    <d v="2026-02-11T00:00:00"/>
    <d v="2026-02-18T00:00:00"/>
    <n v="430"/>
    <s v="PK-151"/>
    <n v="1"/>
    <s v="Delivered"/>
    <s v="N"/>
    <s v="N"/>
    <s v="N"/>
    <n v="17"/>
    <n v="0.80675422138836772"/>
    <n v="2.3255813953488372E-3"/>
    <n v="0"/>
    <n v="7"/>
    <n v="3500"/>
  </r>
  <r>
    <s v="PO-1890"/>
    <x v="6"/>
    <s v="Raw Material"/>
    <n v="926"/>
    <d v="2026-03-04T00:00:00"/>
    <d v="2026-03-19T00:00:00"/>
    <d v="2026-03-17T00:00:00"/>
    <n v="790"/>
    <s v="RM-124"/>
    <n v="32"/>
    <s v="Delivered"/>
    <s v="Y"/>
    <s v="N"/>
    <s v="N"/>
    <n v="13"/>
    <n v="0.85313174946004322"/>
    <n v="4.0506329113924051E-2"/>
    <n v="0"/>
    <n v="0"/>
    <n v="0"/>
  </r>
  <r>
    <s v="PO-1674"/>
    <x v="16"/>
    <s v="Raw Material"/>
    <n v="831"/>
    <d v="2026-05-07T00:00:00"/>
    <d v="2026-05-12T00:00:00"/>
    <d v="2026-05-18T00:00:00"/>
    <n v="803"/>
    <s v="unknown_SKU"/>
    <n v="12"/>
    <s v="Delivered"/>
    <s v="N"/>
    <s v="N"/>
    <s v="N"/>
    <n v="11"/>
    <n v="0.96630565583634176"/>
    <n v="1.4943960149439602E-2"/>
    <n v="0"/>
    <n v="6"/>
    <n v="3000"/>
  </r>
  <r>
    <s v="PO-1467"/>
    <x v="12"/>
    <s v="Raw Material"/>
    <n v="559"/>
    <d v="2026-02-15T00:00:00"/>
    <d v="2026-02-24T00:00:00"/>
    <d v="2026-02-23T00:00:00"/>
    <n v="550"/>
    <s v="RM-249"/>
    <n v="7"/>
    <s v="Delivered"/>
    <s v="Y"/>
    <s v="Y"/>
    <s v="Y"/>
    <n v="8"/>
    <n v="0.98389982110912344"/>
    <n v="1.2727272727272728E-2"/>
    <n v="1"/>
    <n v="0"/>
    <n v="0"/>
  </r>
  <r>
    <s v="PO-1285"/>
    <x v="2"/>
    <s v="Packaging"/>
    <n v="901"/>
    <d v="2026-02-01T00:00:00"/>
    <d v="2026-02-13T00:00:00"/>
    <d v="2026-02-13T00:00:00"/>
    <n v="727"/>
    <s v="PK-248"/>
    <n v="28"/>
    <s v="Delivered"/>
    <s v="Y"/>
    <s v="N"/>
    <s v="N"/>
    <n v="12"/>
    <n v="0.80688124306326303"/>
    <n v="3.8514442916093537E-2"/>
    <n v="0"/>
    <n v="0"/>
    <n v="0"/>
  </r>
  <r>
    <s v="PO-1635"/>
    <x v="5"/>
    <s v="Raw Material"/>
    <n v="325"/>
    <d v="2026-03-15T00:00:00"/>
    <d v="2026-03-25T00:00:00"/>
    <d v="2026-03-24T00:00:00"/>
    <n v="327"/>
    <s v="RM-289"/>
    <n v="4"/>
    <s v="Delivered"/>
    <s v="Y"/>
    <s v="Y"/>
    <s v="Y"/>
    <n v="9"/>
    <n v="1.0061538461538462"/>
    <n v="1.2232415902140673E-2"/>
    <n v="1"/>
    <n v="0"/>
    <n v="0"/>
  </r>
  <r>
    <s v="PO-1699"/>
    <x v="3"/>
    <s v="Packaging"/>
    <n v="960"/>
    <d v="2026-02-12T00:00:00"/>
    <d v="2026-02-17T00:00:00"/>
    <d v="2026-02-15T00:00:00"/>
    <n v="950"/>
    <s v="PK-270"/>
    <n v="33"/>
    <s v="Delivered"/>
    <s v="Y"/>
    <s v="Y"/>
    <s v="Y"/>
    <n v="3"/>
    <n v="0.98958333333333337"/>
    <n v="3.4736842105263156E-2"/>
    <n v="1"/>
    <n v="0"/>
    <n v="0"/>
  </r>
  <r>
    <s v="PO-1504"/>
    <x v="2"/>
    <s v="Raw Material"/>
    <n v="288"/>
    <d v="2026-02-27T00:00:00"/>
    <d v="2026-03-05T00:00:00"/>
    <d v="2026-03-02T00:00:00"/>
    <n v="287"/>
    <s v="RM-190"/>
    <n v="7"/>
    <s v="Delivered"/>
    <s v="Y"/>
    <s v="Y"/>
    <s v="Y"/>
    <n v="3"/>
    <n v="0.99652777777777779"/>
    <n v="2.4390243902439025E-2"/>
    <n v="1"/>
    <n v="0"/>
    <n v="0"/>
  </r>
  <r>
    <s v="PO-1319"/>
    <x v="16"/>
    <s v="Packaging"/>
    <n v="272"/>
    <d v="2026-03-28T00:00:00"/>
    <d v="2026-04-06T00:00:00"/>
    <d v="2026-04-12T00:00:00"/>
    <n v="262"/>
    <s v="PK-276"/>
    <n v="3"/>
    <s v="Delivered"/>
    <s v="N"/>
    <s v="N"/>
    <s v="N"/>
    <n v="15"/>
    <n v="0.96323529411764708"/>
    <n v="1.1450381679389313E-2"/>
    <n v="0"/>
    <n v="6"/>
    <n v="3000"/>
  </r>
  <r>
    <s v="PO-1179"/>
    <x v="19"/>
    <s v="Raw Material"/>
    <n v="732"/>
    <d v="2026-05-18T00:00:00"/>
    <d v="2026-05-31T00:00:00"/>
    <d v="2026-05-31T00:00:00"/>
    <n v="732"/>
    <s v="RM-230"/>
    <n v="9"/>
    <s v="Delivered"/>
    <s v="Y"/>
    <s v="Y"/>
    <s v="Y"/>
    <n v="13"/>
    <n v="1"/>
    <n v="1.2295081967213115E-2"/>
    <n v="1"/>
    <n v="0"/>
    <n v="0"/>
  </r>
  <r>
    <s v="PO-1643"/>
    <x v="10"/>
    <s v="Imported"/>
    <n v="795"/>
    <d v="2026-05-15T00:00:00"/>
    <d v="2026-05-26T00:00:00"/>
    <d v="2026-06-01T00:00:00"/>
    <n v="784"/>
    <s v="IM-267"/>
    <n v="72"/>
    <s v="Delivered"/>
    <s v="N"/>
    <s v="Y"/>
    <s v="N"/>
    <n v="17"/>
    <n v="0.98616352201257862"/>
    <n v="9.1836734693877556E-2"/>
    <n v="0"/>
    <n v="6"/>
    <n v="3000"/>
  </r>
  <r>
    <s v="PO-1702"/>
    <x v="11"/>
    <s v="Packaging"/>
    <n v="438"/>
    <d v="2026-05-25T00:00:00"/>
    <d v="2026-05-31T00:00:00"/>
    <m/>
    <m/>
    <s v="PK-227"/>
    <m/>
    <s v="Pending"/>
    <s v="N/A"/>
    <s v="N/A"/>
    <s v="N/A"/>
    <s v="N/A"/>
    <s v="N/A"/>
    <s v="N/A"/>
    <s v=""/>
    <s v="N/A"/>
    <n v="0"/>
  </r>
  <r>
    <s v="PO-1694"/>
    <x v="14"/>
    <s v="Packaging"/>
    <n v="867"/>
    <d v="2026-01-12T00:00:00"/>
    <d v="2026-01-27T00:00:00"/>
    <d v="2026-02-03T00:00:00"/>
    <n v="841"/>
    <s v="PK-121"/>
    <n v="30"/>
    <s v="Delivered"/>
    <s v="N"/>
    <s v="N"/>
    <s v="N"/>
    <n v="22"/>
    <n v="0.97001153402537488"/>
    <n v="3.56718192627824E-2"/>
    <n v="0"/>
    <n v="7"/>
    <n v="3500"/>
  </r>
  <r>
    <s v="PO-1122"/>
    <x v="1"/>
    <s v="Raw Material"/>
    <n v="357"/>
    <d v="2026-03-24T00:00:00"/>
    <d v="2026-04-02T00:00:00"/>
    <d v="2026-04-02T00:00:00"/>
    <n v="363"/>
    <s v="RM-159"/>
    <n v="1"/>
    <s v="Delivered"/>
    <s v="Y"/>
    <s v="Y"/>
    <s v="Y"/>
    <n v="9"/>
    <n v="1.0168067226890756"/>
    <n v="2.7548209366391185E-3"/>
    <n v="1"/>
    <n v="0"/>
    <n v="0"/>
  </r>
  <r>
    <s v="PO-1526"/>
    <x v="15"/>
    <s v="Imported"/>
    <n v="728"/>
    <d v="2026-05-05T00:00:00"/>
    <d v="2026-05-17T00:00:00"/>
    <d v="2026-05-18T00:00:00"/>
    <n v="742"/>
    <s v="IM-195"/>
    <n v="4"/>
    <s v="Delivered"/>
    <s v="N"/>
    <s v="Y"/>
    <s v="N"/>
    <n v="13"/>
    <n v="1.0192307692307692"/>
    <n v="5.3908355795148251E-3"/>
    <n v="0"/>
    <n v="1"/>
    <n v="500"/>
  </r>
  <r>
    <s v="PO-1805"/>
    <x v="6"/>
    <s v="Raw Material"/>
    <n v="742"/>
    <d v="2026-03-30T00:00:00"/>
    <d v="2026-04-12T00:00:00"/>
    <d v="2026-04-17T00:00:00"/>
    <n v="661"/>
    <s v="RM-230"/>
    <n v="22"/>
    <s v="Delivered"/>
    <s v="N"/>
    <s v="N"/>
    <s v="N"/>
    <n v="18"/>
    <n v="0.89083557951482484"/>
    <n v="3.3282904689863842E-2"/>
    <n v="0"/>
    <n v="5"/>
    <n v="2500"/>
  </r>
  <r>
    <s v="PO-1777"/>
    <x v="0"/>
    <s v="Packaging"/>
    <n v="336"/>
    <d v="2026-05-30T00:00:00"/>
    <d v="2026-06-09T00:00:00"/>
    <d v="2026-06-08T00:00:00"/>
    <n v="333"/>
    <s v="PK-188"/>
    <n v="3"/>
    <s v="Delivered"/>
    <s v="Y"/>
    <s v="Y"/>
    <s v="Y"/>
    <n v="9"/>
    <n v="0.9910714285714286"/>
    <n v="9.0090090090090089E-3"/>
    <n v="1"/>
    <n v="0"/>
    <n v="0"/>
  </r>
  <r>
    <s v="PO-1888"/>
    <x v="6"/>
    <s v="Raw Material"/>
    <n v="719"/>
    <d v="2026-04-17T00:00:00"/>
    <d v="2026-05-01T00:00:00"/>
    <d v="2026-05-09T00:00:00"/>
    <n v="730"/>
    <s v="RM-133"/>
    <n v="41"/>
    <s v="Delivered"/>
    <s v="N"/>
    <s v="Y"/>
    <s v="N"/>
    <n v="22"/>
    <n v="1.015299026425591"/>
    <n v="5.6164383561643834E-2"/>
    <n v="0"/>
    <n v="8"/>
    <n v="4000"/>
  </r>
  <r>
    <s v="PO-1478"/>
    <x v="14"/>
    <s v="Packaging"/>
    <n v="315"/>
    <d v="2026-02-19T00:00:00"/>
    <d v="2026-03-03T00:00:00"/>
    <d v="2026-03-01T00:00:00"/>
    <n v="320"/>
    <s v="PK-262"/>
    <n v="18"/>
    <s v="Delivered"/>
    <s v="Y"/>
    <s v="Y"/>
    <s v="Y"/>
    <n v="10"/>
    <n v="1.0158730158730158"/>
    <n v="5.6250000000000001E-2"/>
    <n v="1"/>
    <n v="0"/>
    <n v="0"/>
  </r>
  <r>
    <s v="PO-1457"/>
    <x v="2"/>
    <s v="Packaging"/>
    <n v="801"/>
    <d v="2026-01-26T00:00:00"/>
    <d v="2026-01-31T00:00:00"/>
    <d v="2026-01-29T00:00:00"/>
    <n v="804"/>
    <s v="PK-106"/>
    <n v="27"/>
    <s v="Delivered"/>
    <s v="Y"/>
    <s v="Y"/>
    <s v="Y"/>
    <n v="3"/>
    <n v="1.0037453183520599"/>
    <n v="3.3582089552238806E-2"/>
    <n v="1"/>
    <n v="0"/>
    <n v="0"/>
  </r>
  <r>
    <s v="PO-1603"/>
    <x v="9"/>
    <s v="Raw Material"/>
    <n v="517"/>
    <d v="2026-06-02T00:00:00"/>
    <d v="2026-06-08T00:00:00"/>
    <d v="2026-06-06T00:00:00"/>
    <n v="515"/>
    <s v="RM-154"/>
    <n v="31"/>
    <s v="Delivered"/>
    <s v="Y"/>
    <s v="Y"/>
    <s v="Y"/>
    <n v="4"/>
    <n v="0.99613152804642169"/>
    <n v="6.0194174757281553E-2"/>
    <n v="1"/>
    <n v="0"/>
    <n v="0"/>
  </r>
  <r>
    <s v="PO-1447"/>
    <x v="4"/>
    <s v="Raw Material"/>
    <n v="87"/>
    <d v="2026-03-29T00:00:00"/>
    <d v="2026-04-08T00:00:00"/>
    <d v="2026-04-07T00:00:00"/>
    <n v="81"/>
    <s v="RM-293"/>
    <n v="2"/>
    <s v="Delivered"/>
    <s v="Y"/>
    <s v="N"/>
    <s v="N"/>
    <n v="9"/>
    <n v="0.93103448275862066"/>
    <n v="2.4691358024691357E-2"/>
    <n v="0"/>
    <n v="0"/>
    <n v="0"/>
  </r>
  <r>
    <s v="PO-1422"/>
    <x v="11"/>
    <s v="Imported"/>
    <n v="800"/>
    <d v="2026-05-19T00:00:00"/>
    <d v="2026-05-30T00:00:00"/>
    <d v="2026-06-01T00:00:00"/>
    <n v="797"/>
    <s v="IM-272"/>
    <n v="1"/>
    <s v="Delivered"/>
    <s v="N"/>
    <s v="Y"/>
    <s v="N"/>
    <n v="13"/>
    <n v="0.99624999999999997"/>
    <n v="1.2547051442910915E-3"/>
    <n v="0"/>
    <n v="2"/>
    <n v="1000"/>
  </r>
  <r>
    <s v="PO-1172"/>
    <x v="8"/>
    <s v="Imported"/>
    <n v="390"/>
    <d v="2026-02-20T00:00:00"/>
    <d v="2026-03-05T00:00:00"/>
    <d v="2026-03-03T00:00:00"/>
    <n v="395"/>
    <s v="IM-130"/>
    <n v="0"/>
    <s v="Delivered"/>
    <s v="Y"/>
    <s v="Y"/>
    <s v="Y"/>
    <n v="11"/>
    <n v="1.0128205128205128"/>
    <n v="0"/>
    <n v="1"/>
    <n v="0"/>
    <n v="0"/>
  </r>
  <r>
    <s v="PO-1431"/>
    <x v="8"/>
    <s v="Imported"/>
    <n v="520"/>
    <d v="2026-05-12T00:00:00"/>
    <d v="2026-05-19T00:00:00"/>
    <d v="2026-05-18T00:00:00"/>
    <n v="519"/>
    <s v="IM-258"/>
    <n v="31"/>
    <s v="Delivered"/>
    <s v="Y"/>
    <s v="Y"/>
    <s v="Y"/>
    <n v="6"/>
    <n v="0.99807692307692308"/>
    <n v="5.9730250481695571E-2"/>
    <n v="1"/>
    <n v="0"/>
    <n v="0"/>
  </r>
  <r>
    <s v="PO-1908"/>
    <x v="16"/>
    <s v="Imported"/>
    <n v="98"/>
    <d v="2026-05-18T00:00:00"/>
    <d v="2026-05-30T00:00:00"/>
    <d v="2026-05-29T00:00:00"/>
    <n v="99"/>
    <s v="IM-208"/>
    <n v="1"/>
    <s v="Delivered"/>
    <s v="Y"/>
    <s v="Y"/>
    <s v="Y"/>
    <n v="11"/>
    <n v="1.010204081632653"/>
    <n v="1.0101010101010102E-2"/>
    <n v="1"/>
    <n v="0"/>
    <n v="0"/>
  </r>
  <r>
    <s v="PO-1689"/>
    <x v="19"/>
    <s v="Raw Material"/>
    <n v="831"/>
    <d v="2026-05-10T00:00:00"/>
    <d v="2026-05-25T00:00:00"/>
    <d v="2026-05-25T00:00:00"/>
    <n v="837"/>
    <s v="RM-211"/>
    <n v="40"/>
    <s v="Delivered"/>
    <s v="Y"/>
    <s v="Y"/>
    <s v="Y"/>
    <n v="15"/>
    <n v="1.0072202166064983"/>
    <n v="4.778972520908005E-2"/>
    <n v="1"/>
    <n v="0"/>
    <n v="0"/>
  </r>
  <r>
    <s v="PO-1991"/>
    <x v="6"/>
    <s v="Packaging"/>
    <n v="638"/>
    <d v="2026-05-09T00:00:00"/>
    <d v="2026-05-23T00:00:00"/>
    <d v="2026-05-20T00:00:00"/>
    <n v="571"/>
    <s v="PK-174"/>
    <n v="5"/>
    <s v="Delivered"/>
    <s v="Y"/>
    <s v="N"/>
    <s v="N"/>
    <n v="11"/>
    <n v="0.89498432601880873"/>
    <n v="8.7565674255691769E-3"/>
    <n v="0"/>
    <n v="0"/>
    <n v="0"/>
  </r>
  <r>
    <s v="PO-1297"/>
    <x v="13"/>
    <s v="Imported"/>
    <n v="331"/>
    <d v="2026-03-13T00:00:00"/>
    <d v="2026-03-20T00:00:00"/>
    <d v="2026-03-20T00:00:00"/>
    <n v="331"/>
    <s v="IM-115"/>
    <n v="6"/>
    <s v="Delivered"/>
    <s v="Y"/>
    <s v="Y"/>
    <s v="Y"/>
    <n v="7"/>
    <n v="1"/>
    <n v="1.812688821752266E-2"/>
    <n v="1"/>
    <n v="0"/>
    <n v="0"/>
  </r>
  <r>
    <s v="PO-1981"/>
    <x v="4"/>
    <s v="Imported"/>
    <n v="566"/>
    <d v="2026-03-25T00:00:00"/>
    <d v="2026-04-06T00:00:00"/>
    <d v="2026-04-04T00:00:00"/>
    <n v="555"/>
    <s v="IM-291"/>
    <n v="2"/>
    <s v="Delivered"/>
    <s v="Y"/>
    <s v="Y"/>
    <s v="Y"/>
    <n v="10"/>
    <n v="0.98056537102473496"/>
    <n v="3.6036036036036037E-3"/>
    <n v="1"/>
    <n v="0"/>
    <n v="0"/>
  </r>
  <r>
    <s v="PO-1861"/>
    <x v="7"/>
    <s v="Raw Material"/>
    <n v="502"/>
    <d v="2026-01-28T00:00:00"/>
    <d v="2026-02-05T00:00:00"/>
    <d v="2026-02-02T00:00:00"/>
    <n v="404"/>
    <s v="RM-289"/>
    <n v="18"/>
    <s v="Delivered"/>
    <s v="Y"/>
    <s v="N"/>
    <s v="N"/>
    <n v="5"/>
    <n v="0.80478087649402386"/>
    <n v="4.4554455445544552E-2"/>
    <n v="0"/>
    <n v="0"/>
    <n v="0"/>
  </r>
  <r>
    <s v="PO-1389"/>
    <x v="4"/>
    <s v="Raw Material"/>
    <n v="810"/>
    <d v="2026-03-03T00:00:00"/>
    <d v="2026-03-15T00:00:00"/>
    <d v="2026-03-23T00:00:00"/>
    <n v="681"/>
    <s v="RM-251"/>
    <n v="21"/>
    <s v="Delivered"/>
    <s v="N"/>
    <s v="N"/>
    <s v="N"/>
    <n v="20"/>
    <n v="0.84074074074074079"/>
    <n v="3.0837004405286344E-2"/>
    <n v="0"/>
    <n v="8"/>
    <n v="4000"/>
  </r>
  <r>
    <s v="PO-1395"/>
    <x v="0"/>
    <s v="Packaging"/>
    <n v="896"/>
    <d v="2026-05-23T00:00:00"/>
    <d v="2026-06-04T00:00:00"/>
    <d v="2026-06-02T00:00:00"/>
    <n v="912"/>
    <s v="PK-214"/>
    <n v="10"/>
    <s v="Delivered"/>
    <s v="Y"/>
    <s v="Y"/>
    <s v="Y"/>
    <n v="10"/>
    <n v="1.0178571428571428"/>
    <n v="1.0964912280701754E-2"/>
    <n v="1"/>
    <n v="0"/>
    <n v="0"/>
  </r>
  <r>
    <s v="PO-1147"/>
    <x v="13"/>
    <s v="Packaging"/>
    <n v="363"/>
    <d v="2026-05-02T00:00:00"/>
    <d v="2026-05-10T00:00:00"/>
    <d v="2026-05-15T00:00:00"/>
    <n v="323"/>
    <s v="PK-163"/>
    <n v="21"/>
    <s v="Delivered"/>
    <s v="N"/>
    <s v="N"/>
    <s v="N"/>
    <n v="13"/>
    <n v="0.88980716253443526"/>
    <n v="6.5015479876160992E-2"/>
    <n v="0"/>
    <n v="5"/>
    <n v="2500"/>
  </r>
  <r>
    <s v="PO-1375"/>
    <x v="14"/>
    <s v="Raw Material"/>
    <n v="258"/>
    <d v="2026-03-18T00:00:00"/>
    <d v="2026-03-25T00:00:00"/>
    <d v="2026-03-26T00:00:00"/>
    <n v="263"/>
    <s v="RM-187"/>
    <n v="7"/>
    <s v="Delivered"/>
    <s v="N"/>
    <s v="Y"/>
    <s v="N"/>
    <n v="8"/>
    <n v="1.0193798449612403"/>
    <n v="2.6615969581749048E-2"/>
    <n v="0"/>
    <n v="1"/>
    <n v="500"/>
  </r>
  <r>
    <s v="PO-1854"/>
    <x v="18"/>
    <s v="Imported"/>
    <n v="990"/>
    <d v="2026-04-16T00:00:00"/>
    <d v="2026-04-29T00:00:00"/>
    <d v="2026-04-28T00:00:00"/>
    <n v="979"/>
    <s v="IM-224"/>
    <n v="17"/>
    <s v="Delivered"/>
    <s v="Y"/>
    <s v="Y"/>
    <s v="Y"/>
    <n v="12"/>
    <n v="0.98888888888888893"/>
    <n v="1.7364657814096015E-2"/>
    <n v="1"/>
    <n v="0"/>
    <n v="0"/>
  </r>
  <r>
    <s v="PO-1396"/>
    <x v="10"/>
    <s v="Packaging"/>
    <n v="629"/>
    <d v="2026-02-01T00:00:00"/>
    <d v="2026-02-07T00:00:00"/>
    <d v="2026-02-06T00:00:00"/>
    <n v="625"/>
    <s v="PK-283"/>
    <n v="55"/>
    <s v="Delivered"/>
    <s v="Y"/>
    <s v="Y"/>
    <s v="Y"/>
    <n v="5"/>
    <n v="0.99364069952305245"/>
    <n v="8.7999999999999995E-2"/>
    <n v="1"/>
    <n v="0"/>
    <n v="0"/>
  </r>
  <r>
    <s v="PO-1051"/>
    <x v="15"/>
    <s v="Packaging"/>
    <n v="157"/>
    <d v="2026-05-29T00:00:00"/>
    <d v="2026-06-07T00:00:00"/>
    <d v="2026-06-08T00:00:00"/>
    <n v="158"/>
    <s v="PK-182"/>
    <n v="1"/>
    <s v="Delivered"/>
    <s v="N"/>
    <s v="Y"/>
    <s v="N"/>
    <n v="10"/>
    <n v="1.0063694267515924"/>
    <n v="6.3291139240506328E-3"/>
    <n v="0"/>
    <n v="1"/>
    <n v="500"/>
  </r>
  <r>
    <s v="PO-1833"/>
    <x v="14"/>
    <s v="Raw Material"/>
    <n v="596"/>
    <d v="2026-03-22T00:00:00"/>
    <d v="2026-03-27T00:00:00"/>
    <d v="2026-03-26T00:00:00"/>
    <n v="601"/>
    <s v="RM-183"/>
    <n v="27"/>
    <s v="Delivered"/>
    <s v="Y"/>
    <s v="Y"/>
    <s v="Y"/>
    <n v="4"/>
    <n v="1.0083892617449663"/>
    <n v="4.4925124792013313E-2"/>
    <n v="1"/>
    <n v="0"/>
    <n v="0"/>
  </r>
  <r>
    <s v="PO-1361"/>
    <x v="19"/>
    <s v="Raw Material"/>
    <n v="665"/>
    <d v="2026-05-19T00:00:00"/>
    <d v="2026-05-29T00:00:00"/>
    <d v="2026-05-28T00:00:00"/>
    <n v="664"/>
    <s v="RM-199"/>
    <n v="36"/>
    <s v="Delivered"/>
    <s v="Y"/>
    <s v="Y"/>
    <s v="Y"/>
    <n v="9"/>
    <n v="0.99849624060150377"/>
    <n v="5.4216867469879519E-2"/>
    <n v="1"/>
    <n v="0"/>
    <n v="0"/>
  </r>
  <r>
    <s v="PO-1022"/>
    <x v="4"/>
    <s v="Imported"/>
    <n v="569"/>
    <d v="2026-05-11T00:00:00"/>
    <d v="2026-05-26T00:00:00"/>
    <d v="2026-05-23T00:00:00"/>
    <n v="561"/>
    <s v="IM-293"/>
    <n v="13"/>
    <s v="Delivered"/>
    <s v="Y"/>
    <s v="Y"/>
    <s v="Y"/>
    <n v="12"/>
    <n v="0.98594024604569419"/>
    <n v="2.3172905525846704E-2"/>
    <n v="1"/>
    <n v="0"/>
    <n v="0"/>
  </r>
  <r>
    <s v="PO-1399"/>
    <x v="12"/>
    <s v="Raw Material"/>
    <n v="454"/>
    <d v="2026-03-21T00:00:00"/>
    <d v="2026-04-02T00:00:00"/>
    <d v="2026-03-30T00:00:00"/>
    <n v="448"/>
    <s v="RM-283"/>
    <n v="0"/>
    <s v="Delivered"/>
    <s v="Y"/>
    <s v="Y"/>
    <s v="Y"/>
    <n v="9"/>
    <n v="0.986784140969163"/>
    <n v="0"/>
    <n v="1"/>
    <n v="0"/>
    <n v="0"/>
  </r>
  <r>
    <s v="PO-1453"/>
    <x v="19"/>
    <s v="Raw Material"/>
    <n v="125"/>
    <d v="2026-05-01T00:00:00"/>
    <d v="2026-05-10T00:00:00"/>
    <d v="2026-05-10T00:00:00"/>
    <n v="116"/>
    <s v="RM-150"/>
    <n v="4"/>
    <s v="Delivered"/>
    <s v="Y"/>
    <s v="N"/>
    <s v="N"/>
    <n v="9"/>
    <n v="0.92800000000000005"/>
    <n v="3.4482758620689655E-2"/>
    <n v="0"/>
    <n v="0"/>
    <n v="0"/>
  </r>
  <r>
    <s v="PO-1209"/>
    <x v="18"/>
    <s v="Raw Material"/>
    <n v="789"/>
    <d v="2026-04-08T00:00:00"/>
    <d v="2026-04-18T00:00:00"/>
    <d v="2026-04-15T00:00:00"/>
    <n v="775"/>
    <s v="RM-212"/>
    <n v="42"/>
    <s v="Delivered"/>
    <s v="Y"/>
    <s v="Y"/>
    <s v="Y"/>
    <n v="7"/>
    <n v="0.98225602027883396"/>
    <n v="5.4193548387096772E-2"/>
    <n v="1"/>
    <n v="0"/>
    <n v="0"/>
  </r>
  <r>
    <s v="PO-1736"/>
    <x v="2"/>
    <s v="Raw Material"/>
    <n v="991"/>
    <d v="2026-02-05T00:00:00"/>
    <d v="2026-02-19T00:00:00"/>
    <d v="2026-02-16T00:00:00"/>
    <n v="1005"/>
    <s v="RM-193"/>
    <n v="22"/>
    <s v="Delivered"/>
    <s v="Y"/>
    <s v="Y"/>
    <s v="Y"/>
    <n v="11"/>
    <n v="1.0141271442986881"/>
    <n v="2.1890547263681594E-2"/>
    <n v="1"/>
    <n v="0"/>
    <n v="0"/>
  </r>
  <r>
    <s v="PO-1142"/>
    <x v="8"/>
    <s v="Imported"/>
    <n v="834"/>
    <d v="2026-01-10T00:00:00"/>
    <d v="2026-01-21T00:00:00"/>
    <m/>
    <m/>
    <s v="IM-261"/>
    <m/>
    <s v="Pending"/>
    <s v="N/A"/>
    <s v="N/A"/>
    <s v="N/A"/>
    <s v="N/A"/>
    <s v="N/A"/>
    <s v="N/A"/>
    <s v=""/>
    <s v="N/A"/>
    <n v="0"/>
  </r>
  <r>
    <s v="PO-1050"/>
    <x v="12"/>
    <s v="Raw Material"/>
    <n v="597"/>
    <d v="2026-06-02T00:00:00"/>
    <d v="2026-06-13T00:00:00"/>
    <d v="2026-06-10T00:00:00"/>
    <n v="609"/>
    <s v="RM-228"/>
    <n v="9"/>
    <s v="Delivered"/>
    <s v="Y"/>
    <s v="Y"/>
    <s v="Y"/>
    <n v="8"/>
    <n v="1.0201005025125629"/>
    <n v="1.4778325123152709E-2"/>
    <n v="1"/>
    <n v="0"/>
    <n v="0"/>
  </r>
  <r>
    <s v="PO-1166"/>
    <x v="13"/>
    <s v="Imported"/>
    <n v="741"/>
    <d v="2026-06-02T00:00:00"/>
    <d v="2026-06-07T00:00:00"/>
    <d v="2026-06-10T00:00:00"/>
    <n v="742"/>
    <s v="IM-218"/>
    <n v="14"/>
    <s v="Delivered"/>
    <s v="N"/>
    <s v="Y"/>
    <s v="N"/>
    <n v="8"/>
    <n v="1.001349527665317"/>
    <n v="1.8867924528301886E-2"/>
    <n v="0"/>
    <n v="3"/>
    <n v="1500"/>
  </r>
  <r>
    <s v="PO-1630"/>
    <x v="1"/>
    <s v="Raw Material"/>
    <n v="567"/>
    <d v="2026-04-29T00:00:00"/>
    <d v="2026-05-07T00:00:00"/>
    <d v="2026-05-04T00:00:00"/>
    <n v="556"/>
    <s v="RM-172"/>
    <n v="9"/>
    <s v="Delivered"/>
    <s v="Y"/>
    <s v="Y"/>
    <s v="Y"/>
    <n v="5"/>
    <n v="0.98059964726631388"/>
    <n v="1.618705035971223E-2"/>
    <n v="1"/>
    <n v="0"/>
    <n v="0"/>
  </r>
  <r>
    <s v="PO-1534"/>
    <x v="10"/>
    <s v="Imported"/>
    <n v="973"/>
    <d v="2026-01-17T00:00:00"/>
    <d v="2026-01-29T00:00:00"/>
    <d v="2026-01-27T00:00:00"/>
    <n v="970"/>
    <s v="IM-143"/>
    <n v="5"/>
    <s v="Delivered"/>
    <s v="Y"/>
    <s v="Y"/>
    <s v="Y"/>
    <n v="10"/>
    <n v="0.99691675231243582"/>
    <n v="5.1546391752577319E-3"/>
    <n v="1"/>
    <n v="0"/>
    <n v="0"/>
  </r>
  <r>
    <s v="PO-1081"/>
    <x v="13"/>
    <s v="Raw Material"/>
    <n v="884"/>
    <d v="2026-05-17T00:00:00"/>
    <d v="2026-05-29T00:00:00"/>
    <d v="2026-05-27T00:00:00"/>
    <n v="880"/>
    <s v="RM-167"/>
    <n v="5"/>
    <s v="Delivered"/>
    <s v="Y"/>
    <s v="Y"/>
    <s v="Y"/>
    <n v="10"/>
    <n v="0.99547511312217196"/>
    <n v="5.681818181818182E-3"/>
    <n v="1"/>
    <n v="0"/>
    <n v="0"/>
  </r>
  <r>
    <s v="PO-1367"/>
    <x v="16"/>
    <s v="Packaging"/>
    <n v="762"/>
    <d v="2026-02-02T00:00:00"/>
    <d v="2026-02-09T00:00:00"/>
    <d v="2026-02-06T00:00:00"/>
    <n v="639"/>
    <s v="PK-160"/>
    <n v="7"/>
    <s v="Delivered"/>
    <s v="Y"/>
    <s v="N"/>
    <s v="N"/>
    <n v="4"/>
    <n v="0.83858267716535428"/>
    <n v="1.0954616588419406E-2"/>
    <n v="0"/>
    <n v="0"/>
    <n v="0"/>
  </r>
  <r>
    <s v="PO-1926"/>
    <x v="12"/>
    <s v="Packaging"/>
    <n v="122"/>
    <d v="2026-02-25T00:00:00"/>
    <d v="2026-03-12T00:00:00"/>
    <d v="2026-03-10T00:00:00"/>
    <n v="121"/>
    <s v="unknown_SKU"/>
    <n v="1"/>
    <s v="Delivered"/>
    <s v="Y"/>
    <s v="Y"/>
    <s v="Y"/>
    <n v="13"/>
    <n v="0.99180327868852458"/>
    <n v="8.2644628099173556E-3"/>
    <n v="1"/>
    <n v="0"/>
    <n v="0"/>
  </r>
  <r>
    <s v="PO-1915"/>
    <x v="4"/>
    <s v="Packaging"/>
    <n v="735"/>
    <d v="2026-04-02T00:00:00"/>
    <d v="2026-04-07T00:00:00"/>
    <d v="2026-04-06T00:00:00"/>
    <n v="743"/>
    <s v="PK-262"/>
    <n v="13"/>
    <s v="Delivered"/>
    <s v="Y"/>
    <s v="Y"/>
    <s v="Y"/>
    <n v="4"/>
    <n v="1.0108843537414967"/>
    <n v="1.7496635262449527E-2"/>
    <n v="1"/>
    <n v="0"/>
    <n v="0"/>
  </r>
  <r>
    <s v="PO-1066"/>
    <x v="8"/>
    <s v="Imported"/>
    <n v="902"/>
    <d v="2026-03-07T00:00:00"/>
    <d v="2026-03-19T00:00:00"/>
    <d v="2026-03-18T00:00:00"/>
    <n v="899"/>
    <s v="IM-289"/>
    <n v="86"/>
    <s v="Delivered"/>
    <s v="Y"/>
    <s v="Y"/>
    <s v="Y"/>
    <n v="11"/>
    <n v="0.99667405764966743"/>
    <n v="9.5661846496106789E-2"/>
    <n v="1"/>
    <n v="0"/>
    <n v="0"/>
  </r>
  <r>
    <s v="PO-1611"/>
    <x v="9"/>
    <s v="Packaging"/>
    <n v="410"/>
    <d v="2026-02-19T00:00:00"/>
    <d v="2026-03-02T00:00:00"/>
    <d v="2026-03-02T00:00:00"/>
    <n v="417"/>
    <s v="unknown_SKU"/>
    <n v="6"/>
    <s v="Delivered"/>
    <s v="Y"/>
    <s v="Y"/>
    <s v="Y"/>
    <n v="11"/>
    <n v="1.0170731707317073"/>
    <n v="1.4388489208633094E-2"/>
    <n v="1"/>
    <n v="0"/>
    <n v="0"/>
  </r>
  <r>
    <s v="PO-1790"/>
    <x v="3"/>
    <s v="Packaging"/>
    <n v="350"/>
    <d v="2026-02-10T00:00:00"/>
    <d v="2026-02-24T00:00:00"/>
    <d v="2026-02-23T00:00:00"/>
    <n v="284"/>
    <s v="PK-277"/>
    <n v="25"/>
    <s v="Delivered"/>
    <s v="Y"/>
    <s v="N"/>
    <s v="N"/>
    <n v="13"/>
    <n v="0.81142857142857139"/>
    <n v="8.8028169014084501E-2"/>
    <n v="0"/>
    <n v="0"/>
    <n v="0"/>
  </r>
  <r>
    <s v="PO-1289"/>
    <x v="1"/>
    <s v="Raw Material"/>
    <n v="598"/>
    <d v="2026-02-06T00:00:00"/>
    <d v="2026-02-17T00:00:00"/>
    <d v="2026-02-22T00:00:00"/>
    <n v="609"/>
    <s v="RM-234"/>
    <n v="12"/>
    <s v="Delivered"/>
    <s v="N"/>
    <s v="Y"/>
    <s v="N"/>
    <n v="16"/>
    <n v="1.0183946488294315"/>
    <n v="1.9704433497536946E-2"/>
    <n v="0"/>
    <n v="5"/>
    <n v="2500"/>
  </r>
  <r>
    <s v="PO-1542"/>
    <x v="1"/>
    <s v="Raw Material"/>
    <n v="471"/>
    <d v="2026-04-12T00:00:00"/>
    <d v="2026-04-22T00:00:00"/>
    <d v="2026-05-01T00:00:00"/>
    <n v="471"/>
    <s v="RM-173"/>
    <n v="6"/>
    <s v="Delivered"/>
    <s v="N"/>
    <s v="Y"/>
    <s v="N"/>
    <n v="19"/>
    <n v="1"/>
    <n v="1.2738853503184714E-2"/>
    <n v="0"/>
    <n v="9"/>
    <n v="4500"/>
  </r>
  <r>
    <s v="PO-1283"/>
    <x v="14"/>
    <s v="Raw Material"/>
    <n v="92"/>
    <d v="2026-05-08T00:00:00"/>
    <d v="2026-05-19T00:00:00"/>
    <d v="2026-05-16T00:00:00"/>
    <n v="93"/>
    <s v="RM-204"/>
    <n v="2"/>
    <s v="Delivered"/>
    <s v="Y"/>
    <s v="Y"/>
    <s v="Y"/>
    <n v="8"/>
    <n v="1.0108695652173914"/>
    <n v="2.1505376344086023E-2"/>
    <n v="1"/>
    <n v="0"/>
    <n v="0"/>
  </r>
  <r>
    <s v="PO-1701"/>
    <x v="11"/>
    <s v="Raw Material"/>
    <n v="674"/>
    <d v="2026-05-25T00:00:00"/>
    <d v="2026-06-05T00:00:00"/>
    <d v="2026-06-04T00:00:00"/>
    <n v="684"/>
    <s v="RM-134"/>
    <n v="0"/>
    <s v="Delivered"/>
    <s v="Y"/>
    <s v="Y"/>
    <s v="Y"/>
    <n v="10"/>
    <n v="1.0148367952522255"/>
    <n v="0"/>
    <n v="1"/>
    <n v="0"/>
    <n v="0"/>
  </r>
  <r>
    <s v="PO-1712"/>
    <x v="5"/>
    <s v="Raw Material"/>
    <n v="634"/>
    <d v="2026-04-14T00:00:00"/>
    <d v="2026-04-26T00:00:00"/>
    <d v="2026-05-05T00:00:00"/>
    <n v="511"/>
    <s v="RM-223"/>
    <n v="1"/>
    <s v="Delivered"/>
    <s v="N"/>
    <s v="N"/>
    <s v="N"/>
    <n v="21"/>
    <n v="0.805993690851735"/>
    <n v="1.9569471624266144E-3"/>
    <n v="0"/>
    <n v="9"/>
    <n v="4500"/>
  </r>
  <r>
    <s v="PO-1064"/>
    <x v="4"/>
    <s v="Packaging"/>
    <n v="448"/>
    <d v="2026-04-25T00:00:00"/>
    <d v="2026-05-07T00:00:00"/>
    <d v="2026-05-05T00:00:00"/>
    <n v="386"/>
    <s v="PK-133"/>
    <n v="8"/>
    <s v="Delivered"/>
    <s v="Y"/>
    <s v="N"/>
    <s v="N"/>
    <n v="10"/>
    <n v="0.8616071428571429"/>
    <n v="2.072538860103627E-2"/>
    <n v="0"/>
    <n v="0"/>
    <n v="0"/>
  </r>
  <r>
    <s v="PO-1656"/>
    <x v="17"/>
    <s v="Packaging"/>
    <n v="908"/>
    <d v="2026-04-06T00:00:00"/>
    <d v="2026-04-15T00:00:00"/>
    <d v="2026-04-15T00:00:00"/>
    <n v="902"/>
    <s v="PK-236"/>
    <n v="20"/>
    <s v="Delivered"/>
    <s v="Y"/>
    <s v="Y"/>
    <s v="Y"/>
    <n v="9"/>
    <n v="0.99339207048458145"/>
    <n v="2.2172949002217297E-2"/>
    <n v="1"/>
    <n v="0"/>
    <n v="0"/>
  </r>
  <r>
    <s v="PO-1264"/>
    <x v="4"/>
    <s v="Imported"/>
    <n v="555"/>
    <d v="2026-05-23T00:00:00"/>
    <d v="2026-06-03T00:00:00"/>
    <d v="2026-06-11T00:00:00"/>
    <n v="527"/>
    <s v="IM-248"/>
    <n v="17"/>
    <s v="Delivered"/>
    <s v="N"/>
    <s v="N"/>
    <s v="N"/>
    <n v="19"/>
    <n v="0.94954954954954951"/>
    <n v="3.2258064516129031E-2"/>
    <n v="0"/>
    <n v="8"/>
    <n v="4000"/>
  </r>
  <r>
    <s v="PO-1866"/>
    <x v="9"/>
    <s v="Raw Material"/>
    <n v="669"/>
    <d v="2026-05-14T00:00:00"/>
    <d v="2026-05-27T00:00:00"/>
    <d v="2026-05-24T00:00:00"/>
    <n v="670"/>
    <s v="RM-130"/>
    <n v="19"/>
    <s v="Delivered"/>
    <s v="Y"/>
    <s v="Y"/>
    <s v="Y"/>
    <n v="10"/>
    <n v="1.0014947683109119"/>
    <n v="2.8358208955223882E-2"/>
    <n v="1"/>
    <n v="0"/>
    <n v="0"/>
  </r>
  <r>
    <s v="PO-1480"/>
    <x v="7"/>
    <s v="Packaging"/>
    <n v="382"/>
    <d v="2026-04-02T00:00:00"/>
    <d v="2026-04-09T00:00:00"/>
    <d v="2026-04-16T00:00:00"/>
    <n v="383"/>
    <s v="PK-144"/>
    <n v="7"/>
    <s v="Delivered"/>
    <s v="N"/>
    <s v="Y"/>
    <s v="N"/>
    <n v="14"/>
    <n v="1.0026178010471205"/>
    <n v="1.8276762402088774E-2"/>
    <n v="0"/>
    <n v="7"/>
    <n v="3500"/>
  </r>
  <r>
    <s v="PO-1514"/>
    <x v="11"/>
    <s v="Imported"/>
    <n v="622"/>
    <d v="2026-02-15T00:00:00"/>
    <d v="2026-02-21T00:00:00"/>
    <d v="2026-02-23T00:00:00"/>
    <n v="617"/>
    <s v="IM-256"/>
    <n v="3"/>
    <s v="Delivered"/>
    <s v="N"/>
    <s v="Y"/>
    <s v="N"/>
    <n v="8"/>
    <n v="0.99196141479099675"/>
    <n v="4.8622366288492711E-3"/>
    <n v="0"/>
    <n v="2"/>
    <n v="1000"/>
  </r>
  <r>
    <s v="PO-1020"/>
    <x v="13"/>
    <s v="Imported"/>
    <n v="178"/>
    <d v="2026-05-01T00:00:00"/>
    <d v="2026-05-11T00:00:00"/>
    <d v="2026-05-08T00:00:00"/>
    <n v="177"/>
    <s v="IM-145"/>
    <n v="14"/>
    <s v="Delivered"/>
    <s v="Y"/>
    <s v="Y"/>
    <s v="Y"/>
    <n v="7"/>
    <n v="0.9943820224719101"/>
    <n v="7.909604519774012E-2"/>
    <n v="1"/>
    <n v="0"/>
    <n v="0"/>
  </r>
  <r>
    <s v="PO-1525"/>
    <x v="6"/>
    <s v="Imported"/>
    <n v="196"/>
    <d v="2026-04-15T00:00:00"/>
    <d v="2026-04-30T00:00:00"/>
    <d v="2026-04-27T00:00:00"/>
    <n v="194"/>
    <s v="IM-124"/>
    <n v="8"/>
    <s v="Delivered"/>
    <s v="Y"/>
    <s v="Y"/>
    <s v="Y"/>
    <n v="12"/>
    <n v="0.98979591836734693"/>
    <n v="4.1237113402061855E-2"/>
    <n v="1"/>
    <n v="0"/>
    <n v="0"/>
  </r>
  <r>
    <s v="PO-1778"/>
    <x v="4"/>
    <s v="Imported"/>
    <n v="438"/>
    <d v="2026-03-28T00:00:00"/>
    <d v="2026-04-09T00:00:00"/>
    <d v="2026-04-07T00:00:00"/>
    <n v="434"/>
    <s v="IM-213"/>
    <n v="7"/>
    <s v="Delivered"/>
    <s v="Y"/>
    <s v="Y"/>
    <s v="Y"/>
    <n v="10"/>
    <n v="0.9908675799086758"/>
    <n v="1.6129032258064516E-2"/>
    <n v="1"/>
    <n v="0"/>
    <n v="0"/>
  </r>
  <r>
    <s v="PO-1705"/>
    <x v="2"/>
    <s v="Imported"/>
    <n v="232"/>
    <d v="2026-03-06T00:00:00"/>
    <d v="2026-03-17T00:00:00"/>
    <d v="2026-03-14T00:00:00"/>
    <n v="229"/>
    <s v="IM-264"/>
    <n v="6"/>
    <s v="Delivered"/>
    <s v="Y"/>
    <s v="Y"/>
    <s v="Y"/>
    <n v="8"/>
    <n v="0.98706896551724133"/>
    <n v="2.6200873362445413E-2"/>
    <n v="1"/>
    <n v="0"/>
    <n v="0"/>
  </r>
  <r>
    <s v="PO-1296"/>
    <x v="18"/>
    <s v="Raw Material"/>
    <n v="699"/>
    <d v="2026-01-12T00:00:00"/>
    <d v="2026-01-27T00:00:00"/>
    <d v="2026-01-27T00:00:00"/>
    <n v="700"/>
    <s v="RM-192"/>
    <n v="18"/>
    <s v="Delivered"/>
    <s v="Y"/>
    <s v="Y"/>
    <s v="Y"/>
    <n v="15"/>
    <n v="1.0014306151645207"/>
    <n v="2.5714285714285714E-2"/>
    <n v="1"/>
    <n v="0"/>
    <n v="0"/>
  </r>
  <r>
    <s v="PO-1037"/>
    <x v="18"/>
    <s v="Raw Material"/>
    <n v="959"/>
    <d v="2026-04-27T00:00:00"/>
    <d v="2026-05-05T00:00:00"/>
    <d v="2026-05-02T00:00:00"/>
    <n v="955"/>
    <s v="RM-116"/>
    <n v="1"/>
    <s v="Delivered"/>
    <s v="Y"/>
    <s v="Y"/>
    <s v="Y"/>
    <n v="5"/>
    <n v="0.99582898852971846"/>
    <n v="1.0471204188481676E-3"/>
    <n v="1"/>
    <n v="0"/>
    <n v="0"/>
  </r>
  <r>
    <s v="PO-1780"/>
    <x v="7"/>
    <s v="Imported"/>
    <n v="459"/>
    <d v="2026-04-24T00:00:00"/>
    <d v="2026-05-09T00:00:00"/>
    <d v="2026-05-07T00:00:00"/>
    <n v="466"/>
    <s v="IM-178"/>
    <n v="17"/>
    <s v="Delivered"/>
    <s v="Y"/>
    <s v="Y"/>
    <s v="Y"/>
    <n v="13"/>
    <n v="1.0152505446623095"/>
    <n v="3.6480686695278972E-2"/>
    <n v="1"/>
    <n v="0"/>
    <n v="0"/>
  </r>
  <r>
    <s v="PO-1261"/>
    <x v="10"/>
    <s v="Packaging"/>
    <n v="438"/>
    <d v="2026-01-25T00:00:00"/>
    <d v="2026-02-09T00:00:00"/>
    <d v="2026-02-06T00:00:00"/>
    <n v="432"/>
    <s v="PK-226"/>
    <n v="19"/>
    <s v="Delivered"/>
    <s v="Y"/>
    <s v="Y"/>
    <s v="Y"/>
    <n v="12"/>
    <n v="0.98630136986301364"/>
    <n v="4.3981481481481483E-2"/>
    <n v="1"/>
    <n v="0"/>
    <n v="0"/>
  </r>
  <r>
    <s v="PO-1625"/>
    <x v="1"/>
    <s v="Imported"/>
    <n v="770"/>
    <d v="2026-03-13T00:00:00"/>
    <d v="2026-03-26T00:00:00"/>
    <d v="2026-03-29T00:00:00"/>
    <n v="763"/>
    <s v="IM-273"/>
    <n v="1"/>
    <s v="Delivered"/>
    <s v="N"/>
    <s v="Y"/>
    <s v="N"/>
    <n v="16"/>
    <n v="0.99090909090909096"/>
    <n v="1.3106159895150721E-3"/>
    <n v="0"/>
    <n v="3"/>
    <n v="1500"/>
  </r>
  <r>
    <s v="PO-1820"/>
    <x v="17"/>
    <s v="Packaging"/>
    <n v="344"/>
    <d v="2026-06-02T00:00:00"/>
    <d v="2026-06-12T00:00:00"/>
    <d v="2026-06-11T00:00:00"/>
    <n v="346"/>
    <s v="PK-118"/>
    <n v="6"/>
    <s v="Delivered"/>
    <s v="Y"/>
    <s v="Y"/>
    <s v="Y"/>
    <n v="9"/>
    <n v="1.0058139534883721"/>
    <n v="1.7341040462427744E-2"/>
    <n v="1"/>
    <n v="0"/>
    <n v="0"/>
  </r>
  <r>
    <s v="PO-1507"/>
    <x v="1"/>
    <s v="Raw Material"/>
    <n v="357"/>
    <d v="2026-03-31T00:00:00"/>
    <d v="2026-04-10T00:00:00"/>
    <m/>
    <m/>
    <s v="RM-199"/>
    <m/>
    <s v="Pending"/>
    <s v="N/A"/>
    <s v="N/A"/>
    <s v="N/A"/>
    <s v="N/A"/>
    <s v="N/A"/>
    <s v="N/A"/>
    <s v=""/>
    <s v="N/A"/>
    <n v="0"/>
  </r>
  <r>
    <s v="PO-1328"/>
    <x v="17"/>
    <s v="Raw Material"/>
    <n v="997"/>
    <d v="2026-02-26T00:00:00"/>
    <d v="2026-03-04T00:00:00"/>
    <d v="2026-03-03T00:00:00"/>
    <n v="995"/>
    <s v="RM-165"/>
    <n v="26"/>
    <s v="Delivered"/>
    <s v="Y"/>
    <s v="Y"/>
    <s v="Y"/>
    <n v="5"/>
    <n v="0.99799398194583755"/>
    <n v="2.6130653266331658E-2"/>
    <n v="1"/>
    <n v="0"/>
    <n v="0"/>
  </r>
  <r>
    <s v="PO-1577"/>
    <x v="3"/>
    <s v="Raw Material"/>
    <n v="288"/>
    <d v="2026-04-13T00:00:00"/>
    <d v="2026-04-24T00:00:00"/>
    <d v="2026-04-24T00:00:00"/>
    <n v="291"/>
    <s v="RM-187"/>
    <n v="13"/>
    <s v="Delivered"/>
    <s v="Y"/>
    <s v="Y"/>
    <s v="Y"/>
    <n v="11"/>
    <n v="1.0104166666666667"/>
    <n v="4.4673539518900345E-2"/>
    <n v="1"/>
    <n v="0"/>
    <n v="0"/>
  </r>
  <r>
    <s v="PO-1508"/>
    <x v="6"/>
    <s v="Raw Material"/>
    <n v="204"/>
    <d v="2026-05-16T00:00:00"/>
    <d v="2026-05-24T00:00:00"/>
    <d v="2026-05-23T00:00:00"/>
    <n v="206"/>
    <s v="RM-100"/>
    <n v="4"/>
    <s v="Delivered"/>
    <s v="Y"/>
    <s v="Y"/>
    <s v="Y"/>
    <n v="7"/>
    <n v="1.0098039215686274"/>
    <n v="1.9417475728155338E-2"/>
    <n v="1"/>
    <n v="0"/>
    <n v="0"/>
  </r>
  <r>
    <s v="PO-1836"/>
    <x v="0"/>
    <s v="Raw Material"/>
    <n v="262"/>
    <d v="2026-03-20T00:00:00"/>
    <d v="2026-03-25T00:00:00"/>
    <d v="2026-03-25T00:00:00"/>
    <n v="258"/>
    <s v="RM-282"/>
    <n v="0"/>
    <s v="Delivered"/>
    <s v="Y"/>
    <s v="Y"/>
    <s v="Y"/>
    <n v="5"/>
    <n v="0.98473282442748089"/>
    <n v="0"/>
    <n v="1"/>
    <n v="0"/>
    <n v="0"/>
  </r>
  <r>
    <s v="PO-1188"/>
    <x v="1"/>
    <s v="Raw Material"/>
    <n v="321"/>
    <d v="2026-04-11T00:00:00"/>
    <d v="2026-04-25T00:00:00"/>
    <d v="2026-05-03T00:00:00"/>
    <n v="323"/>
    <s v="RM-128"/>
    <n v="5"/>
    <s v="Delivered"/>
    <s v="N"/>
    <s v="Y"/>
    <s v="N"/>
    <n v="22"/>
    <n v="1.0062305295950156"/>
    <n v="1.5479876160990712E-2"/>
    <n v="0"/>
    <n v="8"/>
    <n v="4000"/>
  </r>
  <r>
    <s v="PO-1251"/>
    <x v="2"/>
    <s v="Imported"/>
    <n v="160"/>
    <d v="2026-02-13T00:00:00"/>
    <d v="2026-02-19T00:00:00"/>
    <d v="2026-02-19T00:00:00"/>
    <n v="160"/>
    <s v="IM-193"/>
    <n v="5"/>
    <s v="Delivered"/>
    <s v="Y"/>
    <s v="Y"/>
    <s v="Y"/>
    <n v="6"/>
    <n v="1"/>
    <n v="3.125E-2"/>
    <n v="1"/>
    <n v="0"/>
    <n v="0"/>
  </r>
  <r>
    <s v="PO-1563"/>
    <x v="8"/>
    <s v="Packaging"/>
    <n v="551"/>
    <d v="2026-05-14T00:00:00"/>
    <d v="2026-05-19T00:00:00"/>
    <d v="2026-05-27T00:00:00"/>
    <n v="551"/>
    <s v="PK-167"/>
    <n v="46"/>
    <s v="Delivered"/>
    <s v="N"/>
    <s v="Y"/>
    <s v="N"/>
    <n v="13"/>
    <n v="1"/>
    <n v="8.3484573502722328E-2"/>
    <n v="0"/>
    <n v="8"/>
    <n v="4000"/>
  </r>
  <r>
    <s v="PO-1530"/>
    <x v="18"/>
    <s v="Raw Material"/>
    <n v="667"/>
    <d v="2026-01-23T00:00:00"/>
    <d v="2026-01-28T00:00:00"/>
    <d v="2026-01-27T00:00:00"/>
    <n v="675"/>
    <s v="RM-141"/>
    <n v="36"/>
    <s v="Delivered"/>
    <s v="Y"/>
    <s v="Y"/>
    <s v="Y"/>
    <n v="4"/>
    <n v="1.0119940029985008"/>
    <n v="5.3333333333333337E-2"/>
    <n v="1"/>
    <n v="0"/>
    <n v="0"/>
  </r>
  <r>
    <s v="PO-1347"/>
    <x v="16"/>
    <s v="Raw Material"/>
    <n v="588"/>
    <d v="2026-03-17T00:00:00"/>
    <d v="2026-04-01T00:00:00"/>
    <d v="2026-03-29T00:00:00"/>
    <n v="589"/>
    <s v="RM-225"/>
    <n v="7"/>
    <s v="Delivered"/>
    <s v="Y"/>
    <s v="Y"/>
    <s v="Y"/>
    <n v="12"/>
    <n v="1.0017006802721089"/>
    <n v="1.1884550084889643E-2"/>
    <n v="1"/>
    <n v="0"/>
    <n v="0"/>
  </r>
  <r>
    <s v="PO-1722"/>
    <x v="7"/>
    <s v="Raw Material"/>
    <n v="881"/>
    <d v="2026-05-21T00:00:00"/>
    <d v="2026-05-31T00:00:00"/>
    <d v="2026-05-28T00:00:00"/>
    <n v="883"/>
    <s v="RM-190"/>
    <n v="38"/>
    <s v="Delivered"/>
    <s v="Y"/>
    <s v="Y"/>
    <s v="Y"/>
    <n v="7"/>
    <n v="1.0022701475595914"/>
    <n v="4.3035107587768968E-2"/>
    <n v="1"/>
    <n v="0"/>
    <n v="0"/>
  </r>
  <r>
    <s v="PO-1649"/>
    <x v="14"/>
    <s v="Imported"/>
    <n v="668"/>
    <d v="2026-05-12T00:00:00"/>
    <d v="2026-05-18T00:00:00"/>
    <d v="2026-05-18T00:00:00"/>
    <n v="661"/>
    <s v="IM-236"/>
    <n v="24"/>
    <s v="Delivered"/>
    <s v="Y"/>
    <s v="Y"/>
    <s v="Y"/>
    <n v="6"/>
    <n v="0.98952095808383234"/>
    <n v="3.6308623298033284E-2"/>
    <n v="1"/>
    <n v="0"/>
    <n v="0"/>
  </r>
  <r>
    <s v="PO-1917"/>
    <x v="17"/>
    <s v="Raw Material"/>
    <n v="357"/>
    <d v="2026-04-07T00:00:00"/>
    <d v="2026-04-21T00:00:00"/>
    <d v="2026-04-18T00:00:00"/>
    <n v="355"/>
    <s v="RM-286"/>
    <n v="7"/>
    <s v="Delivered"/>
    <s v="Y"/>
    <s v="Y"/>
    <s v="Y"/>
    <n v="11"/>
    <n v="0.99439775910364148"/>
    <n v="1.9718309859154931E-2"/>
    <n v="1"/>
    <n v="0"/>
    <n v="0"/>
  </r>
  <r>
    <s v="PO-1945"/>
    <x v="12"/>
    <s v="Imported"/>
    <n v="122"/>
    <d v="2026-05-14T00:00:00"/>
    <d v="2026-05-27T00:00:00"/>
    <d v="2026-06-01T00:00:00"/>
    <n v="101"/>
    <s v="IM-127"/>
    <n v="1"/>
    <s v="Delivered"/>
    <s v="N"/>
    <s v="N"/>
    <s v="N"/>
    <n v="18"/>
    <n v="0.82786885245901642"/>
    <n v="9.9009900990099011E-3"/>
    <n v="0"/>
    <n v="5"/>
    <n v="2500"/>
  </r>
  <r>
    <s v="PO-1518"/>
    <x v="9"/>
    <s v="Raw Material"/>
    <n v="687"/>
    <d v="2026-01-20T00:00:00"/>
    <d v="2026-01-31T00:00:00"/>
    <d v="2026-01-29T00:00:00"/>
    <n v="686"/>
    <s v="RM-177"/>
    <n v="41"/>
    <s v="Delivered"/>
    <s v="Y"/>
    <s v="Y"/>
    <s v="Y"/>
    <n v="9"/>
    <n v="0.99854439592430855"/>
    <n v="5.9766763848396499E-2"/>
    <n v="1"/>
    <n v="0"/>
    <n v="0"/>
  </r>
  <r>
    <s v="PO-1946"/>
    <x v="4"/>
    <s v="Raw Material"/>
    <n v="387"/>
    <d v="2026-03-09T00:00:00"/>
    <d v="2026-03-22T00:00:00"/>
    <d v="2026-03-19T00:00:00"/>
    <n v="316"/>
    <s v="RM-214"/>
    <n v="6"/>
    <s v="Delivered"/>
    <s v="Y"/>
    <s v="N"/>
    <s v="N"/>
    <n v="10"/>
    <n v="0.81653746770025837"/>
    <n v="1.8987341772151899E-2"/>
    <n v="0"/>
    <n v="0"/>
    <n v="0"/>
  </r>
  <r>
    <s v="PO-1564"/>
    <x v="10"/>
    <s v="Packaging"/>
    <n v="531"/>
    <d v="2026-04-25T00:00:00"/>
    <d v="2026-05-10T00:00:00"/>
    <d v="2026-05-08T00:00:00"/>
    <n v="541"/>
    <s v="PK-179"/>
    <n v="37"/>
    <s v="Delivered"/>
    <s v="Y"/>
    <s v="Y"/>
    <s v="Y"/>
    <n v="13"/>
    <n v="1.0188323917137476"/>
    <n v="6.839186691312385E-2"/>
    <n v="1"/>
    <n v="0"/>
    <n v="0"/>
  </r>
  <r>
    <s v="PO-1693"/>
    <x v="11"/>
    <s v="Raw Material"/>
    <n v="683"/>
    <d v="2026-03-21T00:00:00"/>
    <d v="2026-03-30T00:00:00"/>
    <d v="2026-03-30T00:00:00"/>
    <n v="672"/>
    <s v="RM-220"/>
    <n v="1"/>
    <s v="Delivered"/>
    <s v="Y"/>
    <s v="Y"/>
    <s v="Y"/>
    <n v="9"/>
    <n v="0.98389458272327968"/>
    <n v="1.488095238095238E-3"/>
    <n v="1"/>
    <n v="0"/>
    <n v="0"/>
  </r>
  <r>
    <s v="PO-1662"/>
    <x v="11"/>
    <s v="Packaging"/>
    <n v="793"/>
    <d v="2026-02-23T00:00:00"/>
    <d v="2026-03-05T00:00:00"/>
    <d v="2026-03-04T00:00:00"/>
    <n v="798"/>
    <s v="PK-282"/>
    <n v="2"/>
    <s v="Delivered"/>
    <s v="Y"/>
    <s v="Y"/>
    <s v="Y"/>
    <n v="9"/>
    <n v="1.0063051702395964"/>
    <n v="2.5062656641604009E-3"/>
    <n v="1"/>
    <n v="0"/>
    <n v="0"/>
  </r>
  <r>
    <s v="PO-1821"/>
    <x v="3"/>
    <s v="Imported"/>
    <n v="888"/>
    <d v="2026-01-05T00:00:00"/>
    <d v="2026-01-15T00:00:00"/>
    <d v="2026-01-14T00:00:00"/>
    <n v="906"/>
    <s v="IM-132"/>
    <n v="73"/>
    <s v="Delivered"/>
    <s v="Y"/>
    <s v="Y"/>
    <s v="Y"/>
    <n v="9"/>
    <n v="1.0202702702702702"/>
    <n v="8.0573951434878582E-2"/>
    <n v="1"/>
    <n v="0"/>
    <n v="0"/>
  </r>
  <r>
    <s v="PO-1455"/>
    <x v="11"/>
    <s v="Imported"/>
    <n v="944"/>
    <d v="2026-02-27T00:00:00"/>
    <d v="2026-03-06T00:00:00"/>
    <d v="2026-03-04T00:00:00"/>
    <n v="835"/>
    <s v="IM-125"/>
    <n v="1"/>
    <s v="Delivered"/>
    <s v="Y"/>
    <s v="N"/>
    <s v="N"/>
    <n v="5"/>
    <n v="0.88453389830508478"/>
    <n v="1.1976047904191617E-3"/>
    <n v="0"/>
    <n v="0"/>
    <n v="0"/>
  </r>
  <r>
    <s v="PO-1686"/>
    <x v="3"/>
    <s v="Packaging"/>
    <n v="542"/>
    <d v="2026-05-27T00:00:00"/>
    <d v="2026-06-08T00:00:00"/>
    <d v="2026-06-13T00:00:00"/>
    <n v="520"/>
    <s v="PK-254"/>
    <n v="43"/>
    <s v="Delivered"/>
    <s v="N"/>
    <s v="N"/>
    <s v="N"/>
    <n v="17"/>
    <n v="0.95940959409594095"/>
    <n v="8.269230769230769E-2"/>
    <n v="0"/>
    <n v="5"/>
    <n v="2500"/>
  </r>
  <r>
    <s v="PO-1452"/>
    <x v="6"/>
    <s v="Imported"/>
    <n v="455"/>
    <d v="2026-02-25T00:00:00"/>
    <d v="2026-03-07T00:00:00"/>
    <m/>
    <m/>
    <s v="IM-171"/>
    <m/>
    <s v="Pending"/>
    <s v="N/A"/>
    <s v="N/A"/>
    <s v="N/A"/>
    <s v="N/A"/>
    <s v="N/A"/>
    <s v="N/A"/>
    <s v=""/>
    <s v="N/A"/>
    <n v="0"/>
  </r>
  <r>
    <s v="PO-1789"/>
    <x v="3"/>
    <s v="Packaging"/>
    <n v="652"/>
    <d v="2026-05-29T00:00:00"/>
    <d v="2026-06-06T00:00:00"/>
    <d v="2026-06-06T00:00:00"/>
    <n v="550"/>
    <s v="PK-283"/>
    <n v="36"/>
    <s v="Delivered"/>
    <s v="Y"/>
    <s v="N"/>
    <s v="N"/>
    <n v="8"/>
    <n v="0.84355828220858897"/>
    <n v="6.545454545454546E-2"/>
    <n v="0"/>
    <n v="0"/>
    <n v="0"/>
  </r>
  <r>
    <s v="PO-1446"/>
    <x v="11"/>
    <s v="Imported"/>
    <n v="133"/>
    <d v="2026-04-02T00:00:00"/>
    <d v="2026-04-17T00:00:00"/>
    <m/>
    <m/>
    <s v="IM-153"/>
    <m/>
    <s v="Pending"/>
    <s v="N/A"/>
    <s v="N/A"/>
    <s v="N/A"/>
    <s v="N/A"/>
    <s v="N/A"/>
    <s v="N/A"/>
    <s v=""/>
    <s v="N/A"/>
    <n v="0"/>
  </r>
  <r>
    <s v="PO-1218"/>
    <x v="19"/>
    <s v="Packaging"/>
    <n v="596"/>
    <d v="2026-03-19T00:00:00"/>
    <d v="2026-03-28T00:00:00"/>
    <d v="2026-03-28T00:00:00"/>
    <n v="586"/>
    <s v="PK-164"/>
    <n v="28"/>
    <s v="Delivered"/>
    <s v="Y"/>
    <s v="Y"/>
    <s v="Y"/>
    <n v="9"/>
    <n v="0.98322147651006708"/>
    <n v="4.778156996587031E-2"/>
    <n v="1"/>
    <n v="0"/>
    <n v="0"/>
  </r>
  <r>
    <s v="PO-1239"/>
    <x v="15"/>
    <s v="Packaging"/>
    <n v="114"/>
    <d v="2026-05-21T00:00:00"/>
    <d v="2026-05-29T00:00:00"/>
    <d v="2026-05-29T00:00:00"/>
    <n v="112"/>
    <s v="PK-260"/>
    <n v="2"/>
    <s v="Delivered"/>
    <s v="Y"/>
    <s v="Y"/>
    <s v="Y"/>
    <n v="8"/>
    <n v="0.98245614035087714"/>
    <n v="1.7857142857142856E-2"/>
    <n v="1"/>
    <n v="0"/>
    <n v="0"/>
  </r>
  <r>
    <s v="PO-1528"/>
    <x v="10"/>
    <s v="Raw Material"/>
    <n v="483"/>
    <d v="2026-03-27T00:00:00"/>
    <d v="2026-04-11T00:00:00"/>
    <d v="2026-04-10T00:00:00"/>
    <n v="474"/>
    <s v="RM-231"/>
    <n v="12"/>
    <s v="Delivered"/>
    <s v="Y"/>
    <s v="Y"/>
    <s v="Y"/>
    <n v="14"/>
    <n v="0.98136645962732916"/>
    <n v="2.5316455696202531E-2"/>
    <n v="1"/>
    <n v="0"/>
    <n v="0"/>
  </r>
  <r>
    <s v="PO-1585"/>
    <x v="5"/>
    <s v="Raw Material"/>
    <n v="598"/>
    <d v="2026-04-07T00:00:00"/>
    <d v="2026-04-12T00:00:00"/>
    <d v="2026-04-14T00:00:00"/>
    <n v="508"/>
    <s v="RM-175"/>
    <n v="2"/>
    <s v="Delivered"/>
    <s v="N"/>
    <s v="N"/>
    <s v="N"/>
    <n v="7"/>
    <n v="0.84949832775919731"/>
    <n v="3.937007874015748E-3"/>
    <n v="0"/>
    <n v="2"/>
    <n v="1000"/>
  </r>
  <r>
    <s v="PO-1192"/>
    <x v="0"/>
    <s v="Raw Material"/>
    <n v="302"/>
    <d v="2026-04-25T00:00:00"/>
    <d v="2026-04-30T00:00:00"/>
    <d v="2026-04-30T00:00:00"/>
    <n v="301"/>
    <s v="RM-137"/>
    <n v="3"/>
    <s v="Delivered"/>
    <s v="Y"/>
    <s v="Y"/>
    <s v="Y"/>
    <n v="5"/>
    <n v="0.99668874172185429"/>
    <n v="9.9667774086378731E-3"/>
    <n v="1"/>
    <n v="0"/>
    <n v="0"/>
  </r>
  <r>
    <s v="PO-1492"/>
    <x v="5"/>
    <s v="Packaging"/>
    <n v="666"/>
    <d v="2026-04-13T00:00:00"/>
    <d v="2026-04-19T00:00:00"/>
    <d v="2026-04-19T00:00:00"/>
    <n v="663"/>
    <s v="PK-294"/>
    <n v="0"/>
    <s v="Delivered"/>
    <s v="Y"/>
    <s v="Y"/>
    <s v="Y"/>
    <n v="6"/>
    <n v="0.99549549549549554"/>
    <n v="0"/>
    <n v="1"/>
    <n v="0"/>
    <n v="0"/>
  </r>
  <r>
    <s v="PO-1191"/>
    <x v="19"/>
    <s v="Imported"/>
    <n v="470"/>
    <d v="2026-05-27T00:00:00"/>
    <d v="2026-06-03T00:00:00"/>
    <d v="2026-06-02T00:00:00"/>
    <n v="462"/>
    <s v="unknown_SKU"/>
    <n v="17"/>
    <s v="Delivered"/>
    <s v="Y"/>
    <s v="Y"/>
    <s v="Y"/>
    <n v="6"/>
    <n v="0.98297872340425529"/>
    <n v="3.67965367965368E-2"/>
    <n v="1"/>
    <n v="0"/>
    <n v="0"/>
  </r>
  <r>
    <s v="PO-1350"/>
    <x v="6"/>
    <s v="Raw Material"/>
    <n v="844"/>
    <d v="2026-01-29T00:00:00"/>
    <d v="2026-02-13T00:00:00"/>
    <d v="2026-02-10T00:00:00"/>
    <n v="850"/>
    <s v="RM-116"/>
    <n v="16"/>
    <s v="Delivered"/>
    <s v="Y"/>
    <s v="Y"/>
    <s v="Y"/>
    <n v="12"/>
    <n v="1.0071090047393365"/>
    <n v="1.8823529411764704E-2"/>
    <n v="1"/>
    <n v="0"/>
    <n v="0"/>
  </r>
  <r>
    <s v="PO-1879"/>
    <x v="9"/>
    <s v="Raw Material"/>
    <n v="386"/>
    <d v="2026-03-06T00:00:00"/>
    <d v="2026-03-14T00:00:00"/>
    <d v="2026-03-14T00:00:00"/>
    <n v="393"/>
    <s v="RM-220"/>
    <n v="11"/>
    <s v="Delivered"/>
    <s v="Y"/>
    <s v="Y"/>
    <s v="Y"/>
    <n v="8"/>
    <n v="1.0181347150259068"/>
    <n v="2.7989821882951654E-2"/>
    <n v="1"/>
    <n v="0"/>
    <n v="0"/>
  </r>
  <r>
    <s v="PO-1377"/>
    <x v="7"/>
    <s v="Raw Material"/>
    <n v="437"/>
    <d v="2026-01-24T00:00:00"/>
    <d v="2026-01-30T00:00:00"/>
    <d v="2026-01-30T00:00:00"/>
    <n v="431"/>
    <s v="RM-133"/>
    <n v="27"/>
    <s v="Delivered"/>
    <s v="Y"/>
    <s v="Y"/>
    <s v="Y"/>
    <n v="6"/>
    <n v="0.98627002288329524"/>
    <n v="6.2645011600928072E-2"/>
    <n v="1"/>
    <n v="0"/>
    <n v="0"/>
  </r>
  <r>
    <s v="PO-1132"/>
    <x v="11"/>
    <s v="Packaging"/>
    <n v="471"/>
    <d v="2026-04-16T00:00:00"/>
    <d v="2026-04-29T00:00:00"/>
    <d v="2026-04-28T00:00:00"/>
    <n v="396"/>
    <s v="PK-132"/>
    <n v="6"/>
    <s v="Delivered"/>
    <s v="Y"/>
    <s v="N"/>
    <s v="N"/>
    <n v="12"/>
    <n v="0.84076433121019112"/>
    <n v="1.5151515151515152E-2"/>
    <n v="0"/>
    <n v="0"/>
    <n v="0"/>
  </r>
  <r>
    <s v="PO-1372"/>
    <x v="14"/>
    <s v="Raw Material"/>
    <n v="197"/>
    <d v="2026-02-16T00:00:00"/>
    <d v="2026-02-28T00:00:00"/>
    <d v="2026-02-26T00:00:00"/>
    <n v="197"/>
    <s v="RM-158"/>
    <n v="4"/>
    <s v="Delivered"/>
    <s v="Y"/>
    <s v="Y"/>
    <s v="Y"/>
    <n v="10"/>
    <n v="1"/>
    <n v="2.030456852791878E-2"/>
    <n v="1"/>
    <n v="0"/>
    <n v="0"/>
  </r>
  <r>
    <s v="PO-1252"/>
    <x v="15"/>
    <s v="Raw Material"/>
    <n v="358"/>
    <d v="2026-05-11T00:00:00"/>
    <d v="2026-05-24T00:00:00"/>
    <d v="2026-05-22T00:00:00"/>
    <n v="361"/>
    <s v="RM-148"/>
    <n v="4"/>
    <s v="Delivered"/>
    <s v="Y"/>
    <s v="Y"/>
    <s v="Y"/>
    <n v="11"/>
    <n v="1.0083798882681565"/>
    <n v="1.1080332409972299E-2"/>
    <n v="1"/>
    <n v="0"/>
    <n v="0"/>
  </r>
  <r>
    <s v="PO-1680"/>
    <x v="10"/>
    <s v="Imported"/>
    <n v="812"/>
    <d v="2026-02-25T00:00:00"/>
    <d v="2026-03-07T00:00:00"/>
    <d v="2026-03-08T00:00:00"/>
    <n v="815"/>
    <s v="IM-209"/>
    <n v="51"/>
    <s v="Delivered"/>
    <s v="N"/>
    <s v="Y"/>
    <s v="N"/>
    <n v="11"/>
    <n v="1.0036945812807883"/>
    <n v="6.2576687116564417E-2"/>
    <n v="0"/>
    <n v="1"/>
    <n v="500"/>
  </r>
  <r>
    <s v="PO-1770"/>
    <x v="6"/>
    <s v="Raw Material"/>
    <n v="954"/>
    <d v="2026-03-07T00:00:00"/>
    <d v="2026-03-13T00:00:00"/>
    <d v="2026-03-11T00:00:00"/>
    <n v="961"/>
    <s v="RM-156"/>
    <n v="12"/>
    <s v="Delivered"/>
    <s v="Y"/>
    <s v="Y"/>
    <s v="Y"/>
    <n v="4"/>
    <n v="1.0073375262054507"/>
    <n v="1.2486992715920915E-2"/>
    <n v="1"/>
    <n v="0"/>
    <n v="0"/>
  </r>
  <r>
    <s v="PO-1263"/>
    <x v="0"/>
    <s v="Raw Material"/>
    <n v="965"/>
    <d v="2026-04-15T00:00:00"/>
    <d v="2026-04-23T00:00:00"/>
    <d v="2026-04-23T00:00:00"/>
    <n v="969"/>
    <s v="RM-244"/>
    <n v="15"/>
    <s v="Delivered"/>
    <s v="Y"/>
    <s v="Y"/>
    <s v="Y"/>
    <n v="8"/>
    <n v="1.0041450777202072"/>
    <n v="1.5479876160990712E-2"/>
    <n v="1"/>
    <n v="0"/>
    <n v="0"/>
  </r>
  <r>
    <s v="PO-1070"/>
    <x v="3"/>
    <s v="Packaging"/>
    <n v="92"/>
    <d v="2026-05-22T00:00:00"/>
    <d v="2026-05-28T00:00:00"/>
    <d v="2026-05-28T00:00:00"/>
    <n v="84"/>
    <s v="PK-104"/>
    <n v="6"/>
    <s v="Delivered"/>
    <s v="Y"/>
    <s v="N"/>
    <s v="N"/>
    <n v="6"/>
    <n v="0.91304347826086951"/>
    <n v="7.1428571428571425E-2"/>
    <n v="0"/>
    <n v="0"/>
    <n v="0"/>
  </r>
  <r>
    <s v="PO-1272"/>
    <x v="2"/>
    <s v="Raw Material"/>
    <n v="124"/>
    <d v="2026-01-07T00:00:00"/>
    <d v="2026-01-13T00:00:00"/>
    <d v="2026-01-12T00:00:00"/>
    <n v="125"/>
    <s v="RM-171"/>
    <n v="1"/>
    <s v="Delivered"/>
    <s v="Y"/>
    <s v="Y"/>
    <s v="Y"/>
    <n v="5"/>
    <n v="1.0080645161290323"/>
    <n v="8.0000000000000002E-3"/>
    <n v="1"/>
    <n v="0"/>
    <n v="0"/>
  </r>
  <r>
    <s v="PO-1980"/>
    <x v="11"/>
    <s v="Raw Material"/>
    <n v="836"/>
    <d v="2026-05-03T00:00:00"/>
    <d v="2026-05-08T00:00:00"/>
    <d v="2026-05-06T00:00:00"/>
    <n v="829"/>
    <s v="RM-267"/>
    <n v="8"/>
    <s v="Delivered"/>
    <s v="Y"/>
    <s v="Y"/>
    <s v="Y"/>
    <n v="3"/>
    <n v="0.99162679425837319"/>
    <n v="9.6501809408926411E-3"/>
    <n v="1"/>
    <n v="0"/>
    <n v="0"/>
  </r>
  <r>
    <s v="PO-1327"/>
    <x v="2"/>
    <s v="Imported"/>
    <n v="748"/>
    <d v="2026-02-12T00:00:00"/>
    <d v="2026-02-27T00:00:00"/>
    <d v="2026-02-27T00:00:00"/>
    <n v="736"/>
    <s v="IM-270"/>
    <n v="25"/>
    <s v="Delivered"/>
    <s v="Y"/>
    <s v="Y"/>
    <s v="Y"/>
    <n v="15"/>
    <n v="0.98395721925133695"/>
    <n v="3.3967391304347824E-2"/>
    <n v="1"/>
    <n v="0"/>
    <n v="0"/>
  </r>
  <r>
    <s v="PO-1115"/>
    <x v="18"/>
    <s v="Imported"/>
    <n v="408"/>
    <d v="2026-05-04T00:00:00"/>
    <d v="2026-05-17T00:00:00"/>
    <d v="2026-05-14T00:00:00"/>
    <n v="387"/>
    <s v="IM-112"/>
    <n v="7"/>
    <s v="Delivered"/>
    <s v="Y"/>
    <s v="N"/>
    <s v="N"/>
    <n v="10"/>
    <n v="0.94852941176470584"/>
    <n v="1.8087855297157621E-2"/>
    <n v="0"/>
    <n v="0"/>
    <n v="0"/>
  </r>
  <r>
    <s v="PO-1323"/>
    <x v="15"/>
    <s v="Raw Material"/>
    <n v="959"/>
    <d v="2026-02-06T00:00:00"/>
    <d v="2026-02-12T00:00:00"/>
    <d v="2026-02-18T00:00:00"/>
    <n v="942"/>
    <s v="RM-158"/>
    <n v="9"/>
    <s v="Delivered"/>
    <s v="N"/>
    <s v="Y"/>
    <s v="N"/>
    <n v="12"/>
    <n v="0.98227320125130346"/>
    <n v="9.5541401273885346E-3"/>
    <n v="0"/>
    <n v="6"/>
    <n v="3000"/>
  </r>
  <r>
    <s v="PO-1975"/>
    <x v="15"/>
    <s v="Packaging"/>
    <n v="648"/>
    <d v="2026-05-04T00:00:00"/>
    <d v="2026-05-09T00:00:00"/>
    <d v="2026-05-06T00:00:00"/>
    <n v="637"/>
    <s v="PK-201"/>
    <n v="2"/>
    <s v="Delivered"/>
    <s v="Y"/>
    <s v="Y"/>
    <s v="Y"/>
    <n v="2"/>
    <n v="0.98302469135802473"/>
    <n v="3.1397174254317113E-3"/>
    <n v="1"/>
    <n v="0"/>
    <n v="0"/>
  </r>
  <r>
    <s v="PO-1672"/>
    <x v="7"/>
    <s v="Packaging"/>
    <n v="953"/>
    <d v="2026-04-24T00:00:00"/>
    <d v="2026-04-30T00:00:00"/>
    <d v="2026-04-27T00:00:00"/>
    <n v="957"/>
    <s v="unknown_SKU"/>
    <n v="10"/>
    <s v="Delivered"/>
    <s v="Y"/>
    <s v="Y"/>
    <s v="Y"/>
    <n v="3"/>
    <n v="1.0041972717733474"/>
    <n v="1.0449320794148381E-2"/>
    <n v="1"/>
    <n v="0"/>
    <n v="0"/>
  </r>
  <r>
    <s v="PO-1747"/>
    <x v="14"/>
    <s v="Raw Material"/>
    <n v="730"/>
    <d v="2026-03-29T00:00:00"/>
    <d v="2026-04-06T00:00:00"/>
    <d v="2026-04-15T00:00:00"/>
    <n v="724"/>
    <s v="RM-279"/>
    <n v="30"/>
    <s v="Delivered"/>
    <s v="N"/>
    <s v="Y"/>
    <s v="N"/>
    <n v="17"/>
    <n v="0.99178082191780825"/>
    <n v="4.1436464088397788E-2"/>
    <n v="0"/>
    <n v="9"/>
    <n v="4500"/>
  </r>
  <r>
    <s v="PO-1423"/>
    <x v="11"/>
    <s v="Raw Material"/>
    <n v="443"/>
    <d v="2026-04-04T00:00:00"/>
    <d v="2026-04-14T00:00:00"/>
    <d v="2026-04-18T00:00:00"/>
    <n v="444"/>
    <s v="RM-117"/>
    <n v="2"/>
    <s v="Delivered"/>
    <s v="N"/>
    <s v="Y"/>
    <s v="N"/>
    <n v="14"/>
    <n v="1.0022573363431151"/>
    <n v="4.5045045045045045E-3"/>
    <n v="0"/>
    <n v="4"/>
    <n v="2000"/>
  </r>
  <r>
    <s v="PO-1810"/>
    <x v="9"/>
    <s v="Raw Material"/>
    <n v="388"/>
    <d v="2026-05-30T00:00:00"/>
    <d v="2026-06-11T00:00:00"/>
    <m/>
    <m/>
    <s v="RM-129"/>
    <m/>
    <s v="Pending"/>
    <s v="N/A"/>
    <s v="N/A"/>
    <s v="N/A"/>
    <s v="N/A"/>
    <s v="N/A"/>
    <s v="N/A"/>
    <s v=""/>
    <s v="N/A"/>
    <n v="0"/>
  </r>
  <r>
    <s v="PO-1783"/>
    <x v="2"/>
    <s v="Raw Material"/>
    <n v="967"/>
    <d v="2026-01-30T00:00:00"/>
    <d v="2026-02-04T00:00:00"/>
    <d v="2026-02-01T00:00:00"/>
    <n v="958"/>
    <s v="RM-266"/>
    <n v="50"/>
    <s v="Delivered"/>
    <s v="Y"/>
    <s v="Y"/>
    <s v="Y"/>
    <n v="2"/>
    <n v="0.99069286452947258"/>
    <n v="5.2192066805845511E-2"/>
    <n v="1"/>
    <n v="0"/>
    <n v="0"/>
  </r>
  <r>
    <s v="PO-1449"/>
    <x v="9"/>
    <s v="Raw Material"/>
    <n v="956"/>
    <d v="2026-02-25T00:00:00"/>
    <d v="2026-03-06T00:00:00"/>
    <d v="2026-03-05T00:00:00"/>
    <n v="958"/>
    <s v="RM-185"/>
    <n v="36"/>
    <s v="Delivered"/>
    <s v="Y"/>
    <s v="Y"/>
    <s v="Y"/>
    <n v="8"/>
    <n v="1.002092050209205"/>
    <n v="3.7578288100208766E-2"/>
    <n v="1"/>
    <n v="0"/>
    <n v="0"/>
  </r>
  <r>
    <s v="PO-1973"/>
    <x v="6"/>
    <s v="Packaging"/>
    <n v="863"/>
    <d v="2026-05-16T00:00:00"/>
    <d v="2026-05-27T00:00:00"/>
    <d v="2026-06-01T00:00:00"/>
    <n v="834"/>
    <s v="PK-163"/>
    <n v="7"/>
    <s v="Delivered"/>
    <s v="N"/>
    <s v="N"/>
    <s v="N"/>
    <n v="16"/>
    <n v="0.96639629200463495"/>
    <n v="8.3932853717026377E-3"/>
    <n v="0"/>
    <n v="5"/>
    <n v="2500"/>
  </r>
  <r>
    <s v="PO-1568"/>
    <x v="7"/>
    <s v="Imported"/>
    <n v="523"/>
    <d v="2026-01-14T00:00:00"/>
    <d v="2026-01-24T00:00:00"/>
    <d v="2026-01-21T00:00:00"/>
    <n v="482"/>
    <s v="IM-237"/>
    <n v="9"/>
    <s v="Delivered"/>
    <s v="Y"/>
    <s v="N"/>
    <s v="N"/>
    <n v="7"/>
    <n v="0.92160611854684515"/>
    <n v="1.8672199170124481E-2"/>
    <n v="0"/>
    <n v="0"/>
    <n v="0"/>
  </r>
  <r>
    <s v="PO-1846"/>
    <x v="11"/>
    <s v="Packaging"/>
    <n v="758"/>
    <d v="2026-05-29T00:00:00"/>
    <d v="2026-06-04T00:00:00"/>
    <d v="2026-06-02T00:00:00"/>
    <n v="769"/>
    <s v="PK-117"/>
    <n v="12"/>
    <s v="Delivered"/>
    <s v="Y"/>
    <s v="Y"/>
    <s v="Y"/>
    <n v="4"/>
    <n v="1.0145118733509235"/>
    <n v="1.5604681404421327E-2"/>
    <n v="1"/>
    <n v="0"/>
    <n v="0"/>
  </r>
  <r>
    <s v="PO-1845"/>
    <x v="7"/>
    <s v="Raw Material"/>
    <n v="296"/>
    <d v="2026-05-30T00:00:00"/>
    <d v="2026-06-04T00:00:00"/>
    <d v="2026-06-09T00:00:00"/>
    <n v="297"/>
    <s v="RM-159"/>
    <n v="13"/>
    <s v="Delivered"/>
    <s v="N"/>
    <s v="Y"/>
    <s v="N"/>
    <n v="10"/>
    <n v="1.0033783783783783"/>
    <n v="4.3771043771043773E-2"/>
    <n v="0"/>
    <n v="5"/>
    <n v="2500"/>
  </r>
  <r>
    <s v="PO-1278"/>
    <x v="10"/>
    <s v="Packaging"/>
    <n v="373"/>
    <d v="2026-01-22T00:00:00"/>
    <d v="2026-02-01T00:00:00"/>
    <d v="2026-02-01T00:00:00"/>
    <n v="366"/>
    <s v="PK-253"/>
    <n v="9"/>
    <s v="Delivered"/>
    <s v="Y"/>
    <s v="Y"/>
    <s v="Y"/>
    <n v="10"/>
    <n v="0.98123324396782841"/>
    <n v="2.4590163934426229E-2"/>
    <n v="1"/>
    <n v="0"/>
    <n v="0"/>
  </r>
  <r>
    <s v="PO-1795"/>
    <x v="8"/>
    <s v="Raw Material"/>
    <n v="226"/>
    <d v="2026-05-05T00:00:00"/>
    <d v="2026-05-13T00:00:00"/>
    <d v="2026-05-10T00:00:00"/>
    <n v="228"/>
    <s v="RM-253"/>
    <n v="5"/>
    <s v="Delivered"/>
    <s v="Y"/>
    <s v="Y"/>
    <s v="Y"/>
    <n v="5"/>
    <n v="1.0088495575221239"/>
    <n v="2.1929824561403508E-2"/>
    <n v="1"/>
    <n v="0"/>
    <n v="0"/>
  </r>
  <r>
    <s v="PO-1657"/>
    <x v="2"/>
    <s v="Imported"/>
    <n v="989"/>
    <d v="2026-01-30T00:00:00"/>
    <d v="2026-02-12T00:00:00"/>
    <d v="2026-02-11T00:00:00"/>
    <n v="998"/>
    <s v="IM-274"/>
    <n v="18"/>
    <s v="Delivered"/>
    <s v="Y"/>
    <s v="Y"/>
    <s v="Y"/>
    <n v="12"/>
    <n v="1.0091001011122345"/>
    <n v="1.8036072144288578E-2"/>
    <n v="1"/>
    <n v="0"/>
    <n v="0"/>
  </r>
  <r>
    <s v="PO-1002"/>
    <x v="12"/>
    <s v="Imported"/>
    <n v="112"/>
    <d v="2026-01-16T00:00:00"/>
    <d v="2026-01-22T00:00:00"/>
    <d v="2026-01-29T00:00:00"/>
    <n v="113"/>
    <s v="IM-171"/>
    <n v="2"/>
    <s v="Delivered"/>
    <s v="N"/>
    <s v="Y"/>
    <s v="N"/>
    <n v="13"/>
    <n v="1.0089285714285714"/>
    <n v="1.7699115044247787E-2"/>
    <n v="0"/>
    <n v="7"/>
    <n v="3500"/>
  </r>
  <r>
    <s v="PO-1229"/>
    <x v="13"/>
    <s v="Raw Material"/>
    <n v="386"/>
    <d v="2026-02-07T00:00:00"/>
    <d v="2026-02-20T00:00:00"/>
    <d v="2026-03-01T00:00:00"/>
    <n v="347"/>
    <s v="RM-120"/>
    <n v="21"/>
    <s v="Delivered"/>
    <s v="N"/>
    <s v="N"/>
    <s v="N"/>
    <n v="22"/>
    <n v="0.89896373056994816"/>
    <n v="6.0518731988472622E-2"/>
    <n v="0"/>
    <n v="9"/>
    <n v="4500"/>
  </r>
  <r>
    <s v="PO-1435"/>
    <x v="11"/>
    <s v="Imported"/>
    <n v="569"/>
    <d v="2026-01-16T00:00:00"/>
    <d v="2026-01-23T00:00:00"/>
    <d v="2026-01-21T00:00:00"/>
    <n v="573"/>
    <s v="IM-294"/>
    <n v="5"/>
    <s v="Delivered"/>
    <s v="Y"/>
    <s v="Y"/>
    <s v="Y"/>
    <n v="5"/>
    <n v="1.0070298769771528"/>
    <n v="8.7260034904013961E-3"/>
    <n v="1"/>
    <n v="0"/>
    <n v="0"/>
  </r>
  <r>
    <s v="PO-1956"/>
    <x v="2"/>
    <s v="Packaging"/>
    <n v="582"/>
    <d v="2026-04-23T00:00:00"/>
    <d v="2026-05-04T00:00:00"/>
    <d v="2026-05-04T00:00:00"/>
    <n v="572"/>
    <s v="PK-226"/>
    <n v="19"/>
    <s v="Delivered"/>
    <s v="Y"/>
    <s v="Y"/>
    <s v="Y"/>
    <n v="11"/>
    <n v="0.98281786941580751"/>
    <n v="3.3216783216783216E-2"/>
    <n v="1"/>
    <n v="0"/>
    <n v="0"/>
  </r>
  <r>
    <s v="PO-1465"/>
    <x v="2"/>
    <s v="Raw Material"/>
    <n v="686"/>
    <d v="2026-04-22T00:00:00"/>
    <d v="2026-05-07T00:00:00"/>
    <d v="2026-05-07T00:00:00"/>
    <n v="680"/>
    <s v="RM-260"/>
    <n v="20"/>
    <s v="Delivered"/>
    <s v="Y"/>
    <s v="Y"/>
    <s v="Y"/>
    <n v="15"/>
    <n v="0.99125364431486884"/>
    <n v="2.9411764705882353E-2"/>
    <n v="1"/>
    <n v="0"/>
    <n v="0"/>
  </r>
  <r>
    <s v="PO-1868"/>
    <x v="16"/>
    <s v="Raw Material"/>
    <n v="150"/>
    <d v="2026-03-29T00:00:00"/>
    <d v="2026-04-10T00:00:00"/>
    <d v="2026-04-10T00:00:00"/>
    <n v="149"/>
    <s v="RM-200"/>
    <n v="2"/>
    <s v="Delivered"/>
    <s v="Y"/>
    <s v="Y"/>
    <s v="Y"/>
    <n v="12"/>
    <n v="0.99333333333333329"/>
    <n v="1.3422818791946308E-2"/>
    <n v="1"/>
    <n v="0"/>
    <n v="0"/>
  </r>
  <r>
    <s v="PO-1199"/>
    <x v="18"/>
    <s v="Raw Material"/>
    <n v="187"/>
    <d v="2026-01-27T00:00:00"/>
    <d v="2026-02-07T00:00:00"/>
    <d v="2026-02-07T00:00:00"/>
    <n v="184"/>
    <s v="RM-118"/>
    <n v="7"/>
    <s v="Delivered"/>
    <s v="Y"/>
    <s v="Y"/>
    <s v="Y"/>
    <n v="11"/>
    <n v="0.98395721925133695"/>
    <n v="3.8043478260869568E-2"/>
    <n v="1"/>
    <n v="0"/>
    <n v="0"/>
  </r>
  <r>
    <s v="PO-1371"/>
    <x v="7"/>
    <s v="Packaging"/>
    <n v="805"/>
    <d v="2026-04-18T00:00:00"/>
    <d v="2026-04-28T00:00:00"/>
    <d v="2026-04-25T00:00:00"/>
    <n v="794"/>
    <s v="PK-242"/>
    <n v="1"/>
    <s v="Delivered"/>
    <s v="Y"/>
    <s v="Y"/>
    <s v="Y"/>
    <n v="7"/>
    <n v="0.98633540372670803"/>
    <n v="1.2594458438287153E-3"/>
    <n v="1"/>
    <n v="0"/>
    <n v="0"/>
  </r>
  <r>
    <s v="PO-1870"/>
    <x v="4"/>
    <s v="Raw Material"/>
    <n v="894"/>
    <d v="2026-03-07T00:00:00"/>
    <d v="2026-03-16T00:00:00"/>
    <d v="2026-03-13T00:00:00"/>
    <n v="881"/>
    <s v="RM-132"/>
    <n v="4"/>
    <s v="Delivered"/>
    <s v="Y"/>
    <s v="Y"/>
    <s v="Y"/>
    <n v="6"/>
    <n v="0.9854586129753915"/>
    <n v="4.5402951191827468E-3"/>
    <n v="1"/>
    <n v="0"/>
    <n v="0"/>
  </r>
  <r>
    <s v="PO-1951"/>
    <x v="5"/>
    <s v="Packaging"/>
    <n v="340"/>
    <d v="2026-04-10T00:00:00"/>
    <d v="2026-04-24T00:00:00"/>
    <d v="2026-04-24T00:00:00"/>
    <n v="313"/>
    <s v="PK-152"/>
    <n v="2"/>
    <s v="Delivered"/>
    <s v="Y"/>
    <s v="N"/>
    <s v="N"/>
    <n v="14"/>
    <n v="0.9205882352941176"/>
    <n v="6.3897763578274758E-3"/>
    <n v="0"/>
    <n v="0"/>
    <n v="0"/>
  </r>
  <r>
    <s v="PO-1065"/>
    <x v="1"/>
    <s v="Raw Material"/>
    <n v="820"/>
    <d v="2026-04-23T00:00:00"/>
    <d v="2026-05-03T00:00:00"/>
    <d v="2026-04-30T00:00:00"/>
    <n v="677"/>
    <s v="RM-158"/>
    <n v="4"/>
    <s v="Delivered"/>
    <s v="Y"/>
    <s v="N"/>
    <s v="N"/>
    <n v="7"/>
    <n v="0.82560975609756093"/>
    <n v="5.9084194977843431E-3"/>
    <n v="0"/>
    <n v="0"/>
    <n v="0"/>
  </r>
  <r>
    <s v="PO-1691"/>
    <x v="13"/>
    <s v="Raw Material"/>
    <n v="767"/>
    <d v="2026-03-24T00:00:00"/>
    <d v="2026-04-06T00:00:00"/>
    <d v="2026-04-15T00:00:00"/>
    <n v="776"/>
    <s v="RM-244"/>
    <n v="17"/>
    <s v="Delivered"/>
    <s v="N"/>
    <s v="Y"/>
    <s v="N"/>
    <n v="22"/>
    <n v="1.0117340286831813"/>
    <n v="2.1907216494845359E-2"/>
    <n v="0"/>
    <n v="9"/>
    <n v="4500"/>
  </r>
  <r>
    <s v="PO-1040"/>
    <x v="11"/>
    <s v="Packaging"/>
    <n v="571"/>
    <d v="2026-01-13T00:00:00"/>
    <d v="2026-01-27T00:00:00"/>
    <d v="2026-01-25T00:00:00"/>
    <n v="525"/>
    <s v="PK-175"/>
    <n v="1"/>
    <s v="Delivered"/>
    <s v="Y"/>
    <s v="N"/>
    <s v="N"/>
    <n v="12"/>
    <n v="0.91943957968476353"/>
    <n v="1.9047619047619048E-3"/>
    <n v="0"/>
    <n v="0"/>
    <n v="0"/>
  </r>
  <r>
    <s v="PO-1751"/>
    <x v="11"/>
    <s v="Packaging"/>
    <n v="411"/>
    <d v="2026-02-03T00:00:00"/>
    <d v="2026-02-18T00:00:00"/>
    <d v="2026-02-17T00:00:00"/>
    <n v="414"/>
    <s v="PK-132"/>
    <n v="6"/>
    <s v="Delivered"/>
    <s v="Y"/>
    <s v="Y"/>
    <s v="Y"/>
    <n v="14"/>
    <n v="1.0072992700729928"/>
    <n v="1.4492753623188406E-2"/>
    <n v="1"/>
    <n v="0"/>
    <n v="0"/>
  </r>
  <r>
    <s v="PO-1487"/>
    <x v="4"/>
    <s v="Raw Material"/>
    <n v="233"/>
    <d v="2026-01-13T00:00:00"/>
    <d v="2026-01-26T00:00:00"/>
    <d v="2026-01-26T00:00:00"/>
    <n v="208"/>
    <s v="RM-267"/>
    <n v="5"/>
    <s v="Delivered"/>
    <s v="Y"/>
    <s v="N"/>
    <s v="N"/>
    <n v="13"/>
    <n v="0.89270386266094426"/>
    <n v="2.403846153846154E-2"/>
    <n v="0"/>
    <n v="0"/>
    <n v="0"/>
  </r>
  <r>
    <s v="PO-1909"/>
    <x v="14"/>
    <s v="Imported"/>
    <n v="93"/>
    <d v="2026-05-03T00:00:00"/>
    <d v="2026-05-17T00:00:00"/>
    <d v="2026-05-17T00:00:00"/>
    <n v="93"/>
    <s v="IM-280"/>
    <n v="0"/>
    <s v="Delivered"/>
    <s v="Y"/>
    <s v="Y"/>
    <s v="Y"/>
    <n v="14"/>
    <n v="1"/>
    <n v="0"/>
    <n v="1"/>
    <n v="0"/>
    <n v="0"/>
  </r>
  <r>
    <s v="PO-1509"/>
    <x v="8"/>
    <s v="Imported"/>
    <n v="961"/>
    <d v="2026-02-07T00:00:00"/>
    <d v="2026-02-18T00:00:00"/>
    <d v="2026-02-26T00:00:00"/>
    <n v="945"/>
    <s v="IM-161"/>
    <n v="42"/>
    <s v="Delivered"/>
    <s v="N"/>
    <s v="Y"/>
    <s v="N"/>
    <n v="19"/>
    <n v="0.98335067637877216"/>
    <n v="4.4444444444444446E-2"/>
    <n v="0"/>
    <n v="8"/>
    <n v="4000"/>
  </r>
  <r>
    <s v="PO-1959"/>
    <x v="19"/>
    <s v="Packaging"/>
    <n v="125"/>
    <d v="2026-01-30T00:00:00"/>
    <d v="2026-02-11T00:00:00"/>
    <d v="2026-02-09T00:00:00"/>
    <n v="127"/>
    <s v="PK-298"/>
    <n v="1"/>
    <s v="Delivered"/>
    <s v="Y"/>
    <s v="Y"/>
    <s v="Y"/>
    <n v="10"/>
    <n v="1.016"/>
    <n v="7.874015748031496E-3"/>
    <n v="1"/>
    <n v="0"/>
    <n v="0"/>
  </r>
  <r>
    <s v="PO-1569"/>
    <x v="10"/>
    <s v="Raw Material"/>
    <n v="653"/>
    <d v="2026-03-03T00:00:00"/>
    <d v="2026-03-16T00:00:00"/>
    <d v="2026-03-13T00:00:00"/>
    <n v="652"/>
    <s v="RM-168"/>
    <n v="18"/>
    <s v="Delivered"/>
    <s v="Y"/>
    <s v="Y"/>
    <s v="Y"/>
    <n v="10"/>
    <n v="0.99846860643185298"/>
    <n v="2.7607361963190184E-2"/>
    <n v="1"/>
    <n v="0"/>
    <n v="0"/>
  </r>
  <r>
    <s v="PO-1273"/>
    <x v="1"/>
    <s v="Packaging"/>
    <n v="529"/>
    <d v="2026-04-16T00:00:00"/>
    <d v="2026-04-22T00:00:00"/>
    <d v="2026-04-22T00:00:00"/>
    <n v="523"/>
    <s v="PK-243"/>
    <n v="4"/>
    <s v="Delivered"/>
    <s v="Y"/>
    <s v="Y"/>
    <s v="Y"/>
    <n v="6"/>
    <n v="0.98865784499054821"/>
    <n v="7.6481835564053535E-3"/>
    <n v="1"/>
    <n v="0"/>
    <n v="0"/>
  </r>
  <r>
    <s v="PO-1986"/>
    <x v="2"/>
    <s v="Raw Material"/>
    <n v="513"/>
    <d v="2026-03-05T00:00:00"/>
    <d v="2026-03-16T00:00:00"/>
    <d v="2026-03-15T00:00:00"/>
    <n v="504"/>
    <s v="RM-208"/>
    <n v="18"/>
    <s v="Delivered"/>
    <s v="Y"/>
    <s v="Y"/>
    <s v="Y"/>
    <n v="10"/>
    <n v="0.98245614035087714"/>
    <n v="3.5714285714285712E-2"/>
    <n v="1"/>
    <n v="0"/>
    <n v="0"/>
  </r>
  <r>
    <s v="PO-1903"/>
    <x v="14"/>
    <s v="Packaging"/>
    <n v="187"/>
    <d v="2026-02-04T00:00:00"/>
    <d v="2026-02-14T00:00:00"/>
    <d v="2026-02-12T00:00:00"/>
    <n v="189"/>
    <s v="PK-216"/>
    <n v="1"/>
    <s v="Delivered"/>
    <s v="Y"/>
    <s v="Y"/>
    <s v="Y"/>
    <n v="8"/>
    <n v="1.0106951871657754"/>
    <n v="5.2910052910052907E-3"/>
    <n v="1"/>
    <n v="0"/>
    <n v="0"/>
  </r>
  <r>
    <s v="PO-1715"/>
    <x v="12"/>
    <s v="Imported"/>
    <n v="309"/>
    <d v="2026-01-14T00:00:00"/>
    <d v="2026-01-20T00:00:00"/>
    <d v="2026-01-26T00:00:00"/>
    <n v="306"/>
    <s v="IM-154"/>
    <n v="4"/>
    <s v="Delivered"/>
    <s v="N"/>
    <s v="Y"/>
    <s v="N"/>
    <n v="12"/>
    <n v="0.99029126213592233"/>
    <n v="1.3071895424836602E-2"/>
    <n v="0"/>
    <n v="6"/>
    <n v="3000"/>
  </r>
  <r>
    <s v="PO-1773"/>
    <x v="1"/>
    <s v="Raw Material"/>
    <n v="461"/>
    <d v="2026-05-31T00:00:00"/>
    <d v="2026-06-15T00:00:00"/>
    <d v="2026-06-15T00:00:00"/>
    <n v="465"/>
    <s v="RM-177"/>
    <n v="1"/>
    <s v="Delivered"/>
    <s v="Y"/>
    <s v="Y"/>
    <s v="Y"/>
    <n v="15"/>
    <n v="1.0086767895878526"/>
    <n v="2.1505376344086021E-3"/>
    <n v="1"/>
    <n v="0"/>
    <n v="0"/>
  </r>
  <r>
    <s v="PO-1177"/>
    <x v="2"/>
    <s v="Imported"/>
    <n v="927"/>
    <d v="2026-05-18T00:00:00"/>
    <d v="2026-05-25T00:00:00"/>
    <d v="2026-05-23T00:00:00"/>
    <n v="805"/>
    <s v="IM-134"/>
    <n v="8"/>
    <s v="Delivered"/>
    <s v="Y"/>
    <s v="N"/>
    <s v="N"/>
    <n v="5"/>
    <n v="0.86839266450916941"/>
    <n v="9.9378881987577643E-3"/>
    <n v="0"/>
    <n v="0"/>
    <n v="0"/>
  </r>
  <r>
    <s v="PO-1300"/>
    <x v="6"/>
    <s v="Packaging"/>
    <n v="833"/>
    <d v="2026-03-29T00:00:00"/>
    <d v="2026-04-10T00:00:00"/>
    <d v="2026-04-08T00:00:00"/>
    <n v="844"/>
    <s v="PK-180"/>
    <n v="50"/>
    <s v="Delivered"/>
    <s v="Y"/>
    <s v="Y"/>
    <s v="Y"/>
    <n v="10"/>
    <n v="1.0132052821128452"/>
    <n v="5.9241706161137442E-2"/>
    <n v="1"/>
    <n v="0"/>
    <n v="0"/>
  </r>
  <r>
    <s v="PO-1925"/>
    <x v="2"/>
    <s v="Imported"/>
    <n v="461"/>
    <d v="2026-05-24T00:00:00"/>
    <d v="2026-06-08T00:00:00"/>
    <d v="2026-06-12T00:00:00"/>
    <n v="467"/>
    <s v="IM-242"/>
    <n v="5"/>
    <s v="Delivered"/>
    <s v="N"/>
    <s v="Y"/>
    <s v="N"/>
    <n v="19"/>
    <n v="1.0130151843817787"/>
    <n v="1.0706638115631691E-2"/>
    <n v="0"/>
    <n v="4"/>
    <n v="2000"/>
  </r>
  <r>
    <s v="PO-1202"/>
    <x v="19"/>
    <s v="Packaging"/>
    <n v="666"/>
    <d v="2026-05-05T00:00:00"/>
    <d v="2026-05-13T00:00:00"/>
    <d v="2026-05-12T00:00:00"/>
    <n v="676"/>
    <s v="PK-280"/>
    <n v="37"/>
    <s v="Delivered"/>
    <s v="Y"/>
    <s v="Y"/>
    <s v="Y"/>
    <n v="7"/>
    <n v="1.015015015015015"/>
    <n v="5.473372781065089E-2"/>
    <n v="1"/>
    <n v="0"/>
    <n v="0"/>
  </r>
  <r>
    <s v="PO-1236"/>
    <x v="16"/>
    <s v="Imported"/>
    <n v="516"/>
    <d v="2026-05-04T00:00:00"/>
    <d v="2026-05-14T00:00:00"/>
    <d v="2026-05-14T00:00:00"/>
    <n v="417"/>
    <s v="IM-241"/>
    <n v="4"/>
    <s v="Delivered"/>
    <s v="Y"/>
    <s v="N"/>
    <s v="N"/>
    <n v="10"/>
    <n v="0.80813953488372092"/>
    <n v="9.5923261390887284E-3"/>
    <n v="0"/>
    <n v="0"/>
    <n v="0"/>
  </r>
  <r>
    <s v="PO-1149"/>
    <x v="6"/>
    <s v="Raw Material"/>
    <n v="240"/>
    <d v="2026-03-04T00:00:00"/>
    <d v="2026-03-13T00:00:00"/>
    <d v="2026-03-11T00:00:00"/>
    <n v="239"/>
    <s v="RM-297"/>
    <n v="9"/>
    <s v="Delivered"/>
    <s v="Y"/>
    <s v="Y"/>
    <s v="Y"/>
    <n v="7"/>
    <n v="0.99583333333333335"/>
    <n v="3.7656903765690378E-2"/>
    <n v="1"/>
    <n v="0"/>
    <n v="0"/>
  </r>
  <r>
    <s v="PO-1217"/>
    <x v="6"/>
    <s v="Packaging"/>
    <n v="107"/>
    <d v="2026-03-06T00:00:00"/>
    <d v="2026-03-12T00:00:00"/>
    <d v="2026-03-09T00:00:00"/>
    <n v="107"/>
    <s v="PK-160"/>
    <n v="5"/>
    <s v="Delivered"/>
    <s v="Y"/>
    <s v="Y"/>
    <s v="Y"/>
    <n v="3"/>
    <n v="1"/>
    <n v="4.6728971962616821E-2"/>
    <n v="1"/>
    <n v="0"/>
    <n v="0"/>
  </r>
  <r>
    <s v="PO-1714"/>
    <x v="19"/>
    <s v="Raw Material"/>
    <n v="630"/>
    <d v="2026-01-15T00:00:00"/>
    <d v="2026-01-29T00:00:00"/>
    <d v="2026-01-29T00:00:00"/>
    <n v="634"/>
    <s v="RM-265"/>
    <n v="18"/>
    <s v="Delivered"/>
    <s v="Y"/>
    <s v="Y"/>
    <s v="Y"/>
    <n v="14"/>
    <n v="1.0063492063492063"/>
    <n v="2.8391167192429023E-2"/>
    <n v="1"/>
    <n v="0"/>
    <n v="0"/>
  </r>
  <r>
    <s v="PO-1553"/>
    <x v="0"/>
    <s v="Packaging"/>
    <n v="476"/>
    <d v="2026-02-05T00:00:00"/>
    <d v="2026-02-14T00:00:00"/>
    <d v="2026-02-12T00:00:00"/>
    <n v="472"/>
    <s v="PK-172"/>
    <n v="6"/>
    <s v="Delivered"/>
    <s v="Y"/>
    <s v="Y"/>
    <s v="Y"/>
    <n v="7"/>
    <n v="0.99159663865546221"/>
    <n v="1.2711864406779662E-2"/>
    <n v="1"/>
    <n v="0"/>
    <n v="0"/>
  </r>
  <r>
    <s v="PO-1616"/>
    <x v="16"/>
    <s v="Raw Material"/>
    <n v="436"/>
    <d v="2026-04-23T00:00:00"/>
    <d v="2026-05-01T00:00:00"/>
    <d v="2026-05-05T00:00:00"/>
    <n v="366"/>
    <s v="RM-206"/>
    <n v="1"/>
    <s v="Delivered"/>
    <s v="N"/>
    <s v="N"/>
    <s v="N"/>
    <n v="12"/>
    <n v="0.83944954128440363"/>
    <n v="2.7322404371584699E-3"/>
    <n v="0"/>
    <n v="4"/>
    <n v="2000"/>
  </r>
  <r>
    <s v="PO-1922"/>
    <x v="18"/>
    <s v="Packaging"/>
    <n v="548"/>
    <d v="2026-03-21T00:00:00"/>
    <d v="2026-04-01T00:00:00"/>
    <d v="2026-03-31T00:00:00"/>
    <n v="538"/>
    <s v="PK-168"/>
    <n v="15"/>
    <s v="Delivered"/>
    <s v="Y"/>
    <s v="Y"/>
    <s v="Y"/>
    <n v="10"/>
    <n v="0.98175182481751821"/>
    <n v="2.7881040892193308E-2"/>
    <n v="1"/>
    <n v="0"/>
    <n v="0"/>
  </r>
  <r>
    <s v="PO-1302"/>
    <x v="13"/>
    <s v="Packaging"/>
    <n v="839"/>
    <d v="2026-01-13T00:00:00"/>
    <d v="2026-01-23T00:00:00"/>
    <d v="2026-01-21T00:00:00"/>
    <n v="824"/>
    <s v="PK-109"/>
    <n v="52"/>
    <s v="Delivered"/>
    <s v="Y"/>
    <s v="Y"/>
    <s v="Y"/>
    <n v="8"/>
    <n v="0.98212157330154948"/>
    <n v="6.3106796116504854E-2"/>
    <n v="1"/>
    <n v="0"/>
    <n v="0"/>
  </r>
  <r>
    <s v="PO-1867"/>
    <x v="0"/>
    <s v="Packaging"/>
    <n v="313"/>
    <d v="2026-05-22T00:00:00"/>
    <d v="2026-05-31T00:00:00"/>
    <d v="2026-05-30T00:00:00"/>
    <n v="314"/>
    <s v="PK-130"/>
    <n v="6"/>
    <s v="Delivered"/>
    <s v="Y"/>
    <s v="Y"/>
    <s v="Y"/>
    <n v="8"/>
    <n v="1.0031948881789137"/>
    <n v="1.9108280254777069E-2"/>
    <n v="1"/>
    <n v="0"/>
    <n v="0"/>
  </r>
  <r>
    <s v="PO-1958"/>
    <x v="5"/>
    <s v="Imported"/>
    <n v="736"/>
    <d v="2026-01-17T00:00:00"/>
    <d v="2026-01-28T00:00:00"/>
    <d v="2026-01-28T00:00:00"/>
    <n v="751"/>
    <s v="IM-185"/>
    <n v="4"/>
    <s v="Delivered"/>
    <s v="Y"/>
    <s v="Y"/>
    <s v="Y"/>
    <n v="11"/>
    <n v="1.0203804347826086"/>
    <n v="5.3262316910785623E-3"/>
    <n v="1"/>
    <n v="0"/>
    <n v="0"/>
  </r>
  <r>
    <s v="PO-1676"/>
    <x v="1"/>
    <s v="Imported"/>
    <n v="523"/>
    <d v="2026-04-15T00:00:00"/>
    <d v="2026-04-25T00:00:00"/>
    <d v="2026-04-23T00:00:00"/>
    <n v="530"/>
    <s v="IM-299"/>
    <n v="7"/>
    <s v="Delivered"/>
    <s v="Y"/>
    <s v="Y"/>
    <s v="Y"/>
    <n v="8"/>
    <n v="1.0133843212237095"/>
    <n v="1.3207547169811321E-2"/>
    <n v="1"/>
    <n v="0"/>
    <n v="0"/>
  </r>
  <r>
    <s v="PO-1935"/>
    <x v="15"/>
    <s v="Packaging"/>
    <n v="372"/>
    <d v="2026-04-12T00:00:00"/>
    <d v="2026-04-24T00:00:00"/>
    <d v="2026-04-21T00:00:00"/>
    <n v="368"/>
    <s v="PK-284"/>
    <n v="2"/>
    <s v="Delivered"/>
    <s v="Y"/>
    <s v="Y"/>
    <s v="Y"/>
    <n v="9"/>
    <n v="0.989247311827957"/>
    <n v="5.434782608695652E-3"/>
    <n v="1"/>
    <n v="0"/>
    <n v="0"/>
  </r>
  <r>
    <s v="PO-1388"/>
    <x v="7"/>
    <s v="Packaging"/>
    <n v="705"/>
    <d v="2026-01-17T00:00:00"/>
    <d v="2026-01-31T00:00:00"/>
    <d v="2026-02-04T00:00:00"/>
    <n v="695"/>
    <s v="PK-231"/>
    <n v="21"/>
    <s v="Delivered"/>
    <s v="N"/>
    <s v="Y"/>
    <s v="N"/>
    <n v="18"/>
    <n v="0.98581560283687941"/>
    <n v="3.0215827338129497E-2"/>
    <n v="0"/>
    <n v="4"/>
    <n v="2000"/>
  </r>
  <r>
    <s v="PO-1565"/>
    <x v="3"/>
    <s v="Imported"/>
    <n v="548"/>
    <d v="2026-02-22T00:00:00"/>
    <d v="2026-03-05T00:00:00"/>
    <d v="2026-03-12T00:00:00"/>
    <n v="444"/>
    <s v="IM-223"/>
    <n v="33"/>
    <s v="Delivered"/>
    <s v="N"/>
    <s v="N"/>
    <s v="N"/>
    <n v="18"/>
    <n v="0.81021897810218979"/>
    <n v="7.4324324324324328E-2"/>
    <n v="0"/>
    <n v="7"/>
    <n v="3500"/>
  </r>
  <r>
    <s v="PO-1387"/>
    <x v="18"/>
    <s v="Imported"/>
    <n v="781"/>
    <d v="2026-03-04T00:00:00"/>
    <d v="2026-03-13T00:00:00"/>
    <d v="2026-03-12T00:00:00"/>
    <n v="654"/>
    <s v="IM-175"/>
    <n v="37"/>
    <s v="Delivered"/>
    <s v="Y"/>
    <s v="N"/>
    <s v="N"/>
    <n v="8"/>
    <n v="0.83738796414852756"/>
    <n v="5.657492354740061E-2"/>
    <n v="0"/>
    <n v="0"/>
    <n v="0"/>
  </r>
  <r>
    <s v="PO-1541"/>
    <x v="16"/>
    <s v="Packaging"/>
    <n v="476"/>
    <d v="2026-01-08T00:00:00"/>
    <d v="2026-01-22T00:00:00"/>
    <d v="2026-01-19T00:00:00"/>
    <n v="485"/>
    <s v="PK-202"/>
    <n v="6"/>
    <s v="Delivered"/>
    <s v="Y"/>
    <s v="Y"/>
    <s v="Y"/>
    <n v="11"/>
    <n v="1.01890756302521"/>
    <n v="1.2371134020618556E-2"/>
    <n v="1"/>
    <n v="0"/>
    <n v="0"/>
  </r>
  <r>
    <s v="PO-1390"/>
    <x v="7"/>
    <s v="Raw Material"/>
    <n v="81"/>
    <d v="2026-01-20T00:00:00"/>
    <d v="2026-01-31T00:00:00"/>
    <d v="2026-01-30T00:00:00"/>
    <n v="83"/>
    <s v="RM-255"/>
    <n v="4"/>
    <s v="Delivered"/>
    <s v="Y"/>
    <s v="Y"/>
    <s v="Y"/>
    <n v="10"/>
    <n v="1.0246913580246915"/>
    <n v="4.8192771084337352E-2"/>
    <n v="1"/>
    <n v="0"/>
    <n v="0"/>
  </r>
  <r>
    <s v="PO-1437"/>
    <x v="15"/>
    <s v="Packaging"/>
    <n v="632"/>
    <d v="2026-04-21T00:00:00"/>
    <d v="2026-05-06T00:00:00"/>
    <d v="2026-05-06T00:00:00"/>
    <n v="643"/>
    <s v="PK-121"/>
    <n v="6"/>
    <s v="Delivered"/>
    <s v="Y"/>
    <s v="Y"/>
    <s v="Y"/>
    <n v="15"/>
    <n v="1.0174050632911393"/>
    <n v="9.3312597200622092E-3"/>
    <n v="1"/>
    <n v="0"/>
    <n v="0"/>
  </r>
  <r>
    <s v="PO-1352"/>
    <x v="16"/>
    <s v="Imported"/>
    <n v="218"/>
    <d v="2026-01-19T00:00:00"/>
    <d v="2026-01-26T00:00:00"/>
    <d v="2026-02-04T00:00:00"/>
    <n v="222"/>
    <s v="IM-268"/>
    <n v="1"/>
    <s v="Delivered"/>
    <s v="N"/>
    <s v="Y"/>
    <s v="N"/>
    <n v="16"/>
    <n v="1.0183486238532109"/>
    <n v="4.5045045045045045E-3"/>
    <n v="0"/>
    <n v="9"/>
    <n v="4500"/>
  </r>
  <r>
    <s v="PO-1193"/>
    <x v="10"/>
    <s v="Raw Material"/>
    <n v="248"/>
    <d v="2026-03-23T00:00:00"/>
    <d v="2026-04-05T00:00:00"/>
    <d v="2026-04-04T00:00:00"/>
    <n v="239"/>
    <s v="RM-167"/>
    <n v="19"/>
    <s v="Delivered"/>
    <s v="Y"/>
    <s v="N"/>
    <s v="N"/>
    <n v="12"/>
    <n v="0.96370967741935487"/>
    <n v="7.9497907949790794E-2"/>
    <n v="0"/>
    <n v="0"/>
    <n v="0"/>
  </r>
  <r>
    <s v="PO-1235"/>
    <x v="14"/>
    <s v="Packaging"/>
    <n v="354"/>
    <d v="2026-05-15T00:00:00"/>
    <d v="2026-05-29T00:00:00"/>
    <d v="2026-05-29T00:00:00"/>
    <n v="356"/>
    <s v="PK-209"/>
    <n v="11"/>
    <s v="Delivered"/>
    <s v="Y"/>
    <s v="Y"/>
    <s v="Y"/>
    <n v="14"/>
    <n v="1.0056497175141244"/>
    <n v="3.0898876404494381E-2"/>
    <n v="1"/>
    <n v="0"/>
    <n v="0"/>
  </r>
  <r>
    <s v="PO-1445"/>
    <x v="2"/>
    <s v="Imported"/>
    <n v="916"/>
    <d v="2026-01-26T00:00:00"/>
    <d v="2026-02-01T00:00:00"/>
    <d v="2026-01-29T00:00:00"/>
    <n v="915"/>
    <s v="IM-194"/>
    <n v="7"/>
    <s v="Delivered"/>
    <s v="Y"/>
    <s v="Y"/>
    <s v="Y"/>
    <n v="3"/>
    <n v="0.99890829694323147"/>
    <n v="7.6502732240437158E-3"/>
    <n v="1"/>
    <n v="0"/>
    <n v="0"/>
  </r>
  <r>
    <s v="PO-1907"/>
    <x v="3"/>
    <s v="Raw Material"/>
    <n v="813"/>
    <d v="2026-04-01T00:00:00"/>
    <d v="2026-04-06T00:00:00"/>
    <d v="2026-04-04T00:00:00"/>
    <n v="808"/>
    <s v="RM-214"/>
    <n v="44"/>
    <s v="Delivered"/>
    <s v="Y"/>
    <s v="Y"/>
    <s v="Y"/>
    <n v="3"/>
    <n v="0.99384993849938497"/>
    <n v="5.4455445544554455E-2"/>
    <n v="1"/>
    <n v="0"/>
    <n v="0"/>
  </r>
  <r>
    <s v="PO-1055"/>
    <x v="2"/>
    <s v="Packaging"/>
    <n v="185"/>
    <d v="2026-02-03T00:00:00"/>
    <d v="2026-02-14T00:00:00"/>
    <d v="2026-02-11T00:00:00"/>
    <n v="185"/>
    <s v="PK-178"/>
    <n v="9"/>
    <s v="Delivered"/>
    <s v="Y"/>
    <s v="Y"/>
    <s v="Y"/>
    <n v="8"/>
    <n v="1"/>
    <n v="4.8648648648648651E-2"/>
    <n v="1"/>
    <n v="0"/>
    <n v="0"/>
  </r>
  <r>
    <s v="PO-1473"/>
    <x v="4"/>
    <s v="Raw Material"/>
    <n v="402"/>
    <d v="2026-02-19T00:00:00"/>
    <d v="2026-03-04T00:00:00"/>
    <d v="2026-03-02T00:00:00"/>
    <n v="399"/>
    <s v="RM-167"/>
    <n v="5"/>
    <s v="Delivered"/>
    <s v="Y"/>
    <s v="Y"/>
    <s v="Y"/>
    <n v="11"/>
    <n v="0.9925373134328358"/>
    <n v="1.2531328320802004E-2"/>
    <n v="1"/>
    <n v="0"/>
    <n v="0"/>
  </r>
  <r>
    <s v="PO-1096"/>
    <x v="11"/>
    <s v="Raw Material"/>
    <n v="806"/>
    <d v="2026-02-02T00:00:00"/>
    <d v="2026-02-08T00:00:00"/>
    <d v="2026-02-06T00:00:00"/>
    <n v="794"/>
    <s v="RM-253"/>
    <n v="7"/>
    <s v="Delivered"/>
    <s v="Y"/>
    <s v="Y"/>
    <s v="Y"/>
    <n v="4"/>
    <n v="0.98511166253101734"/>
    <n v="8.8161209068010078E-3"/>
    <n v="1"/>
    <n v="0"/>
    <n v="0"/>
  </r>
  <r>
    <s v="PO-1141"/>
    <x v="8"/>
    <s v="Packaging"/>
    <n v="641"/>
    <d v="2026-01-24T00:00:00"/>
    <d v="2026-02-05T00:00:00"/>
    <d v="2026-02-05T00:00:00"/>
    <n v="629"/>
    <s v="PK-225"/>
    <n v="24"/>
    <s v="Delivered"/>
    <s v="Y"/>
    <s v="Y"/>
    <s v="Y"/>
    <n v="12"/>
    <n v="0.98127925117004677"/>
    <n v="3.8155802861685212E-2"/>
    <n v="1"/>
    <n v="0"/>
    <n v="0"/>
  </r>
  <r>
    <s v="PO-1961"/>
    <x v="9"/>
    <s v="Imported"/>
    <n v="880"/>
    <d v="2026-04-20T00:00:00"/>
    <d v="2026-05-03T00:00:00"/>
    <d v="2026-05-02T00:00:00"/>
    <n v="887"/>
    <s v="IM-208"/>
    <n v="46"/>
    <s v="Delivered"/>
    <s v="Y"/>
    <s v="Y"/>
    <s v="Y"/>
    <n v="12"/>
    <n v="1.0079545454545455"/>
    <n v="5.1860202931228859E-2"/>
    <n v="1"/>
    <n v="0"/>
    <n v="0"/>
  </r>
  <r>
    <s v="PO-1871"/>
    <x v="13"/>
    <s v="Packaging"/>
    <n v="917"/>
    <d v="2026-01-05T00:00:00"/>
    <d v="2026-01-12T00:00:00"/>
    <d v="2026-01-17T00:00:00"/>
    <n v="919"/>
    <s v="PK-191"/>
    <n v="48"/>
    <s v="Delivered"/>
    <s v="N"/>
    <s v="Y"/>
    <s v="N"/>
    <n v="12"/>
    <n v="1.0021810250817884"/>
    <n v="5.2230685527747553E-2"/>
    <n v="0"/>
    <n v="5"/>
    <n v="2500"/>
  </r>
  <r>
    <s v="PO-1547"/>
    <x v="5"/>
    <s v="Packaging"/>
    <n v="136"/>
    <d v="2026-01-27T00:00:00"/>
    <d v="2026-02-02T00:00:00"/>
    <d v="2026-02-09T00:00:00"/>
    <n v="110"/>
    <s v="PK-174"/>
    <n v="1"/>
    <s v="Delivered"/>
    <s v="N"/>
    <s v="N"/>
    <s v="N"/>
    <n v="13"/>
    <n v="0.80882352941176472"/>
    <n v="9.0909090909090905E-3"/>
    <n v="0"/>
    <n v="7"/>
    <n v="3500"/>
  </r>
  <r>
    <s v="PO-1806"/>
    <x v="18"/>
    <s v="Packaging"/>
    <n v="907"/>
    <d v="2026-02-02T00:00:00"/>
    <d v="2026-02-13T00:00:00"/>
    <d v="2026-02-13T00:00:00"/>
    <n v="765"/>
    <s v="PK-110"/>
    <n v="24"/>
    <s v="Delivered"/>
    <s v="Y"/>
    <s v="N"/>
    <s v="N"/>
    <n v="11"/>
    <n v="0.8434399117971334"/>
    <n v="3.1372549019607843E-2"/>
    <n v="0"/>
    <n v="0"/>
    <n v="0"/>
  </r>
  <r>
    <s v="PO-1120"/>
    <x v="11"/>
    <s v="Raw Material"/>
    <n v="337"/>
    <d v="2026-03-27T00:00:00"/>
    <d v="2026-04-04T00:00:00"/>
    <d v="2026-04-01T00:00:00"/>
    <n v="333"/>
    <s v="RM-138"/>
    <n v="0"/>
    <s v="Delivered"/>
    <s v="Y"/>
    <s v="Y"/>
    <s v="Y"/>
    <n v="5"/>
    <n v="0.98813056379821962"/>
    <n v="0"/>
    <n v="1"/>
    <n v="0"/>
    <n v="0"/>
  </r>
  <r>
    <s v="PO-1955"/>
    <x v="0"/>
    <s v="Packaging"/>
    <n v="367"/>
    <d v="2026-03-19T00:00:00"/>
    <d v="2026-04-03T00:00:00"/>
    <d v="2026-04-01T00:00:00"/>
    <n v="368"/>
    <s v="PK-137"/>
    <n v="1"/>
    <s v="Delivered"/>
    <s v="Y"/>
    <s v="Y"/>
    <s v="Y"/>
    <n v="13"/>
    <n v="1.0027247956403269"/>
    <n v="2.717391304347826E-3"/>
    <n v="1"/>
    <n v="0"/>
    <n v="0"/>
  </r>
  <r>
    <s v="PO-1570"/>
    <x v="3"/>
    <s v="Raw Material"/>
    <n v="883"/>
    <d v="2026-04-11T00:00:00"/>
    <d v="2026-04-26T00:00:00"/>
    <d v="2026-04-24T00:00:00"/>
    <n v="897"/>
    <s v="RM-177"/>
    <n v="64"/>
    <s v="Delivered"/>
    <s v="Y"/>
    <s v="Y"/>
    <s v="Y"/>
    <n v="13"/>
    <n v="1.0158550396375992"/>
    <n v="7.1348940914158304E-2"/>
    <n v="1"/>
    <n v="0"/>
    <n v="0"/>
  </r>
  <r>
    <s v="PO-1062"/>
    <x v="4"/>
    <s v="Raw Material"/>
    <n v="962"/>
    <d v="2026-02-11T00:00:00"/>
    <d v="2026-02-18T00:00:00"/>
    <d v="2026-02-15T00:00:00"/>
    <n v="950"/>
    <s v="RM-117"/>
    <n v="18"/>
    <s v="Delivered"/>
    <s v="Y"/>
    <s v="Y"/>
    <s v="Y"/>
    <n v="4"/>
    <n v="0.98752598752598753"/>
    <n v="1.8947368421052633E-2"/>
    <n v="1"/>
    <n v="0"/>
    <n v="0"/>
  </r>
  <r>
    <s v="PO-1765"/>
    <x v="17"/>
    <s v="Raw Material"/>
    <n v="743"/>
    <d v="2026-05-08T00:00:00"/>
    <d v="2026-05-15T00:00:00"/>
    <d v="2026-05-14T00:00:00"/>
    <n v="737"/>
    <s v="RM-293"/>
    <n v="2"/>
    <s v="Delivered"/>
    <s v="Y"/>
    <s v="Y"/>
    <s v="Y"/>
    <n v="6"/>
    <n v="0.99192462987886942"/>
    <n v="2.7137042062415195E-3"/>
    <n v="1"/>
    <n v="0"/>
    <n v="0"/>
  </r>
  <r>
    <s v="PO-1459"/>
    <x v="7"/>
    <s v="Packaging"/>
    <n v="844"/>
    <d v="2026-02-08T00:00:00"/>
    <d v="2026-02-20T00:00:00"/>
    <d v="2026-02-24T00:00:00"/>
    <n v="830"/>
    <s v="PK-288"/>
    <n v="31"/>
    <s v="Delivered"/>
    <s v="N"/>
    <s v="Y"/>
    <s v="N"/>
    <n v="16"/>
    <n v="0.98341232227488151"/>
    <n v="3.7349397590361447E-2"/>
    <n v="0"/>
    <n v="4"/>
    <n v="2000"/>
  </r>
  <r>
    <s v="PO-1414"/>
    <x v="4"/>
    <s v="Raw Material"/>
    <n v="508"/>
    <d v="2026-05-28T00:00:00"/>
    <d v="2026-06-05T00:00:00"/>
    <d v="2026-06-05T00:00:00"/>
    <n v="509"/>
    <s v="RM-139"/>
    <n v="4"/>
    <s v="Delivered"/>
    <s v="Y"/>
    <s v="Y"/>
    <s v="Y"/>
    <n v="8"/>
    <n v="1.0019685039370079"/>
    <n v="7.8585461689587421E-3"/>
    <n v="1"/>
    <n v="0"/>
    <n v="0"/>
  </r>
  <r>
    <s v="PO-1003"/>
    <x v="18"/>
    <s v="Packaging"/>
    <n v="84"/>
    <d v="2026-05-15T00:00:00"/>
    <d v="2026-05-20T00:00:00"/>
    <d v="2026-05-19T00:00:00"/>
    <n v="68"/>
    <s v="PK-200"/>
    <n v="3"/>
    <s v="Delivered"/>
    <s v="Y"/>
    <s v="N"/>
    <s v="N"/>
    <n v="4"/>
    <n v="0.80952380952380953"/>
    <n v="4.4117647058823532E-2"/>
    <n v="0"/>
    <n v="0"/>
    <n v="0"/>
  </r>
  <r>
    <s v="PO-1058"/>
    <x v="3"/>
    <s v="Packaging"/>
    <n v="84"/>
    <d v="2026-05-31T00:00:00"/>
    <d v="2026-06-09T00:00:00"/>
    <d v="2026-06-15T00:00:00"/>
    <n v="69"/>
    <s v="PK-150"/>
    <n v="3"/>
    <s v="Delivered"/>
    <s v="N"/>
    <s v="N"/>
    <s v="N"/>
    <n v="15"/>
    <n v="0.8214285714285714"/>
    <n v="4.3478260869565216E-2"/>
    <n v="0"/>
    <n v="6"/>
    <n v="3000"/>
  </r>
  <r>
    <s v="PO-1223"/>
    <x v="0"/>
    <s v="Raw Material"/>
    <n v="646"/>
    <d v="2026-03-30T00:00:00"/>
    <d v="2026-04-11T00:00:00"/>
    <d v="2026-04-10T00:00:00"/>
    <n v="647"/>
    <s v="RM-140"/>
    <n v="4"/>
    <s v="Delivered"/>
    <s v="Y"/>
    <s v="Y"/>
    <s v="Y"/>
    <n v="11"/>
    <n v="1.0015479876160991"/>
    <n v="6.1823802163833074E-3"/>
    <n v="1"/>
    <n v="0"/>
    <n v="0"/>
  </r>
  <r>
    <s v="PO-1856"/>
    <x v="11"/>
    <s v="Packaging"/>
    <n v="640"/>
    <d v="2026-05-19T00:00:00"/>
    <d v="2026-05-24T00:00:00"/>
    <d v="2026-05-31T00:00:00"/>
    <n v="644"/>
    <s v="PK-100"/>
    <n v="1"/>
    <s v="Delivered"/>
    <s v="N"/>
    <s v="Y"/>
    <s v="N"/>
    <n v="12"/>
    <n v="1.0062500000000001"/>
    <n v="1.5527950310559005E-3"/>
    <n v="0"/>
    <n v="7"/>
    <n v="3500"/>
  </r>
  <r>
    <s v="PO-1101"/>
    <x v="10"/>
    <s v="Packaging"/>
    <n v="375"/>
    <d v="2026-03-18T00:00:00"/>
    <d v="2026-03-31T00:00:00"/>
    <d v="2026-03-28T00:00:00"/>
    <n v="376"/>
    <s v="PK-208"/>
    <n v="17"/>
    <s v="Delivered"/>
    <s v="Y"/>
    <s v="Y"/>
    <s v="Y"/>
    <n v="10"/>
    <n v="1.0026666666666666"/>
    <n v="4.5212765957446811E-2"/>
    <n v="1"/>
    <n v="0"/>
    <n v="0"/>
  </r>
  <r>
    <s v="PO-1863"/>
    <x v="9"/>
    <s v="Packaging"/>
    <n v="87"/>
    <d v="2026-04-05T00:00:00"/>
    <d v="2026-04-20T00:00:00"/>
    <d v="2026-04-20T00:00:00"/>
    <n v="88"/>
    <s v="PK-226"/>
    <n v="3"/>
    <s v="Delivered"/>
    <s v="Y"/>
    <s v="Y"/>
    <s v="Y"/>
    <n v="15"/>
    <n v="1.0114942528735633"/>
    <n v="3.4090909090909088E-2"/>
    <n v="1"/>
    <n v="0"/>
    <n v="0"/>
  </r>
  <r>
    <s v="PO-1221"/>
    <x v="19"/>
    <s v="Raw Material"/>
    <n v="960"/>
    <d v="2026-03-03T00:00:00"/>
    <d v="2026-03-17T00:00:00"/>
    <d v="2026-03-26T00:00:00"/>
    <n v="824"/>
    <s v="RM-267"/>
    <n v="13"/>
    <s v="Delivered"/>
    <s v="N"/>
    <s v="N"/>
    <s v="N"/>
    <n v="23"/>
    <n v="0.85833333333333328"/>
    <n v="1.5776699029126214E-2"/>
    <n v="0"/>
    <n v="9"/>
    <n v="4500"/>
  </r>
  <r>
    <s v="PO-1472"/>
    <x v="8"/>
    <s v="Raw Material"/>
    <n v="506"/>
    <d v="2026-05-18T00:00:00"/>
    <d v="2026-05-27T00:00:00"/>
    <m/>
    <m/>
    <s v="RM-270"/>
    <m/>
    <s v="Pending"/>
    <s v="N/A"/>
    <s v="N/A"/>
    <s v="N/A"/>
    <s v="N/A"/>
    <s v="N/A"/>
    <s v="N/A"/>
    <s v=""/>
    <s v="N/A"/>
    <n v="0"/>
  </r>
  <r>
    <s v="PO-1004"/>
    <x v="5"/>
    <s v="Raw Material"/>
    <n v="320"/>
    <d v="2026-03-08T00:00:00"/>
    <d v="2026-03-19T00:00:00"/>
    <d v="2026-03-19T00:00:00"/>
    <n v="315"/>
    <s v="RM-278"/>
    <n v="3"/>
    <s v="Delivered"/>
    <s v="Y"/>
    <s v="Y"/>
    <s v="Y"/>
    <n v="11"/>
    <n v="0.984375"/>
    <n v="9.5238095238095247E-3"/>
    <n v="1"/>
    <n v="0"/>
    <n v="0"/>
  </r>
  <r>
    <s v="PO-1052"/>
    <x v="10"/>
    <s v="Packaging"/>
    <n v="630"/>
    <d v="2026-04-06T00:00:00"/>
    <d v="2026-04-18T00:00:00"/>
    <d v="2026-04-16T00:00:00"/>
    <n v="638"/>
    <s v="PK-133"/>
    <n v="19"/>
    <s v="Delivered"/>
    <s v="Y"/>
    <s v="Y"/>
    <s v="Y"/>
    <n v="10"/>
    <n v="1.0126984126984127"/>
    <n v="2.9780564263322883E-2"/>
    <n v="1"/>
    <n v="0"/>
    <n v="0"/>
  </r>
  <r>
    <s v="PO-1017"/>
    <x v="14"/>
    <s v="Imported"/>
    <n v="477"/>
    <d v="2026-03-13T00:00:00"/>
    <d v="2026-03-18T00:00:00"/>
    <d v="2026-03-22T00:00:00"/>
    <n v="482"/>
    <s v="IM-260"/>
    <n v="20"/>
    <s v="Delivered"/>
    <s v="N"/>
    <s v="Y"/>
    <s v="N"/>
    <n v="9"/>
    <n v="1.0104821802935011"/>
    <n v="4.1493775933609957E-2"/>
    <n v="0"/>
    <n v="4"/>
    <n v="2000"/>
  </r>
  <r>
    <s v="PO-1750"/>
    <x v="4"/>
    <s v="Raw Material"/>
    <n v="835"/>
    <d v="2026-02-16T00:00:00"/>
    <d v="2026-02-28T00:00:00"/>
    <d v="2026-03-04T00:00:00"/>
    <n v="745"/>
    <s v="RM-293"/>
    <n v="17"/>
    <s v="Delivered"/>
    <s v="N"/>
    <s v="N"/>
    <s v="N"/>
    <n v="16"/>
    <n v="0.89221556886227549"/>
    <n v="2.2818791946308724E-2"/>
    <n v="0"/>
    <n v="4"/>
    <n v="2000"/>
  </r>
  <r>
    <s v="PO-1306"/>
    <x v="11"/>
    <s v="Packaging"/>
    <n v="962"/>
    <d v="2026-04-13T00:00:00"/>
    <d v="2026-04-27T00:00:00"/>
    <d v="2026-05-04T00:00:00"/>
    <n v="979"/>
    <s v="PK-248"/>
    <n v="14"/>
    <s v="Delivered"/>
    <s v="N"/>
    <s v="Y"/>
    <s v="N"/>
    <n v="21"/>
    <n v="1.0176715176715176"/>
    <n v="1.4300306435137897E-2"/>
    <n v="0"/>
    <n v="7"/>
    <n v="3500"/>
  </r>
  <r>
    <s v="PO-1669"/>
    <x v="9"/>
    <s v="Packaging"/>
    <n v="384"/>
    <d v="2026-04-14T00:00:00"/>
    <d v="2026-04-23T00:00:00"/>
    <d v="2026-04-23T00:00:00"/>
    <n v="382"/>
    <s v="PK-231"/>
    <n v="4"/>
    <s v="Delivered"/>
    <s v="Y"/>
    <s v="Y"/>
    <s v="Y"/>
    <n v="9"/>
    <n v="0.99479166666666663"/>
    <n v="1.0471204188481676E-2"/>
    <n v="1"/>
    <n v="0"/>
    <n v="0"/>
  </r>
  <r>
    <s v="PO-1155"/>
    <x v="11"/>
    <s v="Imported"/>
    <n v="693"/>
    <d v="2026-04-16T00:00:00"/>
    <d v="2026-04-24T00:00:00"/>
    <d v="2026-04-22T00:00:00"/>
    <n v="701"/>
    <s v="IM-224"/>
    <n v="5"/>
    <s v="Delivered"/>
    <s v="Y"/>
    <s v="Y"/>
    <s v="Y"/>
    <n v="6"/>
    <n v="1.0115440115440115"/>
    <n v="7.1326676176890159E-3"/>
    <n v="1"/>
    <n v="0"/>
    <n v="0"/>
  </r>
  <r>
    <s v="PO-1853"/>
    <x v="10"/>
    <s v="Packaging"/>
    <n v="225"/>
    <d v="2026-05-28T00:00:00"/>
    <d v="2026-06-12T00:00:00"/>
    <d v="2026-06-13T00:00:00"/>
    <n v="228"/>
    <s v="PK-130"/>
    <n v="10"/>
    <s v="Delivered"/>
    <s v="N"/>
    <s v="Y"/>
    <s v="N"/>
    <n v="16"/>
    <n v="1.0133333333333334"/>
    <n v="4.3859649122807015E-2"/>
    <n v="0"/>
    <n v="1"/>
    <n v="500"/>
  </r>
  <r>
    <s v="PO-1860"/>
    <x v="9"/>
    <s v="Packaging"/>
    <n v="755"/>
    <d v="2026-05-31T00:00:00"/>
    <d v="2026-06-06T00:00:00"/>
    <d v="2026-06-14T00:00:00"/>
    <n v="765"/>
    <s v="PK-154"/>
    <n v="50"/>
    <s v="Delivered"/>
    <s v="N"/>
    <s v="Y"/>
    <s v="N"/>
    <n v="14"/>
    <n v="1.0132450331125828"/>
    <n v="6.535947712418301E-2"/>
    <n v="0"/>
    <n v="8"/>
    <n v="4000"/>
  </r>
  <r>
    <s v="PO-1248"/>
    <x v="9"/>
    <s v="Imported"/>
    <n v="737"/>
    <d v="2026-03-29T00:00:00"/>
    <d v="2026-04-04T00:00:00"/>
    <d v="2026-04-05T00:00:00"/>
    <n v="733"/>
    <s v="IM-276"/>
    <n v="6"/>
    <s v="Delivered"/>
    <s v="N"/>
    <s v="Y"/>
    <s v="N"/>
    <n v="7"/>
    <n v="0.99457259158751699"/>
    <n v="8.1855388813096858E-3"/>
    <n v="0"/>
    <n v="1"/>
    <n v="500"/>
  </r>
  <r>
    <s v="PO-1249"/>
    <x v="0"/>
    <s v="Packaging"/>
    <n v="734"/>
    <d v="2026-05-06T00:00:00"/>
    <d v="2026-05-13T00:00:00"/>
    <d v="2026-05-11T00:00:00"/>
    <n v="739"/>
    <s v="PK-175"/>
    <n v="11"/>
    <s v="Delivered"/>
    <s v="Y"/>
    <s v="Y"/>
    <s v="Y"/>
    <n v="5"/>
    <n v="1.0068119891008174"/>
    <n v="1.4884979702300407E-2"/>
    <n v="1"/>
    <n v="0"/>
    <n v="0"/>
  </r>
  <r>
    <s v="PO-1358"/>
    <x v="18"/>
    <s v="Raw Material"/>
    <n v="564"/>
    <d v="2026-02-09T00:00:00"/>
    <d v="2026-02-23T00:00:00"/>
    <d v="2026-02-21T00:00:00"/>
    <n v="497"/>
    <s v="RM-189"/>
    <n v="23"/>
    <s v="Delivered"/>
    <s v="Y"/>
    <s v="N"/>
    <s v="N"/>
    <n v="12"/>
    <n v="0.88120567375886527"/>
    <n v="4.6277665995975853E-2"/>
    <n v="0"/>
    <n v="0"/>
    <n v="0"/>
  </r>
  <r>
    <s v="PO-1776"/>
    <x v="8"/>
    <s v="Raw Material"/>
    <n v="409"/>
    <d v="2026-05-07T00:00:00"/>
    <d v="2026-05-15T00:00:00"/>
    <d v="2026-05-14T00:00:00"/>
    <n v="407"/>
    <s v="RM-160"/>
    <n v="20"/>
    <s v="Delivered"/>
    <s v="Y"/>
    <s v="Y"/>
    <s v="Y"/>
    <n v="7"/>
    <n v="0.99511002444987773"/>
    <n v="4.9140049140049137E-2"/>
    <n v="1"/>
    <n v="0"/>
    <n v="0"/>
  </r>
  <r>
    <s v="PO-1430"/>
    <x v="17"/>
    <s v="Packaging"/>
    <n v="915"/>
    <d v="2026-01-26T00:00:00"/>
    <d v="2026-02-09T00:00:00"/>
    <d v="2026-02-07T00:00:00"/>
    <n v="801"/>
    <s v="PK-174"/>
    <n v="16"/>
    <s v="Delivered"/>
    <s v="Y"/>
    <s v="N"/>
    <s v="N"/>
    <n v="12"/>
    <n v="0.87540983606557377"/>
    <n v="1.9975031210986267E-2"/>
    <n v="0"/>
    <n v="0"/>
    <n v="0"/>
  </r>
  <r>
    <s v="PO-1441"/>
    <x v="14"/>
    <s v="Imported"/>
    <n v="243"/>
    <d v="2026-04-10T00:00:00"/>
    <d v="2026-04-15T00:00:00"/>
    <d v="2026-04-13T00:00:00"/>
    <n v="238"/>
    <s v="IM-283"/>
    <n v="4"/>
    <s v="Delivered"/>
    <s v="Y"/>
    <s v="N"/>
    <s v="N"/>
    <n v="3"/>
    <n v="0.97942386831275718"/>
    <n v="1.680672268907563E-2"/>
    <n v="0"/>
    <n v="0"/>
    <n v="0"/>
  </r>
  <r>
    <s v="PO-1992"/>
    <x v="19"/>
    <s v="Packaging"/>
    <n v="172"/>
    <d v="2026-01-21T00:00:00"/>
    <d v="2026-01-28T00:00:00"/>
    <d v="2026-01-27T00:00:00"/>
    <n v="170"/>
    <s v="PK-139"/>
    <n v="3"/>
    <s v="Delivered"/>
    <s v="Y"/>
    <s v="Y"/>
    <s v="Y"/>
    <n v="6"/>
    <n v="0.98837209302325579"/>
    <n v="1.7647058823529412E-2"/>
    <n v="1"/>
    <n v="0"/>
    <n v="0"/>
  </r>
  <r>
    <s v="PO-1857"/>
    <x v="7"/>
    <s v="Packaging"/>
    <n v="966"/>
    <d v="2026-05-02T00:00:00"/>
    <d v="2026-05-10T00:00:00"/>
    <d v="2026-05-10T00:00:00"/>
    <n v="951"/>
    <s v="PK-259"/>
    <n v="39"/>
    <s v="Delivered"/>
    <s v="Y"/>
    <s v="Y"/>
    <s v="Y"/>
    <n v="8"/>
    <n v="0.98447204968944102"/>
    <n v="4.1009463722397478E-2"/>
    <n v="1"/>
    <n v="0"/>
    <n v="0"/>
  </r>
  <r>
    <s v="PO-1030"/>
    <x v="10"/>
    <s v="Raw Material"/>
    <n v="553"/>
    <d v="2026-05-28T00:00:00"/>
    <d v="2026-06-11T00:00:00"/>
    <d v="2026-06-10T00:00:00"/>
    <n v="552"/>
    <s v="RM-289"/>
    <n v="35"/>
    <s v="Delivered"/>
    <s v="Y"/>
    <s v="Y"/>
    <s v="Y"/>
    <n v="13"/>
    <n v="0.99819168173598549"/>
    <n v="6.3405797101449279E-2"/>
    <n v="1"/>
    <n v="0"/>
    <n v="0"/>
  </r>
  <r>
    <s v="PO-1281"/>
    <x v="4"/>
    <s v="Raw Material"/>
    <n v="615"/>
    <d v="2026-01-17T00:00:00"/>
    <d v="2026-01-26T00:00:00"/>
    <d v="2026-01-23T00:00:00"/>
    <n v="626"/>
    <s v="RM-248"/>
    <n v="6"/>
    <s v="Delivered"/>
    <s v="Y"/>
    <s v="Y"/>
    <s v="Y"/>
    <n v="6"/>
    <n v="1.0178861788617886"/>
    <n v="9.5846645367412137E-3"/>
    <n v="1"/>
    <n v="0"/>
    <n v="0"/>
  </r>
  <r>
    <s v="PO-1681"/>
    <x v="5"/>
    <s v="Packaging"/>
    <n v="355"/>
    <d v="2026-05-05T00:00:00"/>
    <d v="2026-05-10T00:00:00"/>
    <d v="2026-05-08T00:00:00"/>
    <n v="357"/>
    <s v="PK-214"/>
    <n v="2"/>
    <s v="Delivered"/>
    <s v="Y"/>
    <s v="Y"/>
    <s v="Y"/>
    <n v="3"/>
    <n v="1.0056338028169014"/>
    <n v="5.6022408963585435E-3"/>
    <n v="1"/>
    <n v="0"/>
    <n v="0"/>
  </r>
  <r>
    <s v="PO-1978"/>
    <x v="17"/>
    <s v="Packaging"/>
    <n v="988"/>
    <d v="2026-03-26T00:00:00"/>
    <d v="2026-04-05T00:00:00"/>
    <d v="2026-04-02T00:00:00"/>
    <n v="981"/>
    <s v="PK-149"/>
    <n v="38"/>
    <s v="Delivered"/>
    <s v="Y"/>
    <s v="Y"/>
    <s v="Y"/>
    <n v="7"/>
    <n v="0.99291497975708498"/>
    <n v="3.8735983690112129E-2"/>
    <n v="1"/>
    <n v="0"/>
    <n v="0"/>
  </r>
  <r>
    <s v="PO-1117"/>
    <x v="15"/>
    <s v="Raw Material"/>
    <n v="672"/>
    <d v="2026-02-10T00:00:00"/>
    <d v="2026-02-19T00:00:00"/>
    <d v="2026-02-22T00:00:00"/>
    <n v="668"/>
    <s v="RM-245"/>
    <n v="12"/>
    <s v="Delivered"/>
    <s v="N"/>
    <s v="Y"/>
    <s v="N"/>
    <n v="12"/>
    <n v="0.99404761904761907"/>
    <n v="1.7964071856287425E-2"/>
    <n v="0"/>
    <n v="3"/>
    <n v="1500"/>
  </r>
  <r>
    <s v="PO-1531"/>
    <x v="0"/>
    <s v="Packaging"/>
    <n v="125"/>
    <d v="2026-05-02T00:00:00"/>
    <d v="2026-05-13T00:00:00"/>
    <d v="2026-05-13T00:00:00"/>
    <n v="116"/>
    <s v="PK-216"/>
    <n v="2"/>
    <s v="Delivered"/>
    <s v="Y"/>
    <s v="N"/>
    <s v="N"/>
    <n v="11"/>
    <n v="0.92800000000000005"/>
    <n v="1.7241379310344827E-2"/>
    <n v="0"/>
    <n v="0"/>
    <n v="0"/>
  </r>
  <r>
    <s v="PO-1116"/>
    <x v="12"/>
    <s v="Raw Material"/>
    <n v="616"/>
    <d v="2026-01-13T00:00:00"/>
    <d v="2026-01-25T00:00:00"/>
    <d v="2026-01-24T00:00:00"/>
    <n v="519"/>
    <s v="RM-175"/>
    <n v="0"/>
    <s v="Delivered"/>
    <s v="Y"/>
    <s v="N"/>
    <s v="N"/>
    <n v="11"/>
    <n v="0.84253246753246758"/>
    <n v="0"/>
    <n v="0"/>
    <n v="0"/>
    <n v="0"/>
  </r>
  <r>
    <s v="PO-1523"/>
    <x v="5"/>
    <s v="Raw Material"/>
    <n v="176"/>
    <d v="2026-06-02T00:00:00"/>
    <d v="2026-06-07T00:00:00"/>
    <d v="2026-06-10T00:00:00"/>
    <n v="177"/>
    <s v="RM-257"/>
    <n v="2"/>
    <s v="Delivered"/>
    <s v="N"/>
    <s v="Y"/>
    <s v="N"/>
    <n v="8"/>
    <n v="1.0056818181818181"/>
    <n v="1.1299435028248588E-2"/>
    <n v="0"/>
    <n v="3"/>
    <n v="1500"/>
  </r>
  <r>
    <s v="PO-1671"/>
    <x v="3"/>
    <s v="Raw Material"/>
    <n v="747"/>
    <d v="2026-01-11T00:00:00"/>
    <d v="2026-01-21T00:00:00"/>
    <d v="2026-01-25T00:00:00"/>
    <n v="643"/>
    <s v="RM-252"/>
    <n v="24"/>
    <s v="Delivered"/>
    <s v="N"/>
    <s v="N"/>
    <s v="N"/>
    <n v="14"/>
    <n v="0.86077643908969215"/>
    <n v="3.7325038880248837E-2"/>
    <n v="0"/>
    <n v="4"/>
    <n v="2000"/>
  </r>
  <r>
    <s v="PO-1291"/>
    <x v="9"/>
    <s v="Packaging"/>
    <n v="183"/>
    <d v="2026-01-08T00:00:00"/>
    <d v="2026-01-22T00:00:00"/>
    <d v="2026-01-19T00:00:00"/>
    <n v="184"/>
    <s v="PK-271"/>
    <n v="8"/>
    <s v="Delivered"/>
    <s v="Y"/>
    <s v="Y"/>
    <s v="Y"/>
    <n v="11"/>
    <n v="1.0054644808743169"/>
    <n v="4.3478260869565216E-2"/>
    <n v="1"/>
    <n v="0"/>
    <n v="0"/>
  </r>
  <r>
    <s v="PO-1027"/>
    <x v="16"/>
    <s v="Raw Material"/>
    <n v="553"/>
    <d v="2026-04-04T00:00:00"/>
    <d v="2026-04-13T00:00:00"/>
    <d v="2026-04-12T00:00:00"/>
    <n v="557"/>
    <s v="RM-282"/>
    <n v="1"/>
    <s v="Delivered"/>
    <s v="Y"/>
    <s v="Y"/>
    <s v="Y"/>
    <n v="8"/>
    <n v="1.0072332730560578"/>
    <n v="1.7953321364452424E-3"/>
    <n v="1"/>
    <n v="0"/>
    <n v="0"/>
  </r>
  <r>
    <s v="PO-1381"/>
    <x v="10"/>
    <s v="Raw Material"/>
    <n v="263"/>
    <d v="2026-04-20T00:00:00"/>
    <d v="2026-04-29T00:00:00"/>
    <d v="2026-04-27T00:00:00"/>
    <n v="264"/>
    <s v="RM-156"/>
    <n v="17"/>
    <s v="Delivered"/>
    <s v="Y"/>
    <s v="Y"/>
    <s v="Y"/>
    <n v="7"/>
    <n v="1.0038022813688212"/>
    <n v="6.4393939393939392E-2"/>
    <n v="1"/>
    <n v="0"/>
    <n v="0"/>
  </r>
  <r>
    <s v="PO-1307"/>
    <x v="19"/>
    <s v="Packaging"/>
    <n v="707"/>
    <d v="2026-03-29T00:00:00"/>
    <d v="2026-04-04T00:00:00"/>
    <d v="2026-04-12T00:00:00"/>
    <n v="702"/>
    <s v="unknown_SKU"/>
    <n v="33"/>
    <s v="Delivered"/>
    <s v="N"/>
    <s v="Y"/>
    <s v="N"/>
    <n v="14"/>
    <n v="0.99292786421499291"/>
    <n v="4.7008547008547008E-2"/>
    <n v="0"/>
    <n v="8"/>
    <n v="4000"/>
  </r>
  <r>
    <s v="PO-1706"/>
    <x v="6"/>
    <s v="Raw Material"/>
    <n v="131"/>
    <d v="2026-03-29T00:00:00"/>
    <d v="2026-04-03T00:00:00"/>
    <d v="2026-03-31T00:00:00"/>
    <n v="130"/>
    <s v="RM-200"/>
    <n v="1"/>
    <s v="Delivered"/>
    <s v="Y"/>
    <s v="Y"/>
    <s v="Y"/>
    <n v="2"/>
    <n v="0.99236641221374045"/>
    <n v="7.6923076923076927E-3"/>
    <n v="1"/>
    <n v="0"/>
    <n v="0"/>
  </r>
  <r>
    <s v="PO-1600"/>
    <x v="11"/>
    <s v="Raw Material"/>
    <n v="289"/>
    <d v="2026-02-24T00:00:00"/>
    <d v="2026-03-02T00:00:00"/>
    <m/>
    <m/>
    <s v="RM-294"/>
    <m/>
    <s v="Pending"/>
    <s v="N/A"/>
    <s v="N/A"/>
    <s v="N/A"/>
    <s v="N/A"/>
    <s v="N/A"/>
    <s v="N/A"/>
    <s v=""/>
    <s v="N/A"/>
    <n v="0"/>
  </r>
  <r>
    <s v="PO-1200"/>
    <x v="0"/>
    <s v="Raw Material"/>
    <n v="979"/>
    <d v="2026-01-07T00:00:00"/>
    <d v="2026-01-12T00:00:00"/>
    <d v="2026-01-14T00:00:00"/>
    <n v="981"/>
    <s v="RM-104"/>
    <n v="31"/>
    <s v="Delivered"/>
    <s v="N"/>
    <s v="Y"/>
    <s v="N"/>
    <n v="7"/>
    <n v="1.0020429009193055"/>
    <n v="3.1600407747196739E-2"/>
    <n v="0"/>
    <n v="2"/>
    <n v="1000"/>
  </r>
  <r>
    <s v="PO-1815"/>
    <x v="7"/>
    <s v="Raw Material"/>
    <n v="600"/>
    <d v="2026-02-15T00:00:00"/>
    <d v="2026-02-24T00:00:00"/>
    <d v="2026-02-21T00:00:00"/>
    <n v="540"/>
    <s v="RM-171"/>
    <n v="35"/>
    <s v="Delivered"/>
    <s v="Y"/>
    <s v="N"/>
    <s v="N"/>
    <n v="6"/>
    <n v="0.9"/>
    <n v="6.4814814814814811E-2"/>
    <n v="0"/>
    <n v="0"/>
    <n v="0"/>
  </r>
  <r>
    <s v="PO-1385"/>
    <x v="8"/>
    <s v="Imported"/>
    <n v="565"/>
    <d v="2026-01-29T00:00:00"/>
    <d v="2026-02-13T00:00:00"/>
    <d v="2026-02-21T00:00:00"/>
    <n v="560"/>
    <s v="IM-171"/>
    <n v="12"/>
    <s v="Delivered"/>
    <s v="N"/>
    <s v="Y"/>
    <s v="N"/>
    <n v="23"/>
    <n v="0.99115044247787609"/>
    <n v="2.1428571428571429E-2"/>
    <n v="0"/>
    <n v="8"/>
    <n v="4000"/>
  </r>
  <r>
    <s v="PO-1719"/>
    <x v="19"/>
    <s v="Imported"/>
    <n v="540"/>
    <d v="2026-04-09T00:00:00"/>
    <d v="2026-04-20T00:00:00"/>
    <d v="2026-04-17T00:00:00"/>
    <n v="541"/>
    <s v="IM-123"/>
    <n v="16"/>
    <s v="Delivered"/>
    <s v="Y"/>
    <s v="Y"/>
    <s v="Y"/>
    <n v="8"/>
    <n v="1.0018518518518518"/>
    <n v="2.9574861367837338E-2"/>
    <n v="1"/>
    <n v="0"/>
    <n v="0"/>
  </r>
  <r>
    <s v="PO-1667"/>
    <x v="2"/>
    <s v="Packaging"/>
    <n v="353"/>
    <d v="2026-01-28T00:00:00"/>
    <d v="2026-02-02T00:00:00"/>
    <d v="2026-01-30T00:00:00"/>
    <n v="355"/>
    <s v="PK-146"/>
    <n v="0"/>
    <s v="Delivered"/>
    <s v="Y"/>
    <s v="Y"/>
    <s v="Y"/>
    <n v="2"/>
    <n v="1.0056657223796035"/>
    <n v="0"/>
    <n v="1"/>
    <n v="0"/>
    <n v="0"/>
  </r>
  <r>
    <s v="PO-1914"/>
    <x v="19"/>
    <s v="Imported"/>
    <n v="214"/>
    <d v="2026-03-25T00:00:00"/>
    <d v="2026-03-31T00:00:00"/>
    <d v="2026-03-28T00:00:00"/>
    <n v="213"/>
    <s v="IM-241"/>
    <n v="11"/>
    <s v="Delivered"/>
    <s v="Y"/>
    <s v="Y"/>
    <s v="Y"/>
    <n v="3"/>
    <n v="0.99532710280373837"/>
    <n v="5.1643192488262914E-2"/>
    <n v="1"/>
    <n v="0"/>
    <n v="0"/>
  </r>
  <r>
    <s v="PO-1802"/>
    <x v="13"/>
    <s v="Raw Material"/>
    <n v="585"/>
    <d v="2026-03-14T00:00:00"/>
    <d v="2026-03-22T00:00:00"/>
    <d v="2026-03-22T00:00:00"/>
    <n v="582"/>
    <s v="RM-163"/>
    <n v="5"/>
    <s v="Delivered"/>
    <s v="Y"/>
    <s v="Y"/>
    <s v="Y"/>
    <n v="8"/>
    <n v="0.99487179487179489"/>
    <n v="8.5910652920962206E-3"/>
    <n v="1"/>
    <n v="0"/>
    <n v="0"/>
  </r>
  <r>
    <s v="PO-1953"/>
    <x v="19"/>
    <s v="Packaging"/>
    <n v="887"/>
    <d v="2026-01-18T00:00:00"/>
    <d v="2026-01-27T00:00:00"/>
    <d v="2026-02-03T00:00:00"/>
    <n v="899"/>
    <s v="PK-119"/>
    <n v="17"/>
    <s v="Delivered"/>
    <s v="N"/>
    <s v="Y"/>
    <s v="N"/>
    <n v="16"/>
    <n v="1.0135287485907554"/>
    <n v="1.8909899888765295E-2"/>
    <n v="0"/>
    <n v="7"/>
    <n v="3500"/>
  </r>
  <r>
    <s v="PO-1314"/>
    <x v="5"/>
    <s v="Packaging"/>
    <n v="190"/>
    <d v="2026-03-13T00:00:00"/>
    <d v="2026-03-21T00:00:00"/>
    <d v="2026-03-18T00:00:00"/>
    <n v="192"/>
    <s v="PK-116"/>
    <n v="2"/>
    <s v="Delivered"/>
    <s v="Y"/>
    <s v="Y"/>
    <s v="Y"/>
    <n v="5"/>
    <n v="1.0105263157894737"/>
    <n v="1.0416666666666666E-2"/>
    <n v="1"/>
    <n v="0"/>
    <n v="0"/>
  </r>
  <r>
    <s v="PO-1505"/>
    <x v="18"/>
    <s v="Imported"/>
    <n v="352"/>
    <d v="2026-05-06T00:00:00"/>
    <d v="2026-05-11T00:00:00"/>
    <d v="2026-05-10T00:00:00"/>
    <n v="352"/>
    <s v="IM-149"/>
    <n v="7"/>
    <s v="Delivered"/>
    <s v="Y"/>
    <s v="Y"/>
    <s v="Y"/>
    <n v="4"/>
    <n v="1"/>
    <n v="1.9886363636363636E-2"/>
    <n v="1"/>
    <n v="0"/>
    <n v="0"/>
  </r>
  <r>
    <s v="PO-1280"/>
    <x v="2"/>
    <s v="Raw Material"/>
    <n v="550"/>
    <d v="2026-05-29T00:00:00"/>
    <d v="2026-06-12T00:00:00"/>
    <d v="2026-06-09T00:00:00"/>
    <n v="558"/>
    <s v="RM-278"/>
    <n v="22"/>
    <s v="Delivered"/>
    <s v="Y"/>
    <s v="Y"/>
    <s v="Y"/>
    <n v="11"/>
    <n v="1.0145454545454546"/>
    <n v="3.9426523297491037E-2"/>
    <n v="1"/>
    <n v="0"/>
    <n v="0"/>
  </r>
  <r>
    <s v="PO-1962"/>
    <x v="13"/>
    <s v="Raw Material"/>
    <n v="557"/>
    <d v="2026-03-01T00:00:00"/>
    <d v="2026-03-09T00:00:00"/>
    <d v="2026-03-08T00:00:00"/>
    <n v="553"/>
    <s v="RM-103"/>
    <n v="27"/>
    <s v="Delivered"/>
    <s v="Y"/>
    <s v="Y"/>
    <s v="Y"/>
    <n v="7"/>
    <n v="0.99281867145421898"/>
    <n v="4.8824593128390596E-2"/>
    <n v="1"/>
    <n v="0"/>
    <n v="0"/>
  </r>
  <r>
    <s v="PO-1979"/>
    <x v="1"/>
    <s v="Raw Material"/>
    <n v="548"/>
    <d v="2026-02-27T00:00:00"/>
    <d v="2026-03-13T00:00:00"/>
    <d v="2026-03-13T00:00:00"/>
    <n v="557"/>
    <s v="RM-108"/>
    <n v="4"/>
    <s v="Delivered"/>
    <s v="Y"/>
    <s v="Y"/>
    <s v="Y"/>
    <n v="14"/>
    <n v="1.0164233576642336"/>
    <n v="7.1813285457809697E-3"/>
    <n v="1"/>
    <n v="0"/>
    <n v="0"/>
  </r>
  <r>
    <s v="PO-1353"/>
    <x v="0"/>
    <s v="Imported"/>
    <n v="414"/>
    <d v="2026-04-18T00:00:00"/>
    <d v="2026-04-26T00:00:00"/>
    <d v="2026-05-05T00:00:00"/>
    <n v="413"/>
    <s v="IM-284"/>
    <n v="9"/>
    <s v="Delivered"/>
    <s v="N"/>
    <s v="Y"/>
    <s v="N"/>
    <n v="17"/>
    <n v="0.99758454106280192"/>
    <n v="2.1791767554479417E-2"/>
    <n v="0"/>
    <n v="9"/>
    <n v="4500"/>
  </r>
  <r>
    <s v="PO-1650"/>
    <x v="14"/>
    <s v="Packaging"/>
    <n v="854"/>
    <d v="2026-02-22T00:00:00"/>
    <d v="2026-02-28T00:00:00"/>
    <d v="2026-02-25T00:00:00"/>
    <n v="745"/>
    <s v="PK-123"/>
    <n v="7"/>
    <s v="Delivered"/>
    <s v="Y"/>
    <s v="N"/>
    <s v="N"/>
    <n v="3"/>
    <n v="0.8723653395784543"/>
    <n v="9.3959731543624154E-3"/>
    <n v="0"/>
    <n v="0"/>
    <n v="0"/>
  </r>
  <r>
    <s v="PO-1207"/>
    <x v="3"/>
    <s v="Raw Material"/>
    <n v="904"/>
    <d v="2026-02-20T00:00:00"/>
    <d v="2026-03-07T00:00:00"/>
    <d v="2026-03-04T00:00:00"/>
    <n v="821"/>
    <s v="RM-212"/>
    <n v="37"/>
    <s v="Delivered"/>
    <s v="Y"/>
    <s v="N"/>
    <s v="N"/>
    <n v="12"/>
    <n v="0.9081858407079646"/>
    <n v="4.5066991473812421E-2"/>
    <n v="0"/>
    <n v="0"/>
    <n v="0"/>
  </r>
  <r>
    <s v="PO-1379"/>
    <x v="10"/>
    <s v="Raw Material"/>
    <n v="873"/>
    <d v="2026-02-09T00:00:00"/>
    <d v="2026-02-18T00:00:00"/>
    <d v="2026-02-17T00:00:00"/>
    <n v="858"/>
    <s v="RM-112"/>
    <n v="82"/>
    <s v="Delivered"/>
    <s v="Y"/>
    <s v="Y"/>
    <s v="Y"/>
    <n v="8"/>
    <n v="0.98281786941580751"/>
    <n v="9.5571095571095568E-2"/>
    <n v="1"/>
    <n v="0"/>
    <n v="0"/>
  </r>
  <r>
    <s v="PO-1771"/>
    <x v="5"/>
    <s v="Imported"/>
    <n v="984"/>
    <d v="2026-01-13T00:00:00"/>
    <d v="2026-01-24T00:00:00"/>
    <d v="2026-01-27T00:00:00"/>
    <n v="983"/>
    <s v="IM-208"/>
    <n v="8"/>
    <s v="Delivered"/>
    <s v="N"/>
    <s v="Y"/>
    <s v="N"/>
    <n v="14"/>
    <n v="0.99898373983739841"/>
    <n v="8.1383519837232958E-3"/>
    <n v="0"/>
    <n v="3"/>
    <n v="1500"/>
  </r>
  <r>
    <s v="PO-1799"/>
    <x v="14"/>
    <s v="Raw Material"/>
    <n v="698"/>
    <d v="2026-05-19T00:00:00"/>
    <d v="2026-05-28T00:00:00"/>
    <d v="2026-05-25T00:00:00"/>
    <n v="703"/>
    <s v="RM-227"/>
    <n v="10"/>
    <s v="Delivered"/>
    <s v="Y"/>
    <s v="Y"/>
    <s v="Y"/>
    <n v="6"/>
    <n v="1.0071633237822351"/>
    <n v="1.422475106685633E-2"/>
    <n v="1"/>
    <n v="0"/>
    <n v="0"/>
  </r>
  <r>
    <s v="PO-1023"/>
    <x v="7"/>
    <s v="Raw Material"/>
    <n v="487"/>
    <d v="2026-04-13T00:00:00"/>
    <d v="2026-04-19T00:00:00"/>
    <d v="2026-04-17T00:00:00"/>
    <n v="442"/>
    <s v="RM-125"/>
    <n v="6"/>
    <s v="Delivered"/>
    <s v="Y"/>
    <s v="N"/>
    <s v="N"/>
    <n v="4"/>
    <n v="0.9075975359342916"/>
    <n v="1.3574660633484163E-2"/>
    <n v="0"/>
    <n v="0"/>
    <n v="0"/>
  </r>
  <r>
    <s v="PO-1340"/>
    <x v="6"/>
    <s v="Imported"/>
    <n v="793"/>
    <d v="2026-05-17T00:00:00"/>
    <d v="2026-05-22T00:00:00"/>
    <d v="2026-05-20T00:00:00"/>
    <n v="803"/>
    <s v="IM-184"/>
    <n v="42"/>
    <s v="Delivered"/>
    <s v="Y"/>
    <s v="Y"/>
    <s v="Y"/>
    <n v="3"/>
    <n v="1.0126103404791928"/>
    <n v="5.2303860523038606E-2"/>
    <n v="1"/>
    <n v="0"/>
    <n v="0"/>
  </r>
  <r>
    <s v="PO-1700"/>
    <x v="15"/>
    <s v="Imported"/>
    <n v="718"/>
    <d v="2026-01-29T00:00:00"/>
    <d v="2026-02-09T00:00:00"/>
    <d v="2026-02-06T00:00:00"/>
    <n v="706"/>
    <s v="IM-154"/>
    <n v="9"/>
    <s v="Delivered"/>
    <s v="Y"/>
    <s v="Y"/>
    <s v="Y"/>
    <n v="8"/>
    <n v="0.98328690807799446"/>
    <n v="1.2747875354107648E-2"/>
    <n v="1"/>
    <n v="0"/>
    <n v="0"/>
  </r>
  <r>
    <s v="PO-1644"/>
    <x v="15"/>
    <s v="Raw Material"/>
    <n v="194"/>
    <d v="2026-04-08T00:00:00"/>
    <d v="2026-04-17T00:00:00"/>
    <d v="2026-04-16T00:00:00"/>
    <n v="192"/>
    <s v="RM-293"/>
    <n v="4"/>
    <s v="Delivered"/>
    <s v="Y"/>
    <s v="Y"/>
    <s v="Y"/>
    <n v="8"/>
    <n v="0.98969072164948457"/>
    <n v="2.0833333333333332E-2"/>
    <n v="1"/>
    <n v="0"/>
    <n v="0"/>
  </r>
  <r>
    <s v="PO-1154"/>
    <x v="1"/>
    <s v="Imported"/>
    <n v="240"/>
    <d v="2026-03-08T00:00:00"/>
    <d v="2026-03-21T00:00:00"/>
    <d v="2026-03-21T00:00:00"/>
    <n v="236"/>
    <s v="IM-297"/>
    <n v="2"/>
    <s v="Delivered"/>
    <s v="Y"/>
    <s v="Y"/>
    <s v="Y"/>
    <n v="13"/>
    <n v="0.98333333333333328"/>
    <n v="8.4745762711864406E-3"/>
    <n v="1"/>
    <n v="0"/>
    <n v="0"/>
  </r>
  <r>
    <s v="PO-1869"/>
    <x v="19"/>
    <s v="Packaging"/>
    <n v="601"/>
    <d v="2026-04-25T00:00:00"/>
    <d v="2026-05-05T00:00:00"/>
    <d v="2026-05-04T00:00:00"/>
    <n v="595"/>
    <s v="PK-187"/>
    <n v="1"/>
    <s v="Delivered"/>
    <s v="Y"/>
    <s v="Y"/>
    <s v="Y"/>
    <n v="9"/>
    <n v="0.99001663893510816"/>
    <n v="1.6806722689075631E-3"/>
    <n v="1"/>
    <n v="0"/>
    <n v="0"/>
  </r>
  <r>
    <s v="PO-1791"/>
    <x v="14"/>
    <s v="Packaging"/>
    <n v="792"/>
    <d v="2026-04-02T00:00:00"/>
    <d v="2026-04-14T00:00:00"/>
    <d v="2026-04-15T00:00:00"/>
    <n v="789"/>
    <s v="PK-164"/>
    <n v="9"/>
    <s v="Delivered"/>
    <s v="N"/>
    <s v="Y"/>
    <s v="N"/>
    <n v="13"/>
    <n v="0.99621212121212122"/>
    <n v="1.1406844106463879E-2"/>
    <n v="0"/>
    <n v="1"/>
    <n v="500"/>
  </r>
  <r>
    <s v="PO-1733"/>
    <x v="10"/>
    <s v="Packaging"/>
    <n v="875"/>
    <d v="2026-05-26T00:00:00"/>
    <d v="2026-06-10T00:00:00"/>
    <d v="2026-06-13T00:00:00"/>
    <n v="885"/>
    <s v="PK-240"/>
    <n v="70"/>
    <s v="Delivered"/>
    <s v="N"/>
    <s v="Y"/>
    <s v="N"/>
    <n v="18"/>
    <n v="1.0114285714285713"/>
    <n v="7.909604519774012E-2"/>
    <n v="0"/>
    <n v="3"/>
    <n v="1500"/>
  </r>
  <r>
    <s v="PO-1552"/>
    <x v="11"/>
    <s v="Packaging"/>
    <n v="337"/>
    <d v="2026-03-22T00:00:00"/>
    <d v="2026-03-31T00:00:00"/>
    <d v="2026-04-07T00:00:00"/>
    <n v="338"/>
    <s v="PK-181"/>
    <n v="1"/>
    <s v="Delivered"/>
    <s v="N"/>
    <s v="Y"/>
    <s v="N"/>
    <n v="16"/>
    <n v="1.0029673590504451"/>
    <n v="2.9585798816568047E-3"/>
    <n v="0"/>
    <n v="7"/>
    <n v="3500"/>
  </r>
  <r>
    <s v="PO-1793"/>
    <x v="5"/>
    <s v="Packaging"/>
    <n v="552"/>
    <d v="2026-02-25T00:00:00"/>
    <d v="2026-03-08T00:00:00"/>
    <d v="2026-03-08T00:00:00"/>
    <n v="559"/>
    <s v="PK-103"/>
    <n v="3"/>
    <s v="Delivered"/>
    <s v="Y"/>
    <s v="Y"/>
    <s v="Y"/>
    <n v="11"/>
    <n v="1.0126811594202898"/>
    <n v="5.3667262969588547E-3"/>
    <n v="1"/>
    <n v="0"/>
    <n v="0"/>
  </r>
  <r>
    <s v="PO-1322"/>
    <x v="6"/>
    <s v="Packaging"/>
    <n v="980"/>
    <d v="2026-02-26T00:00:00"/>
    <d v="2026-03-13T00:00:00"/>
    <d v="2026-03-10T00:00:00"/>
    <n v="977"/>
    <s v="PK-225"/>
    <n v="65"/>
    <s v="Delivered"/>
    <s v="Y"/>
    <s v="Y"/>
    <s v="Y"/>
    <n v="12"/>
    <n v="0.99693877551020404"/>
    <n v="6.6530194472876156E-2"/>
    <n v="1"/>
    <n v="0"/>
    <n v="0"/>
  </r>
  <r>
    <s v="PO-1878"/>
    <x v="7"/>
    <s v="Raw Material"/>
    <n v="488"/>
    <d v="2026-05-28T00:00:00"/>
    <d v="2026-06-07T00:00:00"/>
    <d v="2026-06-06T00:00:00"/>
    <n v="481"/>
    <s v="RM-246"/>
    <n v="20"/>
    <s v="Delivered"/>
    <s v="Y"/>
    <s v="Y"/>
    <s v="Y"/>
    <n v="9"/>
    <n v="0.98565573770491799"/>
    <n v="4.1580041580041582E-2"/>
    <n v="1"/>
    <n v="0"/>
    <n v="0"/>
  </r>
  <r>
    <s v="PO-1812"/>
    <x v="6"/>
    <s v="Imported"/>
    <n v="764"/>
    <d v="2026-01-20T00:00:00"/>
    <d v="2026-01-29T00:00:00"/>
    <d v="2026-02-05T00:00:00"/>
    <n v="759"/>
    <s v="IM-119"/>
    <n v="32"/>
    <s v="Delivered"/>
    <s v="N"/>
    <s v="Y"/>
    <s v="N"/>
    <n v="16"/>
    <n v="0.99345549738219896"/>
    <n v="4.2160737812911728E-2"/>
    <n v="0"/>
    <n v="7"/>
    <n v="3500"/>
  </r>
  <r>
    <s v="PO-1082"/>
    <x v="16"/>
    <s v="Packaging"/>
    <n v="858"/>
    <d v="2026-02-14T00:00:00"/>
    <d v="2026-02-24T00:00:00"/>
    <d v="2026-02-22T00:00:00"/>
    <n v="711"/>
    <s v="PK-139"/>
    <n v="2"/>
    <s v="Delivered"/>
    <s v="Y"/>
    <s v="N"/>
    <s v="N"/>
    <n v="8"/>
    <n v="0.82867132867132864"/>
    <n v="2.8129395218002813E-3"/>
    <n v="0"/>
    <n v="0"/>
    <n v="0"/>
  </r>
  <r>
    <s v="PO-1586"/>
    <x v="2"/>
    <s v="Packaging"/>
    <n v="565"/>
    <d v="2026-01-25T00:00:00"/>
    <d v="2026-02-06T00:00:00"/>
    <d v="2026-02-05T00:00:00"/>
    <n v="564"/>
    <s v="PK-236"/>
    <n v="10"/>
    <s v="Delivered"/>
    <s v="Y"/>
    <s v="Y"/>
    <s v="Y"/>
    <n v="11"/>
    <n v="0.99823008849557526"/>
    <n v="1.7730496453900711E-2"/>
    <n v="1"/>
    <n v="0"/>
    <n v="0"/>
  </r>
  <r>
    <s v="PO-1464"/>
    <x v="13"/>
    <s v="Imported"/>
    <n v="771"/>
    <d v="2026-05-01T00:00:00"/>
    <d v="2026-05-07T00:00:00"/>
    <d v="2026-05-13T00:00:00"/>
    <n v="642"/>
    <s v="IM-260"/>
    <n v="24"/>
    <s v="Delivered"/>
    <s v="N"/>
    <s v="N"/>
    <s v="N"/>
    <n v="12"/>
    <n v="0.83268482490272377"/>
    <n v="3.7383177570093455E-2"/>
    <n v="0"/>
    <n v="6"/>
    <n v="3000"/>
  </r>
  <r>
    <s v="PO-1333"/>
    <x v="12"/>
    <s v="Raw Material"/>
    <n v="122"/>
    <d v="2026-04-06T00:00:00"/>
    <d v="2026-04-11T00:00:00"/>
    <d v="2026-04-09T00:00:00"/>
    <n v="121"/>
    <s v="RM-246"/>
    <n v="2"/>
    <s v="Delivered"/>
    <s v="Y"/>
    <s v="Y"/>
    <s v="Y"/>
    <n v="3"/>
    <n v="0.99180327868852458"/>
    <n v="1.6528925619834711E-2"/>
    <n v="1"/>
    <n v="0"/>
    <n v="0"/>
  </r>
  <r>
    <s v="PO-1010"/>
    <x v="15"/>
    <s v="Raw Material"/>
    <n v="132"/>
    <d v="2026-05-31T00:00:00"/>
    <d v="2026-06-06T00:00:00"/>
    <d v="2026-06-06T00:00:00"/>
    <n v="132"/>
    <s v="RM-228"/>
    <n v="0"/>
    <s v="Delivered"/>
    <s v="Y"/>
    <s v="Y"/>
    <s v="Y"/>
    <n v="6"/>
    <n v="1"/>
    <n v="0"/>
    <n v="1"/>
    <n v="0"/>
    <n v="0"/>
  </r>
  <r>
    <s v="PO-1470"/>
    <x v="9"/>
    <s v="Raw Material"/>
    <n v="693"/>
    <d v="2026-01-19T00:00:00"/>
    <d v="2026-01-30T00:00:00"/>
    <d v="2026-01-28T00:00:00"/>
    <n v="697"/>
    <s v="RM-170"/>
    <n v="2"/>
    <s v="Delivered"/>
    <s v="Y"/>
    <s v="Y"/>
    <s v="Y"/>
    <n v="9"/>
    <n v="1.0057720057720059"/>
    <n v="2.8694404591104736E-3"/>
    <n v="1"/>
    <n v="0"/>
    <n v="0"/>
  </r>
  <r>
    <s v="PO-1032"/>
    <x v="8"/>
    <s v="Packaging"/>
    <n v="975"/>
    <d v="2026-01-06T00:00:00"/>
    <d v="2026-01-11T00:00:00"/>
    <d v="2026-01-11T00:00:00"/>
    <n v="971"/>
    <s v="PK-179"/>
    <n v="61"/>
    <s v="Delivered"/>
    <s v="Y"/>
    <s v="Y"/>
    <s v="Y"/>
    <n v="5"/>
    <n v="0.99589743589743585"/>
    <n v="6.2821833161688975E-2"/>
    <n v="1"/>
    <n v="0"/>
    <n v="0"/>
  </r>
  <r>
    <s v="PO-1578"/>
    <x v="18"/>
    <s v="Packaging"/>
    <n v="400"/>
    <d v="2026-03-21T00:00:00"/>
    <d v="2026-03-29T00:00:00"/>
    <d v="2026-03-26T00:00:00"/>
    <n v="396"/>
    <s v="PK-208"/>
    <n v="0"/>
    <s v="Delivered"/>
    <s v="Y"/>
    <s v="Y"/>
    <s v="Y"/>
    <n v="5"/>
    <n v="0.99"/>
    <n v="0"/>
    <n v="1"/>
    <n v="0"/>
    <n v="0"/>
  </r>
  <r>
    <s v="PO-1886"/>
    <x v="5"/>
    <s v="Raw Material"/>
    <n v="884"/>
    <d v="2026-01-21T00:00:00"/>
    <d v="2026-01-27T00:00:00"/>
    <d v="2026-01-28T00:00:00"/>
    <n v="893"/>
    <s v="RM-169"/>
    <n v="7"/>
    <s v="Delivered"/>
    <s v="N"/>
    <s v="Y"/>
    <s v="N"/>
    <n v="7"/>
    <n v="1.0101809954751131"/>
    <n v="7.8387458006718928E-3"/>
    <n v="0"/>
    <n v="1"/>
    <n v="500"/>
  </r>
  <r>
    <s v="PO-1382"/>
    <x v="0"/>
    <s v="Packaging"/>
    <n v="758"/>
    <d v="2026-01-19T00:00:00"/>
    <d v="2026-01-30T00:00:00"/>
    <d v="2026-01-30T00:00:00"/>
    <n v="754"/>
    <s v="PK-205"/>
    <n v="6"/>
    <s v="Delivered"/>
    <s v="Y"/>
    <s v="Y"/>
    <s v="Y"/>
    <n v="11"/>
    <n v="0.99472295514511877"/>
    <n v="7.9575596816976128E-3"/>
    <n v="1"/>
    <n v="0"/>
    <n v="0"/>
  </r>
  <r>
    <s v="PO-1609"/>
    <x v="6"/>
    <s v="Raw Material"/>
    <n v="85"/>
    <d v="2026-05-09T00:00:00"/>
    <d v="2026-05-16T00:00:00"/>
    <d v="2026-05-14T00:00:00"/>
    <n v="84"/>
    <s v="RM-269"/>
    <n v="4"/>
    <s v="Delivered"/>
    <s v="Y"/>
    <s v="Y"/>
    <s v="Y"/>
    <n v="5"/>
    <n v="0.9882352941176471"/>
    <n v="4.7619047619047616E-2"/>
    <n v="1"/>
    <n v="0"/>
    <n v="0"/>
  </r>
  <r>
    <s v="PO-1558"/>
    <x v="19"/>
    <s v="Raw Material"/>
    <n v="624"/>
    <d v="2026-03-13T00:00:00"/>
    <d v="2026-03-22T00:00:00"/>
    <d v="2026-03-31T00:00:00"/>
    <n v="635"/>
    <s v="RM-265"/>
    <n v="7"/>
    <s v="Delivered"/>
    <s v="N"/>
    <s v="Y"/>
    <s v="N"/>
    <n v="18"/>
    <n v="1.0176282051282051"/>
    <n v="1.1023622047244094E-2"/>
    <n v="0"/>
    <n v="9"/>
    <n v="4500"/>
  </r>
  <r>
    <s v="PO-1910"/>
    <x v="13"/>
    <s v="Raw Material"/>
    <n v="806"/>
    <d v="2026-02-17T00:00:00"/>
    <d v="2026-02-24T00:00:00"/>
    <d v="2026-02-22T00:00:00"/>
    <n v="751"/>
    <s v="RM-228"/>
    <n v="35"/>
    <s v="Delivered"/>
    <s v="Y"/>
    <s v="N"/>
    <s v="N"/>
    <n v="5"/>
    <n v="0.93176178660049624"/>
    <n v="4.6604527296937419E-2"/>
    <n v="0"/>
    <n v="0"/>
    <n v="0"/>
  </r>
  <r>
    <s v="PO-1918"/>
    <x v="12"/>
    <s v="Raw Material"/>
    <n v="251"/>
    <d v="2026-01-17T00:00:00"/>
    <d v="2026-02-01T00:00:00"/>
    <d v="2026-02-09T00:00:00"/>
    <n v="248"/>
    <s v="RM-263"/>
    <n v="1"/>
    <s v="Delivered"/>
    <s v="N"/>
    <s v="Y"/>
    <s v="N"/>
    <n v="23"/>
    <n v="0.98804780876494025"/>
    <n v="4.0322580645161289E-3"/>
    <n v="0"/>
    <n v="8"/>
    <n v="4000"/>
  </r>
  <r>
    <s v="PO-1378"/>
    <x v="0"/>
    <s v="Raw Material"/>
    <n v="189"/>
    <d v="2026-04-18T00:00:00"/>
    <d v="2026-05-03T00:00:00"/>
    <d v="2026-04-30T00:00:00"/>
    <n v="186"/>
    <s v="RM-155"/>
    <n v="2"/>
    <s v="Delivered"/>
    <s v="Y"/>
    <s v="Y"/>
    <s v="Y"/>
    <n v="12"/>
    <n v="0.98412698412698407"/>
    <n v="1.0752688172043012E-2"/>
    <n v="1"/>
    <n v="0"/>
    <n v="0"/>
  </r>
  <r>
    <s v="PO-1089"/>
    <x v="8"/>
    <s v="Raw Material"/>
    <n v="722"/>
    <d v="2026-02-28T00:00:00"/>
    <d v="2026-03-11T00:00:00"/>
    <d v="2026-03-14T00:00:00"/>
    <n v="719"/>
    <s v="RM-256"/>
    <n v="2"/>
    <s v="Delivered"/>
    <s v="N"/>
    <s v="Y"/>
    <s v="N"/>
    <n v="14"/>
    <n v="0.99584487534626043"/>
    <n v="2.7816411682892906E-3"/>
    <n v="0"/>
    <n v="3"/>
    <n v="1500"/>
  </r>
  <r>
    <s v="PO-1213"/>
    <x v="9"/>
    <s v="Raw Material"/>
    <n v="775"/>
    <d v="2026-02-18T00:00:00"/>
    <d v="2026-02-26T00:00:00"/>
    <d v="2026-02-28T00:00:00"/>
    <n v="764"/>
    <s v="RM-172"/>
    <n v="29"/>
    <s v="Delivered"/>
    <s v="N"/>
    <s v="Y"/>
    <s v="N"/>
    <n v="10"/>
    <n v="0.98580645161290326"/>
    <n v="3.7958115183246072E-2"/>
    <n v="0"/>
    <n v="2"/>
    <n v="1000"/>
  </r>
  <r>
    <s v="PO-1133"/>
    <x v="4"/>
    <s v="Packaging"/>
    <n v="752"/>
    <d v="2026-04-06T00:00:00"/>
    <d v="2026-04-14T00:00:00"/>
    <m/>
    <m/>
    <s v="PK-185"/>
    <m/>
    <s v="Pending"/>
    <s v="N/A"/>
    <s v="N/A"/>
    <s v="N/A"/>
    <s v="N/A"/>
    <s v="N/A"/>
    <s v="N/A"/>
    <s v=""/>
    <s v="N/A"/>
    <n v="0"/>
  </r>
  <r>
    <s v="PO-1346"/>
    <x v="16"/>
    <s v="Raw Material"/>
    <n v="753"/>
    <d v="2026-04-29T00:00:00"/>
    <d v="2026-05-07T00:00:00"/>
    <d v="2026-05-07T00:00:00"/>
    <n v="624"/>
    <s v="RM-237"/>
    <n v="3"/>
    <s v="Delivered"/>
    <s v="Y"/>
    <s v="N"/>
    <s v="N"/>
    <n v="8"/>
    <n v="0.82868525896414347"/>
    <n v="4.807692307692308E-3"/>
    <n v="0"/>
    <n v="0"/>
    <n v="0"/>
  </r>
  <r>
    <s v="PO-1007"/>
    <x v="6"/>
    <s v="Raw Material"/>
    <n v="824"/>
    <d v="2026-05-05T00:00:00"/>
    <d v="2026-05-13T00:00:00"/>
    <d v="2026-05-11T00:00:00"/>
    <n v="821"/>
    <s v="RM-126"/>
    <n v="14"/>
    <s v="Delivered"/>
    <s v="Y"/>
    <s v="Y"/>
    <s v="Y"/>
    <n v="6"/>
    <n v="0.99635922330097082"/>
    <n v="1.705237515225335E-2"/>
    <n v="1"/>
    <n v="0"/>
    <n v="0"/>
  </r>
  <r>
    <s v="PO-1621"/>
    <x v="3"/>
    <s v="Packaging"/>
    <n v="761"/>
    <d v="2026-05-18T00:00:00"/>
    <d v="2026-05-30T00:00:00"/>
    <d v="2026-06-03T00:00:00"/>
    <n v="750"/>
    <s v="PK-242"/>
    <n v="56"/>
    <s v="Delivered"/>
    <s v="N"/>
    <s v="Y"/>
    <s v="N"/>
    <n v="16"/>
    <n v="0.98554533508541398"/>
    <n v="7.4666666666666673E-2"/>
    <n v="0"/>
    <n v="4"/>
    <n v="2000"/>
  </r>
  <r>
    <s v="PO-1320"/>
    <x v="16"/>
    <s v="Raw Material"/>
    <n v="168"/>
    <d v="2026-02-16T00:00:00"/>
    <d v="2026-03-02T00:00:00"/>
    <d v="2026-03-06T00:00:00"/>
    <n v="167"/>
    <s v="RM-222"/>
    <n v="2"/>
    <s v="Delivered"/>
    <s v="N"/>
    <s v="Y"/>
    <s v="N"/>
    <n v="18"/>
    <n v="0.99404761904761907"/>
    <n v="1.1976047904191617E-2"/>
    <n v="0"/>
    <n v="4"/>
    <n v="2000"/>
  </r>
  <r>
    <s v="PO-1930"/>
    <x v="10"/>
    <s v="Packaging"/>
    <n v="494"/>
    <d v="2026-01-30T00:00:00"/>
    <d v="2026-02-08T00:00:00"/>
    <d v="2026-02-06T00:00:00"/>
    <n v="493"/>
    <s v="PK-230"/>
    <n v="20"/>
    <s v="Delivered"/>
    <s v="Y"/>
    <s v="Y"/>
    <s v="Y"/>
    <n v="7"/>
    <n v="0.99797570850202433"/>
    <n v="4.0567951318458417E-2"/>
    <n v="1"/>
    <n v="0"/>
    <n v="0"/>
  </r>
  <r>
    <s v="PO-1187"/>
    <x v="3"/>
    <s v="Packaging"/>
    <n v="633"/>
    <d v="2026-02-15T00:00:00"/>
    <d v="2026-02-24T00:00:00"/>
    <d v="2026-02-21T00:00:00"/>
    <n v="577"/>
    <s v="PK-279"/>
    <n v="49"/>
    <s v="Delivered"/>
    <s v="Y"/>
    <s v="N"/>
    <s v="N"/>
    <n v="6"/>
    <n v="0.91153238546603477"/>
    <n v="8.4922010398613523E-2"/>
    <n v="0"/>
    <n v="0"/>
    <n v="0"/>
  </r>
  <r>
    <s v="PO-1304"/>
    <x v="17"/>
    <s v="Packaging"/>
    <n v="193"/>
    <d v="2026-03-13T00:00:00"/>
    <d v="2026-03-18T00:00:00"/>
    <d v="2026-03-16T00:00:00"/>
    <n v="190"/>
    <s v="PK-181"/>
    <n v="4"/>
    <s v="Delivered"/>
    <s v="Y"/>
    <s v="Y"/>
    <s v="Y"/>
    <n v="3"/>
    <n v="0.98445595854922274"/>
    <n v="2.1052631578947368E-2"/>
    <n v="1"/>
    <n v="0"/>
    <n v="0"/>
  </r>
  <r>
    <s v="PO-1031"/>
    <x v="5"/>
    <s v="Imported"/>
    <n v="302"/>
    <d v="2026-02-07T00:00:00"/>
    <d v="2026-02-15T00:00:00"/>
    <d v="2026-02-18T00:00:00"/>
    <n v="306"/>
    <s v="IM-199"/>
    <n v="3"/>
    <s v="Delivered"/>
    <s v="N"/>
    <s v="Y"/>
    <s v="N"/>
    <n v="11"/>
    <n v="1.0132450331125828"/>
    <n v="9.8039215686274508E-3"/>
    <n v="0"/>
    <n v="3"/>
    <n v="1500"/>
  </r>
  <r>
    <s v="PO-1240"/>
    <x v="0"/>
    <s v="Raw Material"/>
    <n v="738"/>
    <d v="2026-02-20T00:00:00"/>
    <d v="2026-03-05T00:00:00"/>
    <d v="2026-03-02T00:00:00"/>
    <n v="751"/>
    <s v="RM-175"/>
    <n v="14"/>
    <s v="Delivered"/>
    <s v="Y"/>
    <s v="Y"/>
    <s v="Y"/>
    <n v="10"/>
    <n v="1.0176151761517616"/>
    <n v="1.8641810918774968E-2"/>
    <n v="1"/>
    <n v="0"/>
    <n v="0"/>
  </r>
  <r>
    <s v="PO-1731"/>
    <x v="6"/>
    <s v="Packaging"/>
    <n v="217"/>
    <d v="2026-03-06T00:00:00"/>
    <d v="2026-03-14T00:00:00"/>
    <d v="2026-03-12T00:00:00"/>
    <n v="220"/>
    <s v="PK-287"/>
    <n v="9"/>
    <s v="Delivered"/>
    <s v="Y"/>
    <s v="Y"/>
    <s v="Y"/>
    <n v="6"/>
    <n v="1.0138248847926268"/>
    <n v="4.0909090909090909E-2"/>
    <n v="1"/>
    <n v="0"/>
    <n v="0"/>
  </r>
  <r>
    <s v="PO-1174"/>
    <x v="17"/>
    <s v="Packaging"/>
    <n v="863"/>
    <d v="2026-02-05T00:00:00"/>
    <d v="2026-02-10T00:00:00"/>
    <d v="2026-02-10T00:00:00"/>
    <n v="847"/>
    <s v="PK-299"/>
    <n v="10"/>
    <s v="Delivered"/>
    <s v="Y"/>
    <s v="Y"/>
    <s v="Y"/>
    <n v="5"/>
    <n v="0.98146002317497105"/>
    <n v="1.1806375442739079E-2"/>
    <n v="1"/>
    <n v="0"/>
    <n v="0"/>
  </r>
  <r>
    <s v="PO-1245"/>
    <x v="11"/>
    <s v="Raw Material"/>
    <n v="896"/>
    <d v="2026-04-02T00:00:00"/>
    <d v="2026-04-11T00:00:00"/>
    <d v="2026-04-11T00:00:00"/>
    <n v="910"/>
    <s v="RM-108"/>
    <n v="8"/>
    <s v="Delivered"/>
    <s v="Y"/>
    <s v="Y"/>
    <s v="Y"/>
    <n v="9"/>
    <n v="1.015625"/>
    <n v="8.7912087912087912E-3"/>
    <n v="1"/>
    <n v="0"/>
    <n v="0"/>
  </r>
  <r>
    <s v="PO-1056"/>
    <x v="10"/>
    <s v="Raw Material"/>
    <n v="132"/>
    <d v="2026-02-07T00:00:00"/>
    <d v="2026-02-17T00:00:00"/>
    <d v="2026-02-15T00:00:00"/>
    <n v="131"/>
    <s v="RM-168"/>
    <n v="1"/>
    <s v="Delivered"/>
    <s v="Y"/>
    <s v="Y"/>
    <s v="Y"/>
    <n v="8"/>
    <n v="0.99242424242424243"/>
    <n v="7.6335877862595417E-3"/>
    <n v="1"/>
    <n v="0"/>
    <n v="0"/>
  </r>
  <r>
    <s v="PO-1755"/>
    <x v="19"/>
    <s v="Imported"/>
    <n v="89"/>
    <d v="2026-03-27T00:00:00"/>
    <d v="2026-04-03T00:00:00"/>
    <d v="2026-04-02T00:00:00"/>
    <n v="90"/>
    <s v="IM-204"/>
    <n v="2"/>
    <s v="Delivered"/>
    <s v="Y"/>
    <s v="Y"/>
    <s v="Y"/>
    <n v="6"/>
    <n v="1.0112359550561798"/>
    <n v="2.2222222222222223E-2"/>
    <n v="1"/>
    <n v="0"/>
    <n v="0"/>
  </r>
  <r>
    <s v="PO-1145"/>
    <x v="10"/>
    <s v="Raw Material"/>
    <n v="308"/>
    <d v="2026-03-11T00:00:00"/>
    <d v="2026-03-18T00:00:00"/>
    <d v="2026-03-19T00:00:00"/>
    <n v="303"/>
    <s v="RM-127"/>
    <n v="29"/>
    <s v="Delivered"/>
    <s v="N"/>
    <s v="Y"/>
    <s v="N"/>
    <n v="8"/>
    <n v="0.98376623376623373"/>
    <n v="9.5709570957095716E-2"/>
    <n v="0"/>
    <n v="1"/>
    <n v="500"/>
  </r>
  <r>
    <s v="PO-1090"/>
    <x v="3"/>
    <s v="Imported"/>
    <n v="838"/>
    <d v="2026-03-10T00:00:00"/>
    <d v="2026-03-23T00:00:00"/>
    <d v="2026-03-30T00:00:00"/>
    <n v="822"/>
    <s v="IM-107"/>
    <n v="8"/>
    <s v="Delivered"/>
    <s v="N"/>
    <s v="Y"/>
    <s v="N"/>
    <n v="20"/>
    <n v="0.98090692124105017"/>
    <n v="9.7323600973236012E-3"/>
    <n v="0"/>
    <n v="7"/>
    <n v="3500"/>
  </r>
  <r>
    <s v="PO-1392"/>
    <x v="13"/>
    <s v="Packaging"/>
    <n v="728"/>
    <d v="2026-03-02T00:00:00"/>
    <d v="2026-03-10T00:00:00"/>
    <d v="2026-03-07T00:00:00"/>
    <n v="735"/>
    <s v="PK-227"/>
    <n v="13"/>
    <s v="Delivered"/>
    <s v="Y"/>
    <s v="Y"/>
    <s v="Y"/>
    <n v="5"/>
    <n v="1.0096153846153846"/>
    <n v="1.7687074829931974E-2"/>
    <n v="1"/>
    <n v="0"/>
    <n v="0"/>
  </r>
  <r>
    <s v="PO-1310"/>
    <x v="12"/>
    <s v="Raw Material"/>
    <n v="436"/>
    <d v="2026-02-27T00:00:00"/>
    <d v="2026-03-09T00:00:00"/>
    <d v="2026-03-09T00:00:00"/>
    <n v="371"/>
    <s v="RM-287"/>
    <n v="3"/>
    <s v="Delivered"/>
    <s v="Y"/>
    <s v="N"/>
    <s v="N"/>
    <n v="10"/>
    <n v="0.8509174311926605"/>
    <n v="8.0862533692722376E-3"/>
    <n v="0"/>
    <n v="0"/>
    <n v="0"/>
  </r>
  <r>
    <s v="PO-1359"/>
    <x v="14"/>
    <s v="Raw Material"/>
    <n v="316"/>
    <d v="2026-03-02T00:00:00"/>
    <d v="2026-03-14T00:00:00"/>
    <d v="2026-03-15T00:00:00"/>
    <n v="311"/>
    <s v="RM-158"/>
    <n v="8"/>
    <s v="Delivered"/>
    <s v="N"/>
    <s v="Y"/>
    <s v="N"/>
    <n v="13"/>
    <n v="0.98417721518987344"/>
    <n v="2.5723472668810289E-2"/>
    <n v="0"/>
    <n v="1"/>
    <n v="500"/>
  </r>
  <r>
    <s v="PO-1093"/>
    <x v="8"/>
    <s v="Packaging"/>
    <n v="894"/>
    <d v="2026-01-06T00:00:00"/>
    <d v="2026-01-11T00:00:00"/>
    <d v="2026-01-10T00:00:00"/>
    <n v="890"/>
    <s v="PK-181"/>
    <n v="51"/>
    <s v="Delivered"/>
    <s v="Y"/>
    <s v="Y"/>
    <s v="Y"/>
    <n v="4"/>
    <n v="0.99552572706935127"/>
    <n v="5.7303370786516851E-2"/>
    <n v="1"/>
    <n v="0"/>
    <n v="0"/>
  </r>
  <r>
    <s v="PO-1696"/>
    <x v="18"/>
    <s v="Raw Material"/>
    <n v="906"/>
    <d v="2026-04-27T00:00:00"/>
    <d v="2026-05-02T00:00:00"/>
    <d v="2026-05-02T00:00:00"/>
    <n v="919"/>
    <s v="RM-261"/>
    <n v="21"/>
    <s v="Delivered"/>
    <s v="Y"/>
    <s v="Y"/>
    <s v="Y"/>
    <n v="5"/>
    <n v="1.0143487858719646"/>
    <n v="2.2850924918389554E-2"/>
    <n v="1"/>
    <n v="0"/>
    <n v="0"/>
  </r>
  <r>
    <s v="PO-1754"/>
    <x v="15"/>
    <s v="Raw Material"/>
    <n v="255"/>
    <d v="2026-01-12T00:00:00"/>
    <d v="2026-01-22T00:00:00"/>
    <d v="2026-01-19T00:00:00"/>
    <n v="252"/>
    <s v="RM-188"/>
    <n v="1"/>
    <s v="Delivered"/>
    <s v="Y"/>
    <s v="Y"/>
    <s v="Y"/>
    <n v="7"/>
    <n v="0.9882352941176471"/>
    <n v="3.968253968253968E-3"/>
    <n v="1"/>
    <n v="0"/>
    <n v="0"/>
  </r>
  <r>
    <s v="PO-1376"/>
    <x v="19"/>
    <s v="Raw Material"/>
    <n v="864"/>
    <d v="2026-05-03T00:00:00"/>
    <d v="2026-05-08T00:00:00"/>
    <d v="2026-05-06T00:00:00"/>
    <n v="866"/>
    <s v="RM-152"/>
    <n v="37"/>
    <s v="Delivered"/>
    <s v="Y"/>
    <s v="Y"/>
    <s v="Y"/>
    <n v="3"/>
    <n v="1.0023148148148149"/>
    <n v="4.2725173210161664E-2"/>
    <n v="1"/>
    <n v="0"/>
    <n v="0"/>
  </r>
  <r>
    <s v="PO-1243"/>
    <x v="6"/>
    <s v="Packaging"/>
    <n v="221"/>
    <d v="2026-04-13T00:00:00"/>
    <d v="2026-04-25T00:00:00"/>
    <d v="2026-04-22T00:00:00"/>
    <n v="222"/>
    <s v="PK-208"/>
    <n v="9"/>
    <s v="Delivered"/>
    <s v="Y"/>
    <s v="Y"/>
    <s v="Y"/>
    <n v="9"/>
    <n v="1.004524886877828"/>
    <n v="4.0540540540540543E-2"/>
    <n v="1"/>
    <n v="0"/>
    <n v="0"/>
  </r>
  <r>
    <s v="PO-1829"/>
    <x v="12"/>
    <s v="Packaging"/>
    <n v="160"/>
    <d v="2026-03-14T00:00:00"/>
    <d v="2026-03-23T00:00:00"/>
    <d v="2026-03-21T00:00:00"/>
    <n v="145"/>
    <s v="PK-106"/>
    <n v="3"/>
    <s v="Delivered"/>
    <s v="Y"/>
    <s v="N"/>
    <s v="N"/>
    <n v="7"/>
    <n v="0.90625"/>
    <n v="2.0689655172413793E-2"/>
    <n v="0"/>
    <n v="0"/>
    <n v="0"/>
  </r>
  <r>
    <s v="PO-1087"/>
    <x v="7"/>
    <s v="Packaging"/>
    <n v="802"/>
    <d v="2026-05-07T00:00:00"/>
    <d v="2026-05-19T00:00:00"/>
    <d v="2026-05-17T00:00:00"/>
    <n v="787"/>
    <s v="PK-240"/>
    <n v="24"/>
    <s v="Delivered"/>
    <s v="Y"/>
    <s v="Y"/>
    <s v="Y"/>
    <n v="10"/>
    <n v="0.98129675810473815"/>
    <n v="3.0495552731893267E-2"/>
    <n v="1"/>
    <n v="0"/>
    <n v="0"/>
  </r>
  <r>
    <s v="PO-1214"/>
    <x v="6"/>
    <s v="Packaging"/>
    <n v="751"/>
    <d v="2026-05-11T00:00:00"/>
    <d v="2026-05-17T00:00:00"/>
    <d v="2026-05-17T00:00:00"/>
    <n v="713"/>
    <s v="PK-169"/>
    <n v="21"/>
    <s v="Delivered"/>
    <s v="Y"/>
    <s v="N"/>
    <s v="N"/>
    <n v="6"/>
    <n v="0.94940079893475371"/>
    <n v="2.9453015427769985E-2"/>
    <n v="0"/>
    <n v="0"/>
    <n v="0"/>
  </r>
  <r>
    <s v="PO-1988"/>
    <x v="11"/>
    <s v="Raw Material"/>
    <n v="646"/>
    <d v="2026-04-04T00:00:00"/>
    <d v="2026-04-16T00:00:00"/>
    <d v="2026-04-13T00:00:00"/>
    <n v="651"/>
    <s v="RM-286"/>
    <n v="7"/>
    <s v="Delivered"/>
    <s v="Y"/>
    <s v="Y"/>
    <s v="Y"/>
    <n v="9"/>
    <n v="1.0077399380804954"/>
    <n v="1.0752688172043012E-2"/>
    <n v="1"/>
    <n v="0"/>
    <n v="0"/>
  </r>
  <r>
    <s v="PO-1173"/>
    <x v="14"/>
    <s v="Packaging"/>
    <n v="427"/>
    <d v="2026-05-28T00:00:00"/>
    <d v="2026-06-08T00:00:00"/>
    <d v="2026-06-06T00:00:00"/>
    <n v="434"/>
    <s v="PK-102"/>
    <n v="13"/>
    <s v="Delivered"/>
    <s v="Y"/>
    <s v="Y"/>
    <s v="Y"/>
    <n v="9"/>
    <n v="1.0163934426229508"/>
    <n v="2.9953917050691243E-2"/>
    <n v="1"/>
    <n v="0"/>
    <n v="0"/>
  </r>
  <r>
    <s v="PO-1425"/>
    <x v="0"/>
    <s v="Imported"/>
    <n v="940"/>
    <d v="2026-02-01T00:00:00"/>
    <d v="2026-02-11T00:00:00"/>
    <d v="2026-02-08T00:00:00"/>
    <n v="786"/>
    <s v="IM-135"/>
    <n v="25"/>
    <s v="Delivered"/>
    <s v="Y"/>
    <s v="N"/>
    <s v="N"/>
    <n v="7"/>
    <n v="0.83617021276595749"/>
    <n v="3.1806615776081425E-2"/>
    <n v="0"/>
    <n v="0"/>
    <n v="0"/>
  </r>
  <r>
    <s v="PO-1779"/>
    <x v="7"/>
    <s v="Packaging"/>
    <n v="85"/>
    <d v="2026-01-27T00:00:00"/>
    <d v="2026-02-08T00:00:00"/>
    <d v="2026-02-12T00:00:00"/>
    <n v="70"/>
    <s v="PK-279"/>
    <n v="0"/>
    <s v="Delivered"/>
    <s v="N"/>
    <s v="N"/>
    <s v="N"/>
    <n v="16"/>
    <n v="0.82352941176470584"/>
    <n v="0"/>
    <n v="0"/>
    <n v="4"/>
    <n v="2000"/>
  </r>
  <r>
    <s v="PO-1118"/>
    <x v="9"/>
    <s v="Raw Material"/>
    <n v="171"/>
    <d v="2026-05-31T00:00:00"/>
    <d v="2026-06-12T00:00:00"/>
    <d v="2026-06-11T00:00:00"/>
    <n v="170"/>
    <s v="RM-105"/>
    <n v="3"/>
    <s v="Delivered"/>
    <s v="Y"/>
    <s v="Y"/>
    <s v="Y"/>
    <n v="11"/>
    <n v="0.99415204678362568"/>
    <n v="1.7647058823529412E-2"/>
    <n v="1"/>
    <n v="0"/>
    <n v="0"/>
  </r>
  <r>
    <s v="PO-1119"/>
    <x v="5"/>
    <s v="Raw Material"/>
    <n v="826"/>
    <d v="2026-01-11T00:00:00"/>
    <d v="2026-01-20T00:00:00"/>
    <m/>
    <m/>
    <s v="RM-254"/>
    <m/>
    <s v="Pending"/>
    <s v="N/A"/>
    <s v="N/A"/>
    <s v="N/A"/>
    <s v="N/A"/>
    <s v="N/A"/>
    <s v="N/A"/>
    <s v=""/>
    <s v="N/A"/>
    <n v="0"/>
  </r>
  <r>
    <s v="PO-1767"/>
    <x v="7"/>
    <s v="Imported"/>
    <n v="921"/>
    <d v="2026-02-26T00:00:00"/>
    <d v="2026-03-09T00:00:00"/>
    <d v="2026-03-16T00:00:00"/>
    <n v="775"/>
    <s v="IM-203"/>
    <n v="44"/>
    <s v="Delivered"/>
    <s v="N"/>
    <s v="N"/>
    <s v="N"/>
    <n v="18"/>
    <n v="0.84147665580890341"/>
    <n v="5.67741935483871E-2"/>
    <n v="0"/>
    <n v="7"/>
    <n v="3500"/>
  </r>
  <r>
    <s v="PO-1000"/>
    <x v="14"/>
    <s v="Packaging"/>
    <n v="296"/>
    <d v="2026-02-26T00:00:00"/>
    <d v="2026-03-10T00:00:00"/>
    <d v="2026-03-19T00:00:00"/>
    <n v="292"/>
    <s v="PK-210"/>
    <n v="0"/>
    <s v="Delivered"/>
    <s v="N"/>
    <s v="Y"/>
    <s v="N"/>
    <n v="21"/>
    <n v="0.98648648648648651"/>
    <n v="0"/>
    <n v="0"/>
    <n v="9"/>
    <n v="4500"/>
  </r>
  <r>
    <s v="PO-1394"/>
    <x v="7"/>
    <s v="Raw Material"/>
    <n v="486"/>
    <d v="2026-03-30T00:00:00"/>
    <d v="2026-04-11T00:00:00"/>
    <d v="2026-04-09T00:00:00"/>
    <n v="390"/>
    <s v="RM-116"/>
    <n v="21"/>
    <s v="Delivered"/>
    <s v="Y"/>
    <s v="N"/>
    <s v="N"/>
    <n v="10"/>
    <n v="0.80246913580246915"/>
    <n v="5.3846153846153849E-2"/>
    <n v="0"/>
    <n v="0"/>
    <n v="0"/>
  </r>
  <r>
    <s v="PO-1401"/>
    <x v="18"/>
    <s v="Raw Material"/>
    <n v="766"/>
    <d v="2026-02-17T00:00:00"/>
    <d v="2026-03-03T00:00:00"/>
    <d v="2026-03-02T00:00:00"/>
    <n v="711"/>
    <s v="RM-280"/>
    <n v="13"/>
    <s v="Delivered"/>
    <s v="Y"/>
    <s v="N"/>
    <s v="N"/>
    <n v="13"/>
    <n v="0.92819843342036557"/>
    <n v="1.8284106891701828E-2"/>
    <n v="0"/>
    <n v="0"/>
    <n v="0"/>
  </r>
  <r>
    <s v="PO-1404"/>
    <x v="14"/>
    <s v="Raw Material"/>
    <n v="740"/>
    <d v="2026-04-05T00:00:00"/>
    <d v="2026-04-11T00:00:00"/>
    <d v="2026-04-09T00:00:00"/>
    <n v="746"/>
    <s v="RM-295"/>
    <n v="17"/>
    <s v="Delivered"/>
    <s v="Y"/>
    <s v="Y"/>
    <s v="Y"/>
    <n v="4"/>
    <n v="1.008108108108108"/>
    <n v="2.2788203753351208E-2"/>
    <n v="1"/>
    <n v="0"/>
    <n v="0"/>
  </r>
  <r>
    <s v="PO-1620"/>
    <x v="15"/>
    <s v="Packaging"/>
    <n v="250"/>
    <d v="2026-02-05T00:00:00"/>
    <d v="2026-02-19T00:00:00"/>
    <d v="2026-02-28T00:00:00"/>
    <n v="250"/>
    <s v="PK-205"/>
    <n v="6"/>
    <s v="Delivered"/>
    <s v="N"/>
    <s v="Y"/>
    <s v="N"/>
    <n v="23"/>
    <n v="1"/>
    <n v="2.4E-2"/>
    <n v="0"/>
    <n v="9"/>
    <n v="4500"/>
  </r>
  <r>
    <s v="PO-1627"/>
    <x v="11"/>
    <s v="Raw Material"/>
    <n v="846"/>
    <d v="2026-02-03T00:00:00"/>
    <d v="2026-02-14T00:00:00"/>
    <d v="2026-02-13T00:00:00"/>
    <n v="830"/>
    <s v="RM-261"/>
    <n v="8"/>
    <s v="Delivered"/>
    <s v="Y"/>
    <s v="Y"/>
    <s v="Y"/>
    <n v="10"/>
    <n v="0.98108747044917255"/>
    <n v="9.6385542168674707E-3"/>
    <n v="1"/>
    <n v="0"/>
    <n v="0"/>
  </r>
  <r>
    <s v="PO-1162"/>
    <x v="11"/>
    <s v="Raw Material"/>
    <n v="988"/>
    <d v="2026-03-19T00:00:00"/>
    <d v="2026-03-30T00:00:00"/>
    <d v="2026-04-07T00:00:00"/>
    <n v="976"/>
    <s v="RM-207"/>
    <n v="14"/>
    <s v="Delivered"/>
    <s v="N"/>
    <s v="Y"/>
    <s v="N"/>
    <n v="19"/>
    <n v="0.98785425101214575"/>
    <n v="1.4344262295081968E-2"/>
    <n v="0"/>
    <n v="8"/>
    <n v="4000"/>
  </r>
  <r>
    <s v="PO-1114"/>
    <x v="4"/>
    <s v="Raw Material"/>
    <n v="969"/>
    <d v="2026-04-13T00:00:00"/>
    <d v="2026-04-21T00:00:00"/>
    <d v="2026-04-20T00:00:00"/>
    <n v="900"/>
    <s v="RM-108"/>
    <n v="21"/>
    <s v="Delivered"/>
    <s v="Y"/>
    <s v="N"/>
    <s v="N"/>
    <n v="7"/>
    <n v="0.92879256965944268"/>
    <n v="2.3333333333333334E-2"/>
    <n v="0"/>
    <n v="0"/>
    <n v="0"/>
  </r>
  <r>
    <s v="PO-1150"/>
    <x v="11"/>
    <s v="Raw Material"/>
    <n v="118"/>
    <d v="2026-02-02T00:00:00"/>
    <d v="2026-02-15T00:00:00"/>
    <d v="2026-02-14T00:00:00"/>
    <n v="117"/>
    <s v="RM-149"/>
    <n v="1"/>
    <s v="Delivered"/>
    <s v="Y"/>
    <s v="Y"/>
    <s v="Y"/>
    <n v="12"/>
    <n v="0.99152542372881358"/>
    <n v="8.5470085470085479E-3"/>
    <n v="1"/>
    <n v="0"/>
    <n v="0"/>
  </r>
  <r>
    <s v="PO-1590"/>
    <x v="0"/>
    <s v="Raw Material"/>
    <n v="967"/>
    <d v="2026-02-08T00:00:00"/>
    <d v="2026-02-15T00:00:00"/>
    <d v="2026-02-14T00:00:00"/>
    <n v="954"/>
    <s v="RM-227"/>
    <n v="22"/>
    <s v="Delivered"/>
    <s v="Y"/>
    <s v="Y"/>
    <s v="Y"/>
    <n v="6"/>
    <n v="0.98655635987590484"/>
    <n v="2.3060796645702306E-2"/>
    <n v="1"/>
    <n v="0"/>
    <n v="0"/>
  </r>
  <r>
    <s v="PO-1582"/>
    <x v="17"/>
    <s v="Raw Material"/>
    <n v="296"/>
    <d v="2026-03-13T00:00:00"/>
    <d v="2026-03-25T00:00:00"/>
    <d v="2026-03-22T00:00:00"/>
    <n v="285"/>
    <s v="RM-154"/>
    <n v="8"/>
    <s v="Delivered"/>
    <s v="Y"/>
    <s v="N"/>
    <s v="N"/>
    <n v="9"/>
    <n v="0.96283783783783783"/>
    <n v="2.8070175438596492E-2"/>
    <n v="0"/>
    <n v="0"/>
    <n v="0"/>
  </r>
  <r>
    <s v="PO-1295"/>
    <x v="4"/>
    <s v="Raw Material"/>
    <n v="469"/>
    <d v="2026-01-25T00:00:00"/>
    <d v="2026-02-03T00:00:00"/>
    <d v="2026-02-01T00:00:00"/>
    <n v="470"/>
    <s v="RM-221"/>
    <n v="3"/>
    <s v="Delivered"/>
    <s v="Y"/>
    <s v="Y"/>
    <s v="Y"/>
    <n v="7"/>
    <n v="1.0021321961620469"/>
    <n v="6.382978723404255E-3"/>
    <n v="1"/>
    <n v="0"/>
    <n v="0"/>
  </r>
  <r>
    <s v="PO-1368"/>
    <x v="11"/>
    <s v="Imported"/>
    <n v="270"/>
    <d v="2026-02-01T00:00:00"/>
    <d v="2026-02-10T00:00:00"/>
    <m/>
    <m/>
    <s v="IM-282"/>
    <m/>
    <s v="Pending"/>
    <s v="N/A"/>
    <s v="N/A"/>
    <s v="N/A"/>
    <s v="N/A"/>
    <s v="N/A"/>
    <s v="N/A"/>
    <s v=""/>
    <s v="N/A"/>
    <n v="0"/>
  </r>
  <r>
    <s v="PO-1543"/>
    <x v="11"/>
    <s v="Raw Material"/>
    <n v="883"/>
    <d v="2026-04-26T00:00:00"/>
    <d v="2026-05-08T00:00:00"/>
    <d v="2026-05-14T00:00:00"/>
    <n v="894"/>
    <s v="RM-109"/>
    <n v="2"/>
    <s v="Delivered"/>
    <s v="N"/>
    <s v="Y"/>
    <s v="N"/>
    <n v="18"/>
    <n v="1.0124575311438277"/>
    <n v="2.2371364653243847E-3"/>
    <n v="0"/>
    <n v="6"/>
    <n v="3000"/>
  </r>
  <r>
    <s v="PO-1477"/>
    <x v="17"/>
    <s v="Imported"/>
    <n v="690"/>
    <d v="2026-02-10T00:00:00"/>
    <d v="2026-02-24T00:00:00"/>
    <d v="2026-02-27T00:00:00"/>
    <n v="695"/>
    <s v="IM-276"/>
    <n v="17"/>
    <s v="Delivered"/>
    <s v="N"/>
    <s v="Y"/>
    <s v="N"/>
    <n v="17"/>
    <n v="1.0072463768115942"/>
    <n v="2.4460431654676259E-2"/>
    <n v="0"/>
    <n v="3"/>
    <n v="1500"/>
  </r>
  <r>
    <s v="PO-1532"/>
    <x v="5"/>
    <s v="Raw Material"/>
    <n v="991"/>
    <d v="2026-04-06T00:00:00"/>
    <d v="2026-04-16T00:00:00"/>
    <d v="2026-04-15T00:00:00"/>
    <n v="993"/>
    <s v="RM-243"/>
    <n v="3"/>
    <s v="Delivered"/>
    <s v="Y"/>
    <s v="Y"/>
    <s v="Y"/>
    <n v="9"/>
    <n v="1.0020181634712411"/>
    <n v="3.0211480362537764E-3"/>
    <n v="1"/>
    <n v="0"/>
    <n v="0"/>
  </r>
  <r>
    <s v="PO-1994"/>
    <x v="9"/>
    <s v="Raw Material"/>
    <n v="197"/>
    <d v="2026-03-18T00:00:00"/>
    <d v="2026-03-31T00:00:00"/>
    <d v="2026-04-08T00:00:00"/>
    <n v="199"/>
    <s v="RM-292"/>
    <n v="10"/>
    <s v="Delivered"/>
    <s v="N"/>
    <s v="Y"/>
    <s v="N"/>
    <n v="21"/>
    <n v="1.0101522842639594"/>
    <n v="5.0251256281407038E-2"/>
    <n v="0"/>
    <n v="8"/>
    <n v="4000"/>
  </r>
  <r>
    <s v="PO-1594"/>
    <x v="7"/>
    <s v="Imported"/>
    <n v="557"/>
    <d v="2026-05-01T00:00:00"/>
    <d v="2026-05-10T00:00:00"/>
    <d v="2026-05-10T00:00:00"/>
    <n v="549"/>
    <s v="IM-217"/>
    <n v="25"/>
    <s v="Delivered"/>
    <s v="Y"/>
    <s v="Y"/>
    <s v="Y"/>
    <n v="9"/>
    <n v="0.98563734290843807"/>
    <n v="4.553734061930783E-2"/>
    <n v="1"/>
    <n v="0"/>
    <n v="0"/>
  </r>
  <r>
    <s v="PO-1965"/>
    <x v="2"/>
    <s v="Raw Material"/>
    <n v="808"/>
    <d v="2026-04-09T00:00:00"/>
    <d v="2026-04-14T00:00:00"/>
    <d v="2026-04-14T00:00:00"/>
    <n v="810"/>
    <s v="RM-203"/>
    <n v="24"/>
    <s v="Delivered"/>
    <s v="Y"/>
    <s v="Y"/>
    <s v="Y"/>
    <n v="5"/>
    <n v="1.0024752475247525"/>
    <n v="2.9629629629629631E-2"/>
    <n v="1"/>
    <n v="0"/>
    <n v="0"/>
  </r>
  <r>
    <s v="PO-1258"/>
    <x v="5"/>
    <s v="Raw Material"/>
    <n v="621"/>
    <d v="2026-03-04T00:00:00"/>
    <d v="2026-03-13T00:00:00"/>
    <d v="2026-03-18T00:00:00"/>
    <n v="616"/>
    <s v="RM-105"/>
    <n v="8"/>
    <s v="Delivered"/>
    <s v="N"/>
    <s v="Y"/>
    <s v="N"/>
    <n v="14"/>
    <n v="0.99194847020933974"/>
    <n v="1.2987012987012988E-2"/>
    <n v="0"/>
    <n v="5"/>
    <n v="2500"/>
  </r>
  <r>
    <s v="PO-1852"/>
    <x v="12"/>
    <s v="Raw Material"/>
    <n v="447"/>
    <d v="2026-04-24T00:00:00"/>
    <d v="2026-04-30T00:00:00"/>
    <d v="2026-04-30T00:00:00"/>
    <n v="445"/>
    <s v="RM-244"/>
    <n v="9"/>
    <s v="Delivered"/>
    <s v="Y"/>
    <s v="Y"/>
    <s v="Y"/>
    <n v="6"/>
    <n v="0.99552572706935127"/>
    <n v="2.0224719101123594E-2"/>
    <n v="1"/>
    <n v="0"/>
    <n v="0"/>
  </r>
  <r>
    <s v="PO-1135"/>
    <x v="4"/>
    <s v="Raw Material"/>
    <n v="396"/>
    <d v="2026-02-22T00:00:00"/>
    <d v="2026-03-06T00:00:00"/>
    <d v="2026-03-04T00:00:00"/>
    <n v="398"/>
    <s v="RM-218"/>
    <n v="8"/>
    <s v="Delivered"/>
    <s v="Y"/>
    <s v="Y"/>
    <s v="Y"/>
    <n v="10"/>
    <n v="1.005050505050505"/>
    <n v="2.0100502512562814E-2"/>
    <n v="1"/>
    <n v="0"/>
    <n v="0"/>
  </r>
  <r>
    <s v="PO-1939"/>
    <x v="16"/>
    <s v="Packaging"/>
    <n v="678"/>
    <d v="2026-05-31T00:00:00"/>
    <d v="2026-06-09T00:00:00"/>
    <d v="2026-06-10T00:00:00"/>
    <n v="610"/>
    <s v="PK-255"/>
    <n v="3"/>
    <s v="Delivered"/>
    <s v="N"/>
    <s v="N"/>
    <s v="N"/>
    <n v="10"/>
    <n v="0.89970501474926257"/>
    <n v="4.9180327868852463E-3"/>
    <n v="0"/>
    <n v="1"/>
    <n v="500"/>
  </r>
  <r>
    <s v="PO-1758"/>
    <x v="12"/>
    <s v="Packaging"/>
    <n v="379"/>
    <d v="2026-04-23T00:00:00"/>
    <d v="2026-05-08T00:00:00"/>
    <d v="2026-05-05T00:00:00"/>
    <n v="304"/>
    <s v="PK-154"/>
    <n v="7"/>
    <s v="Delivered"/>
    <s v="Y"/>
    <s v="N"/>
    <s v="N"/>
    <n v="12"/>
    <n v="0.80211081794195249"/>
    <n v="2.3026315789473683E-2"/>
    <n v="0"/>
    <n v="0"/>
    <n v="0"/>
  </r>
  <r>
    <s v="PO-1592"/>
    <x v="1"/>
    <s v="Raw Material"/>
    <n v="630"/>
    <d v="2026-05-24T00:00:00"/>
    <d v="2026-06-04T00:00:00"/>
    <d v="2026-06-03T00:00:00"/>
    <n v="625"/>
    <s v="RM-252"/>
    <n v="9"/>
    <s v="Delivered"/>
    <s v="Y"/>
    <s v="Y"/>
    <s v="Y"/>
    <n v="10"/>
    <n v="0.99206349206349209"/>
    <n v="1.44E-2"/>
    <n v="1"/>
    <n v="0"/>
    <n v="0"/>
  </r>
  <r>
    <s v="PO-1801"/>
    <x v="10"/>
    <s v="Raw Material"/>
    <n v="612"/>
    <d v="2026-02-28T00:00:00"/>
    <d v="2026-03-05T00:00:00"/>
    <d v="2026-03-09T00:00:00"/>
    <n v="607"/>
    <s v="RM-295"/>
    <n v="11"/>
    <s v="Delivered"/>
    <s v="N"/>
    <s v="Y"/>
    <s v="N"/>
    <n v="9"/>
    <n v="0.99183006535947715"/>
    <n v="1.8121911037891267E-2"/>
    <n v="0"/>
    <n v="4"/>
    <n v="2000"/>
  </r>
  <r>
    <s v="PO-1501"/>
    <x v="10"/>
    <s v="Raw Material"/>
    <n v="581"/>
    <d v="2026-03-27T00:00:00"/>
    <d v="2026-04-02T00:00:00"/>
    <d v="2026-04-01T00:00:00"/>
    <n v="499"/>
    <s v="RM-215"/>
    <n v="42"/>
    <s v="Delivered"/>
    <s v="Y"/>
    <s v="N"/>
    <s v="N"/>
    <n v="5"/>
    <n v="0.85886402753872637"/>
    <n v="8.4168336673346694E-2"/>
    <n v="0"/>
    <n v="0"/>
    <n v="0"/>
  </r>
  <r>
    <s v="PO-1538"/>
    <x v="14"/>
    <s v="Raw Material"/>
    <n v="457"/>
    <d v="2026-01-15T00:00:00"/>
    <d v="2026-01-22T00:00:00"/>
    <d v="2026-01-19T00:00:00"/>
    <n v="459"/>
    <s v="RM-168"/>
    <n v="5"/>
    <s v="Delivered"/>
    <s v="Y"/>
    <s v="Y"/>
    <s v="Y"/>
    <n v="4"/>
    <n v="1.0043763676148796"/>
    <n v="1.0893246187363835E-2"/>
    <n v="1"/>
    <n v="0"/>
    <n v="0"/>
  </r>
  <r>
    <s v="PO-1658"/>
    <x v="5"/>
    <s v="Raw Material"/>
    <n v="938"/>
    <d v="2026-01-28T00:00:00"/>
    <d v="2026-02-07T00:00:00"/>
    <d v="2026-02-07T00:00:00"/>
    <n v="771"/>
    <s v="RM-241"/>
    <n v="10"/>
    <s v="Delivered"/>
    <s v="Y"/>
    <s v="N"/>
    <s v="N"/>
    <n v="10"/>
    <n v="0.82196162046908317"/>
    <n v="1.2970168612191959E-2"/>
    <n v="0"/>
    <n v="0"/>
    <n v="0"/>
  </r>
  <r>
    <s v="PO-1581"/>
    <x v="15"/>
    <s v="Packaging"/>
    <n v="547"/>
    <d v="2026-01-08T00:00:00"/>
    <d v="2026-01-19T00:00:00"/>
    <d v="2026-01-21T00:00:00"/>
    <n v="551"/>
    <s v="PK-257"/>
    <n v="4"/>
    <s v="Delivered"/>
    <s v="N"/>
    <s v="Y"/>
    <s v="N"/>
    <n v="13"/>
    <n v="1.0073126142595978"/>
    <n v="7.2595281306715061E-3"/>
    <n v="0"/>
    <n v="2"/>
    <n v="1000"/>
  </r>
  <r>
    <s v="PO-1343"/>
    <x v="12"/>
    <s v="Raw Material"/>
    <n v="741"/>
    <d v="2026-02-08T00:00:00"/>
    <d v="2026-02-19T00:00:00"/>
    <d v="2026-02-16T00:00:00"/>
    <n v="751"/>
    <s v="RM-208"/>
    <n v="18"/>
    <s v="Delivered"/>
    <s v="Y"/>
    <s v="Y"/>
    <s v="Y"/>
    <n v="8"/>
    <n v="1.0134952766531713"/>
    <n v="2.3968042609853527E-2"/>
    <n v="1"/>
    <n v="0"/>
    <n v="0"/>
  </r>
  <r>
    <s v="PO-1679"/>
    <x v="11"/>
    <s v="Packaging"/>
    <n v="215"/>
    <d v="2026-02-22T00:00:00"/>
    <d v="2026-03-04T00:00:00"/>
    <d v="2026-03-03T00:00:00"/>
    <n v="185"/>
    <s v="PK-138"/>
    <n v="2"/>
    <s v="Delivered"/>
    <s v="Y"/>
    <s v="N"/>
    <s v="N"/>
    <n v="9"/>
    <n v="0.86046511627906974"/>
    <n v="1.0810810810810811E-2"/>
    <n v="0"/>
    <n v="0"/>
    <n v="0"/>
  </r>
  <r>
    <s v="PO-1626"/>
    <x v="12"/>
    <s v="Packaging"/>
    <n v="431"/>
    <d v="2026-02-20T00:00:00"/>
    <d v="2026-02-26T00:00:00"/>
    <d v="2026-02-24T00:00:00"/>
    <n v="423"/>
    <s v="PK-130"/>
    <n v="7"/>
    <s v="Delivered"/>
    <s v="Y"/>
    <s v="Y"/>
    <s v="Y"/>
    <n v="4"/>
    <n v="0.9814385150812065"/>
    <n v="1.6548463356973995E-2"/>
    <n v="1"/>
    <n v="0"/>
    <n v="0"/>
  </r>
  <r>
    <s v="PO-1293"/>
    <x v="0"/>
    <s v="Imported"/>
    <n v="766"/>
    <d v="2026-03-10T00:00:00"/>
    <d v="2026-03-15T00:00:00"/>
    <d v="2026-03-15T00:00:00"/>
    <n v="767"/>
    <s v="IM-194"/>
    <n v="2"/>
    <s v="Delivered"/>
    <s v="Y"/>
    <s v="Y"/>
    <s v="Y"/>
    <n v="5"/>
    <n v="1.0013054830287207"/>
    <n v="2.6075619295958278E-3"/>
    <n v="1"/>
    <n v="0"/>
    <n v="0"/>
  </r>
  <r>
    <s v="PO-1364"/>
    <x v="2"/>
    <s v="Raw Material"/>
    <n v="261"/>
    <d v="2026-03-20T00:00:00"/>
    <d v="2026-03-25T00:00:00"/>
    <d v="2026-03-23T00:00:00"/>
    <n v="253"/>
    <s v="RM-107"/>
    <n v="5"/>
    <s v="Delivered"/>
    <s v="Y"/>
    <s v="N"/>
    <s v="N"/>
    <n v="3"/>
    <n v="0.96934865900383138"/>
    <n v="1.9762845849802372E-2"/>
    <n v="0"/>
    <n v="0"/>
    <n v="0"/>
  </r>
  <r>
    <s v="PO-1632"/>
    <x v="4"/>
    <s v="Imported"/>
    <n v="724"/>
    <d v="2026-01-30T00:00:00"/>
    <d v="2026-02-11T00:00:00"/>
    <d v="2026-02-08T00:00:00"/>
    <n v="722"/>
    <s v="IM-234"/>
    <n v="6"/>
    <s v="Delivered"/>
    <s v="Y"/>
    <s v="Y"/>
    <s v="Y"/>
    <n v="9"/>
    <n v="0.99723756906077343"/>
    <n v="8.3102493074792248E-3"/>
    <n v="1"/>
    <n v="0"/>
    <n v="0"/>
  </r>
  <r>
    <s v="PO-1014"/>
    <x v="18"/>
    <s v="Raw Material"/>
    <n v="651"/>
    <d v="2026-04-04T00:00:00"/>
    <d v="2026-04-17T00:00:00"/>
    <d v="2026-04-14T00:00:00"/>
    <n v="620"/>
    <s v="RM-243"/>
    <n v="36"/>
    <s v="Delivered"/>
    <s v="Y"/>
    <s v="N"/>
    <s v="N"/>
    <n v="10"/>
    <n v="0.95238095238095233"/>
    <n v="5.8064516129032261E-2"/>
    <n v="0"/>
    <n v="0"/>
    <n v="0"/>
  </r>
  <r>
    <s v="PO-1086"/>
    <x v="3"/>
    <s v="Packaging"/>
    <n v="440"/>
    <d v="2026-03-26T00:00:00"/>
    <d v="2026-04-03T00:00:00"/>
    <d v="2026-04-09T00:00:00"/>
    <n v="441"/>
    <s v="PK-298"/>
    <n v="7"/>
    <s v="Delivered"/>
    <s v="N"/>
    <s v="Y"/>
    <s v="N"/>
    <n v="14"/>
    <n v="1.0022727272727272"/>
    <n v="1.5873015873015872E-2"/>
    <n v="0"/>
    <n v="6"/>
    <n v="3000"/>
  </r>
  <r>
    <s v="PO-1370"/>
    <x v="11"/>
    <s v="Raw Material"/>
    <n v="650"/>
    <d v="2026-04-01T00:00:00"/>
    <d v="2026-04-14T00:00:00"/>
    <d v="2026-04-11T00:00:00"/>
    <n v="581"/>
    <s v="RM-232"/>
    <n v="7"/>
    <s v="Delivered"/>
    <s v="Y"/>
    <s v="N"/>
    <s v="N"/>
    <n v="10"/>
    <n v="0.89384615384615385"/>
    <n v="1.2048192771084338E-2"/>
    <n v="0"/>
    <n v="0"/>
    <n v="0"/>
  </r>
  <r>
    <s v="PO-1165"/>
    <x v="16"/>
    <s v="Imported"/>
    <n v="994"/>
    <d v="2026-04-03T00:00:00"/>
    <d v="2026-04-09T00:00:00"/>
    <d v="2026-04-06T00:00:00"/>
    <n v="980"/>
    <s v="IM-266"/>
    <n v="4"/>
    <s v="Delivered"/>
    <s v="Y"/>
    <s v="Y"/>
    <s v="Y"/>
    <n v="3"/>
    <n v="0.9859154929577465"/>
    <n v="4.0816326530612249E-3"/>
    <n v="1"/>
    <n v="0"/>
    <n v="0"/>
  </r>
  <r>
    <s v="PO-1887"/>
    <x v="14"/>
    <s v="Raw Material"/>
    <n v="880"/>
    <d v="2026-05-07T00:00:00"/>
    <d v="2026-05-14T00:00:00"/>
    <d v="2026-05-11T00:00:00"/>
    <n v="890"/>
    <s v="RM-233"/>
    <n v="22"/>
    <s v="Delivered"/>
    <s v="Y"/>
    <s v="Y"/>
    <s v="Y"/>
    <n v="4"/>
    <n v="1.0113636363636365"/>
    <n v="2.4719101123595506E-2"/>
    <n v="1"/>
    <n v="0"/>
    <n v="0"/>
  </r>
  <r>
    <s v="PO-1335"/>
    <x v="6"/>
    <s v="Packaging"/>
    <n v="729"/>
    <d v="2026-04-08T00:00:00"/>
    <d v="2026-04-19T00:00:00"/>
    <d v="2026-04-18T00:00:00"/>
    <n v="742"/>
    <s v="PK-181"/>
    <n v="31"/>
    <s v="Delivered"/>
    <s v="Y"/>
    <s v="Y"/>
    <s v="Y"/>
    <n v="10"/>
    <n v="1.0178326474622772"/>
    <n v="4.1778975741239892E-2"/>
    <n v="1"/>
    <n v="0"/>
    <n v="0"/>
  </r>
  <r>
    <s v="PO-1059"/>
    <x v="19"/>
    <s v="Raw Material"/>
    <n v="152"/>
    <d v="2026-02-18T00:00:00"/>
    <d v="2026-03-05T00:00:00"/>
    <d v="2026-03-14T00:00:00"/>
    <n v="152"/>
    <s v="RM-177"/>
    <n v="1"/>
    <s v="Delivered"/>
    <s v="N"/>
    <s v="Y"/>
    <s v="N"/>
    <n v="24"/>
    <n v="1"/>
    <n v="6.5789473684210523E-3"/>
    <n v="0"/>
    <n v="9"/>
    <n v="4500"/>
  </r>
  <r>
    <s v="PO-1354"/>
    <x v="4"/>
    <s v="Raw Material"/>
    <n v="82"/>
    <d v="2026-03-12T00:00:00"/>
    <d v="2026-03-19T00:00:00"/>
    <d v="2026-03-19T00:00:00"/>
    <n v="83"/>
    <s v="RM-222"/>
    <n v="1"/>
    <s v="Delivered"/>
    <s v="Y"/>
    <s v="Y"/>
    <s v="Y"/>
    <n v="7"/>
    <n v="1.0121951219512195"/>
    <n v="1.2048192771084338E-2"/>
    <n v="1"/>
    <n v="0"/>
    <n v="0"/>
  </r>
  <r>
    <s v="PO-1424"/>
    <x v="4"/>
    <s v="Raw Material"/>
    <n v="654"/>
    <d v="2026-04-25T00:00:00"/>
    <d v="2026-05-06T00:00:00"/>
    <d v="2026-05-07T00:00:00"/>
    <n v="559"/>
    <s v="RM-106"/>
    <n v="5"/>
    <s v="Delivered"/>
    <s v="N"/>
    <s v="N"/>
    <s v="N"/>
    <n v="12"/>
    <n v="0.85474006116207946"/>
    <n v="8.9445438282647581E-3"/>
    <n v="0"/>
    <n v="1"/>
    <n v="500"/>
  </r>
  <r>
    <s v="PO-1292"/>
    <x v="12"/>
    <s v="Raw Material"/>
    <n v="105"/>
    <d v="2026-04-20T00:00:00"/>
    <d v="2026-05-03T00:00:00"/>
    <d v="2026-05-02T00:00:00"/>
    <n v="104"/>
    <s v="RM-189"/>
    <n v="2"/>
    <s v="Delivered"/>
    <s v="Y"/>
    <s v="Y"/>
    <s v="Y"/>
    <n v="12"/>
    <n v="0.99047619047619051"/>
    <n v="1.9230769230769232E-2"/>
    <n v="1"/>
    <n v="0"/>
    <n v="0"/>
  </r>
  <r>
    <s v="PO-1041"/>
    <x v="3"/>
    <s v="Imported"/>
    <n v="501"/>
    <d v="2026-01-09T00:00:00"/>
    <d v="2026-01-18T00:00:00"/>
    <d v="2026-01-18T00:00:00"/>
    <n v="509"/>
    <s v="IM-293"/>
    <n v="11"/>
    <s v="Delivered"/>
    <s v="Y"/>
    <s v="Y"/>
    <s v="Y"/>
    <n v="9"/>
    <n v="1.0159680638722555"/>
    <n v="2.1611001964636542E-2"/>
    <n v="1"/>
    <n v="0"/>
    <n v="0"/>
  </r>
  <r>
    <s v="PO-1329"/>
    <x v="2"/>
    <s v="Raw Material"/>
    <n v="492"/>
    <d v="2026-03-04T00:00:00"/>
    <d v="2026-03-10T00:00:00"/>
    <d v="2026-03-09T00:00:00"/>
    <n v="407"/>
    <s v="RM-199"/>
    <n v="22"/>
    <s v="Delivered"/>
    <s v="Y"/>
    <s v="N"/>
    <s v="N"/>
    <n v="5"/>
    <n v="0.82723577235772361"/>
    <n v="5.4054054054054057E-2"/>
    <n v="0"/>
    <n v="0"/>
    <n v="0"/>
  </r>
  <r>
    <s v="PO-1614"/>
    <x v="7"/>
    <s v="Imported"/>
    <n v="974"/>
    <d v="2026-04-15T00:00:00"/>
    <d v="2026-04-21T00:00:00"/>
    <d v="2026-04-25T00:00:00"/>
    <n v="981"/>
    <s v="IM-260"/>
    <n v="12"/>
    <s v="Delivered"/>
    <s v="N"/>
    <s v="Y"/>
    <s v="N"/>
    <n v="10"/>
    <n v="1.0071868583162218"/>
    <n v="1.2232415902140673E-2"/>
    <n v="0"/>
    <n v="4"/>
    <n v="2000"/>
  </r>
  <r>
    <s v="PO-1429"/>
    <x v="7"/>
    <s v="Raw Material"/>
    <n v="318"/>
    <d v="2026-03-15T00:00:00"/>
    <d v="2026-03-23T00:00:00"/>
    <d v="2026-03-23T00:00:00"/>
    <n v="322"/>
    <s v="RM-137"/>
    <n v="8"/>
    <s v="Delivered"/>
    <s v="Y"/>
    <s v="Y"/>
    <s v="Y"/>
    <n v="8"/>
    <n v="1.0125786163522013"/>
    <n v="2.4844720496894408E-2"/>
    <n v="1"/>
    <n v="0"/>
    <n v="0"/>
  </r>
  <r>
    <s v="PO-1079"/>
    <x v="16"/>
    <s v="Packaging"/>
    <n v="148"/>
    <d v="2026-02-16T00:00:00"/>
    <d v="2026-03-03T00:00:00"/>
    <d v="2026-03-01T00:00:00"/>
    <n v="148"/>
    <s v="PK-125"/>
    <n v="1"/>
    <s v="Delivered"/>
    <s v="Y"/>
    <s v="Y"/>
    <s v="Y"/>
    <n v="13"/>
    <n v="1"/>
    <n v="6.7567567567567571E-3"/>
    <n v="1"/>
    <n v="0"/>
    <n v="0"/>
  </r>
  <r>
    <s v="PO-1028"/>
    <x v="6"/>
    <s v="Raw Material"/>
    <n v="639"/>
    <d v="2026-05-10T00:00:00"/>
    <d v="2026-05-20T00:00:00"/>
    <d v="2026-05-25T00:00:00"/>
    <n v="639"/>
    <s v="RM-195"/>
    <n v="32"/>
    <s v="Delivered"/>
    <s v="N"/>
    <s v="Y"/>
    <s v="N"/>
    <n v="15"/>
    <n v="1"/>
    <n v="5.0078247261345854E-2"/>
    <n v="0"/>
    <n v="5"/>
    <n v="2500"/>
  </r>
  <r>
    <s v="PO-1254"/>
    <x v="11"/>
    <s v="Packaging"/>
    <n v="459"/>
    <d v="2026-05-02T00:00:00"/>
    <d v="2026-05-10T00:00:00"/>
    <d v="2026-05-09T00:00:00"/>
    <n v="453"/>
    <s v="PK-156"/>
    <n v="5"/>
    <s v="Delivered"/>
    <s v="Y"/>
    <s v="Y"/>
    <s v="Y"/>
    <n v="7"/>
    <n v="0.98692810457516345"/>
    <n v="1.1037527593818985E-2"/>
    <n v="1"/>
    <n v="0"/>
    <n v="0"/>
  </r>
  <r>
    <s v="PO-1769"/>
    <x v="12"/>
    <s v="Raw Material"/>
    <n v="526"/>
    <d v="2026-04-06T00:00:00"/>
    <d v="2026-04-17T00:00:00"/>
    <d v="2026-04-17T00:00:00"/>
    <n v="534"/>
    <s v="RM-224"/>
    <n v="6"/>
    <s v="Delivered"/>
    <s v="Y"/>
    <s v="Y"/>
    <s v="Y"/>
    <n v="11"/>
    <n v="1.0152091254752851"/>
    <n v="1.1235955056179775E-2"/>
    <n v="1"/>
    <n v="0"/>
    <n v="0"/>
  </r>
  <r>
    <s v="PO-1458"/>
    <x v="2"/>
    <s v="Imported"/>
    <n v="267"/>
    <d v="2026-01-05T00:00:00"/>
    <d v="2026-01-14T00:00:00"/>
    <d v="2026-01-11T00:00:00"/>
    <n v="269"/>
    <s v="IM-260"/>
    <n v="3"/>
    <s v="Delivered"/>
    <s v="Y"/>
    <s v="Y"/>
    <s v="Y"/>
    <n v="6"/>
    <n v="1.0074906367041199"/>
    <n v="1.1152416356877323E-2"/>
    <n v="1"/>
    <n v="0"/>
    <n v="0"/>
  </r>
  <r>
    <s v="PO-1383"/>
    <x v="3"/>
    <s v="Packaging"/>
    <n v="290"/>
    <d v="2026-03-21T00:00:00"/>
    <d v="2026-03-31T00:00:00"/>
    <d v="2026-03-28T00:00:00"/>
    <n v="289"/>
    <s v="PK-290"/>
    <n v="9"/>
    <s v="Delivered"/>
    <s v="Y"/>
    <s v="Y"/>
    <s v="Y"/>
    <n v="7"/>
    <n v="0.99655172413793103"/>
    <n v="3.1141868512110725E-2"/>
    <n v="1"/>
    <n v="0"/>
    <n v="0"/>
  </r>
  <r>
    <s v="PO-1313"/>
    <x v="0"/>
    <s v="Packaging"/>
    <n v="281"/>
    <d v="2026-02-04T00:00:00"/>
    <d v="2026-02-18T00:00:00"/>
    <d v="2026-02-20T00:00:00"/>
    <n v="282"/>
    <s v="PK-158"/>
    <n v="12"/>
    <s v="Delivered"/>
    <s v="N"/>
    <s v="Y"/>
    <s v="N"/>
    <n v="16"/>
    <n v="1.0035587188612101"/>
    <n v="4.2553191489361701E-2"/>
    <n v="0"/>
    <n v="2"/>
    <n v="1000"/>
  </r>
  <r>
    <s v="PO-1084"/>
    <x v="12"/>
    <s v="Raw Material"/>
    <n v="885"/>
    <d v="2026-04-04T00:00:00"/>
    <d v="2026-04-19T00:00:00"/>
    <d v="2026-04-17T00:00:00"/>
    <n v="900"/>
    <s v="RM-124"/>
    <n v="15"/>
    <s v="Delivered"/>
    <s v="Y"/>
    <s v="Y"/>
    <s v="Y"/>
    <n v="13"/>
    <n v="1.0169491525423728"/>
    <n v="1.6666666666666666E-2"/>
    <n v="1"/>
    <n v="0"/>
    <n v="0"/>
  </r>
  <r>
    <s v="PO-1574"/>
    <x v="12"/>
    <s v="Raw Material"/>
    <n v="583"/>
    <d v="2026-01-23T00:00:00"/>
    <d v="2026-01-30T00:00:00"/>
    <d v="2026-02-03T00:00:00"/>
    <n v="572"/>
    <s v="RM-165"/>
    <n v="9"/>
    <s v="Delivered"/>
    <s v="N"/>
    <s v="Y"/>
    <s v="N"/>
    <n v="11"/>
    <n v="0.98113207547169812"/>
    <n v="1.5734265734265736E-2"/>
    <n v="0"/>
    <n v="4"/>
    <n v="2000"/>
  </r>
  <r>
    <s v="PO-1136"/>
    <x v="12"/>
    <s v="Packaging"/>
    <n v="939"/>
    <d v="2026-03-17T00:00:00"/>
    <d v="2026-03-23T00:00:00"/>
    <d v="2026-03-21T00:00:00"/>
    <n v="938"/>
    <s v="PK-107"/>
    <n v="17"/>
    <s v="Delivered"/>
    <s v="Y"/>
    <s v="Y"/>
    <s v="Y"/>
    <n v="4"/>
    <n v="0.99893503727369537"/>
    <n v="1.8123667377398719E-2"/>
    <n v="1"/>
    <n v="0"/>
    <n v="0"/>
  </r>
  <r>
    <s v="PO-1111"/>
    <x v="19"/>
    <s v="Raw Material"/>
    <n v="423"/>
    <d v="2026-02-22T00:00:00"/>
    <d v="2026-03-07T00:00:00"/>
    <d v="2026-03-12T00:00:00"/>
    <n v="416"/>
    <s v="RM-242"/>
    <n v="9"/>
    <s v="Delivered"/>
    <s v="N"/>
    <s v="Y"/>
    <s v="N"/>
    <n v="18"/>
    <n v="0.98345153664302598"/>
    <n v="2.1634615384615384E-2"/>
    <n v="0"/>
    <n v="5"/>
    <n v="2500"/>
  </r>
  <r>
    <s v="PO-1194"/>
    <x v="13"/>
    <s v="Packaging"/>
    <n v="239"/>
    <d v="2026-05-02T00:00:00"/>
    <d v="2026-05-11T00:00:00"/>
    <d v="2026-05-11T00:00:00"/>
    <n v="236"/>
    <s v="PK-101"/>
    <n v="1"/>
    <s v="Delivered"/>
    <s v="Y"/>
    <s v="Y"/>
    <s v="Y"/>
    <n v="9"/>
    <n v="0.9874476987447699"/>
    <n v="4.2372881355932203E-3"/>
    <n v="1"/>
    <n v="0"/>
    <n v="0"/>
  </r>
  <r>
    <s v="PO-1178"/>
    <x v="1"/>
    <s v="Raw Material"/>
    <n v="872"/>
    <d v="2026-01-14T00:00:00"/>
    <d v="2026-01-27T00:00:00"/>
    <d v="2026-01-24T00:00:00"/>
    <n v="872"/>
    <s v="RM-119"/>
    <n v="13"/>
    <s v="Delivered"/>
    <s v="Y"/>
    <s v="Y"/>
    <s v="Y"/>
    <n v="10"/>
    <n v="1"/>
    <n v="1.4908256880733946E-2"/>
    <n v="1"/>
    <n v="0"/>
    <n v="0"/>
  </r>
  <r>
    <s v="PO-1936"/>
    <x v="16"/>
    <s v="Imported"/>
    <n v="241"/>
    <d v="2026-03-23T00:00:00"/>
    <d v="2026-03-29T00:00:00"/>
    <d v="2026-03-29T00:00:00"/>
    <n v="238"/>
    <s v="IM-143"/>
    <n v="1"/>
    <s v="Delivered"/>
    <s v="Y"/>
    <s v="Y"/>
    <s v="Y"/>
    <n v="6"/>
    <n v="0.98755186721991706"/>
    <n v="4.2016806722689074E-3"/>
    <n v="1"/>
    <n v="0"/>
    <n v="0"/>
  </r>
  <r>
    <s v="PO-1496"/>
    <x v="10"/>
    <s v="Packaging"/>
    <n v="973"/>
    <d v="2026-01-30T00:00:00"/>
    <d v="2026-02-06T00:00:00"/>
    <m/>
    <m/>
    <s v="PK-174"/>
    <m/>
    <s v="Pending"/>
    <s v="N/A"/>
    <s v="N/A"/>
    <s v="N/A"/>
    <s v="N/A"/>
    <s v="N/A"/>
    <s v="N/A"/>
    <s v=""/>
    <s v="N/A"/>
    <n v="0"/>
  </r>
  <r>
    <s v="PO-1129"/>
    <x v="0"/>
    <s v="Packaging"/>
    <n v="278"/>
    <d v="2026-02-23T00:00:00"/>
    <d v="2026-03-03T00:00:00"/>
    <d v="2026-03-03T00:00:00"/>
    <n v="283"/>
    <s v="PK-273"/>
    <n v="12"/>
    <s v="Delivered"/>
    <s v="Y"/>
    <s v="Y"/>
    <s v="Y"/>
    <n v="8"/>
    <n v="1.0179856115107915"/>
    <n v="4.2402826855123678E-2"/>
    <n v="1"/>
    <n v="0"/>
    <n v="0"/>
  </r>
  <r>
    <s v="PO-1337"/>
    <x v="2"/>
    <s v="Packaging"/>
    <n v="773"/>
    <d v="2026-04-27T00:00:00"/>
    <d v="2026-05-02T00:00:00"/>
    <d v="2026-04-30T00:00:00"/>
    <n v="772"/>
    <s v="PK-138"/>
    <n v="28"/>
    <s v="Delivered"/>
    <s v="Y"/>
    <s v="Y"/>
    <s v="Y"/>
    <n v="3"/>
    <n v="0.99870633893919791"/>
    <n v="3.6269430051813469E-2"/>
    <n v="1"/>
    <n v="0"/>
    <n v="0"/>
  </r>
  <r>
    <s v="PO-1608"/>
    <x v="0"/>
    <s v="Packaging"/>
    <n v="121"/>
    <d v="2026-02-15T00:00:00"/>
    <d v="2026-02-26T00:00:00"/>
    <d v="2026-02-25T00:00:00"/>
    <n v="120"/>
    <s v="PK-232"/>
    <n v="4"/>
    <s v="Delivered"/>
    <s v="Y"/>
    <s v="Y"/>
    <s v="Y"/>
    <n v="10"/>
    <n v="0.99173553719008267"/>
    <n v="3.3333333333333333E-2"/>
    <n v="1"/>
    <n v="0"/>
    <n v="0"/>
  </r>
  <r>
    <s v="PO-1124"/>
    <x v="13"/>
    <s v="Packaging"/>
    <n v="108"/>
    <d v="2026-05-09T00:00:00"/>
    <d v="2026-05-20T00:00:00"/>
    <d v="2026-05-26T00:00:00"/>
    <n v="101"/>
    <s v="PK-279"/>
    <n v="2"/>
    <s v="Delivered"/>
    <s v="N"/>
    <s v="N"/>
    <s v="N"/>
    <n v="17"/>
    <n v="0.93518518518518523"/>
    <n v="1.9801980198019802E-2"/>
    <n v="0"/>
    <n v="6"/>
    <n v="3000"/>
  </r>
  <r>
    <s v="PO-1966"/>
    <x v="15"/>
    <s v="Packaging"/>
    <n v="870"/>
    <d v="2026-04-01T00:00:00"/>
    <d v="2026-04-11T00:00:00"/>
    <d v="2026-04-15T00:00:00"/>
    <n v="856"/>
    <s v="PK-265"/>
    <n v="5"/>
    <s v="Delivered"/>
    <s v="N"/>
    <s v="Y"/>
    <s v="N"/>
    <n v="14"/>
    <n v="0.98390804597701154"/>
    <n v="5.8411214953271026E-3"/>
    <n v="0"/>
    <n v="4"/>
    <n v="2000"/>
  </r>
  <r>
    <s v="PO-1226"/>
    <x v="19"/>
    <s v="Raw Material"/>
    <n v="612"/>
    <d v="2026-03-08T00:00:00"/>
    <d v="2026-03-19T00:00:00"/>
    <d v="2026-03-17T00:00:00"/>
    <n v="621"/>
    <s v="RM-228"/>
    <n v="14"/>
    <s v="Delivered"/>
    <s v="Y"/>
    <s v="Y"/>
    <s v="Y"/>
    <n v="9"/>
    <n v="1.0147058823529411"/>
    <n v="2.2544283413848631E-2"/>
    <n v="1"/>
    <n v="0"/>
    <n v="0"/>
  </r>
  <r>
    <s v="PO-1268"/>
    <x v="4"/>
    <s v="Packaging"/>
    <n v="428"/>
    <d v="2026-04-28T00:00:00"/>
    <d v="2026-05-08T00:00:00"/>
    <d v="2026-05-11T00:00:00"/>
    <n v="422"/>
    <s v="PK-130"/>
    <n v="4"/>
    <s v="Delivered"/>
    <s v="N"/>
    <s v="Y"/>
    <s v="N"/>
    <n v="13"/>
    <n v="0.98598130841121501"/>
    <n v="9.4786729857819912E-3"/>
    <n v="0"/>
    <n v="3"/>
    <n v="1500"/>
  </r>
  <r>
    <s v="PO-1983"/>
    <x v="9"/>
    <s v="Raw Material"/>
    <n v="784"/>
    <d v="2026-04-28T00:00:00"/>
    <d v="2026-05-05T00:00:00"/>
    <d v="2026-05-02T00:00:00"/>
    <n v="781"/>
    <s v="RM-195"/>
    <n v="55"/>
    <s v="Delivered"/>
    <s v="Y"/>
    <s v="Y"/>
    <s v="Y"/>
    <n v="4"/>
    <n v="0.99617346938775508"/>
    <n v="7.0422535211267609E-2"/>
    <n v="1"/>
    <n v="0"/>
    <n v="0"/>
  </r>
  <r>
    <s v="PO-1286"/>
    <x v="10"/>
    <s v="Raw Material"/>
    <n v="665"/>
    <d v="2026-02-26T00:00:00"/>
    <d v="2026-03-07T00:00:00"/>
    <d v="2026-03-12T00:00:00"/>
    <n v="674"/>
    <s v="RM-237"/>
    <n v="47"/>
    <s v="Delivered"/>
    <s v="N"/>
    <s v="Y"/>
    <s v="N"/>
    <n v="14"/>
    <n v="1.0135338345864662"/>
    <n v="6.9732937685459948E-2"/>
    <n v="0"/>
    <n v="5"/>
    <n v="2500"/>
  </r>
  <r>
    <s v="PO-1103"/>
    <x v="10"/>
    <s v="Raw Material"/>
    <n v="418"/>
    <d v="2026-03-25T00:00:00"/>
    <d v="2026-04-06T00:00:00"/>
    <d v="2026-04-03T00:00:00"/>
    <n v="422"/>
    <s v="RM-161"/>
    <n v="26"/>
    <s v="Delivered"/>
    <s v="Y"/>
    <s v="Y"/>
    <s v="Y"/>
    <n v="9"/>
    <n v="1.0095693779904307"/>
    <n v="6.1611374407582936E-2"/>
    <n v="1"/>
    <n v="0"/>
    <n v="0"/>
  </r>
  <r>
    <s v="PO-1593"/>
    <x v="2"/>
    <s v="Imported"/>
    <n v="940"/>
    <d v="2026-04-03T00:00:00"/>
    <d v="2026-04-08T00:00:00"/>
    <d v="2026-04-05T00:00:00"/>
    <n v="938"/>
    <s v="IM-183"/>
    <n v="28"/>
    <s v="Delivered"/>
    <s v="Y"/>
    <s v="Y"/>
    <s v="Y"/>
    <n v="2"/>
    <n v="0.99787234042553197"/>
    <n v="2.9850746268656716E-2"/>
    <n v="1"/>
    <n v="0"/>
    <n v="0"/>
  </r>
  <r>
    <s v="PO-1858"/>
    <x v="0"/>
    <s v="Raw Material"/>
    <n v="550"/>
    <d v="2026-04-14T00:00:00"/>
    <d v="2026-04-23T00:00:00"/>
    <d v="2026-04-23T00:00:00"/>
    <n v="482"/>
    <s v="RM-241"/>
    <n v="2"/>
    <s v="Delivered"/>
    <s v="Y"/>
    <s v="N"/>
    <s v="N"/>
    <n v="9"/>
    <n v="0.87636363636363634"/>
    <n v="4.1493775933609959E-3"/>
    <n v="0"/>
    <n v="0"/>
    <n v="0"/>
  </r>
  <r>
    <s v="PO-1660"/>
    <x v="11"/>
    <s v="Imported"/>
    <n v="475"/>
    <d v="2026-04-01T00:00:00"/>
    <d v="2026-04-08T00:00:00"/>
    <d v="2026-04-07T00:00:00"/>
    <n v="480"/>
    <s v="IM-199"/>
    <n v="4"/>
    <s v="Delivered"/>
    <s v="Y"/>
    <s v="Y"/>
    <s v="Y"/>
    <n v="6"/>
    <n v="1.0105263157894737"/>
    <n v="8.3333333333333332E-3"/>
    <n v="1"/>
    <n v="0"/>
    <n v="0"/>
  </r>
  <r>
    <s v="PO-1227"/>
    <x v="15"/>
    <s v="Packaging"/>
    <n v="745"/>
    <d v="2026-01-29T00:00:00"/>
    <d v="2026-02-06T00:00:00"/>
    <d v="2026-02-11T00:00:00"/>
    <n v="740"/>
    <s v="PK-196"/>
    <n v="6"/>
    <s v="Delivered"/>
    <s v="N"/>
    <s v="Y"/>
    <s v="N"/>
    <n v="13"/>
    <n v="0.99328859060402686"/>
    <n v="8.1081081081081086E-3"/>
    <n v="0"/>
    <n v="5"/>
    <n v="2500"/>
  </r>
  <r>
    <s v="PO-1889"/>
    <x v="14"/>
    <s v="Packaging"/>
    <n v="377"/>
    <d v="2026-05-06T00:00:00"/>
    <d v="2026-05-15T00:00:00"/>
    <d v="2026-05-12T00:00:00"/>
    <n v="371"/>
    <s v="PK-211"/>
    <n v="19"/>
    <s v="Delivered"/>
    <s v="Y"/>
    <s v="Y"/>
    <s v="Y"/>
    <n v="6"/>
    <n v="0.98408488063660482"/>
    <n v="5.1212938005390833E-2"/>
    <n v="1"/>
    <n v="0"/>
    <n v="0"/>
  </r>
  <r>
    <s v="PO-1301"/>
    <x v="5"/>
    <s v="Imported"/>
    <n v="646"/>
    <d v="2026-04-18T00:00:00"/>
    <d v="2026-04-24T00:00:00"/>
    <d v="2026-04-23T00:00:00"/>
    <n v="544"/>
    <s v="IM-269"/>
    <n v="3"/>
    <s v="Delivered"/>
    <s v="Y"/>
    <s v="N"/>
    <s v="N"/>
    <n v="5"/>
    <n v="0.84210526315789469"/>
    <n v="5.5147058823529415E-3"/>
    <n v="0"/>
    <n v="0"/>
    <n v="0"/>
  </r>
  <r>
    <s v="PO-1275"/>
    <x v="9"/>
    <s v="Packaging"/>
    <n v="360"/>
    <d v="2026-01-23T00:00:00"/>
    <d v="2026-02-05T00:00:00"/>
    <d v="2026-02-06T00:00:00"/>
    <n v="365"/>
    <s v="PK-152"/>
    <n v="12"/>
    <s v="Delivered"/>
    <s v="N"/>
    <s v="Y"/>
    <s v="N"/>
    <n v="14"/>
    <n v="1.0138888888888888"/>
    <n v="3.287671232876712E-2"/>
    <n v="0"/>
    <n v="1"/>
    <n v="500"/>
  </r>
  <r>
    <s v="PO-1126"/>
    <x v="1"/>
    <s v="Packaging"/>
    <n v="618"/>
    <d v="2026-01-26T00:00:00"/>
    <d v="2026-02-10T00:00:00"/>
    <d v="2026-02-08T00:00:00"/>
    <n v="616"/>
    <s v="PK-183"/>
    <n v="14"/>
    <s v="Delivered"/>
    <s v="Y"/>
    <s v="Y"/>
    <s v="Y"/>
    <n v="13"/>
    <n v="0.99676375404530748"/>
    <n v="2.2727272727272728E-2"/>
    <n v="1"/>
    <n v="0"/>
    <n v="0"/>
  </r>
  <r>
    <s v="PO-1405"/>
    <x v="5"/>
    <s v="Raw Material"/>
    <n v="969"/>
    <d v="2026-03-06T00:00:00"/>
    <d v="2026-03-15T00:00:00"/>
    <d v="2026-03-14T00:00:00"/>
    <n v="953"/>
    <s v="RM-299"/>
    <n v="8"/>
    <s v="Delivered"/>
    <s v="Y"/>
    <s v="Y"/>
    <s v="Y"/>
    <n v="8"/>
    <n v="0.98348813209494323"/>
    <n v="8.3945435466946487E-3"/>
    <n v="1"/>
    <n v="0"/>
    <n v="0"/>
  </r>
  <r>
    <s v="PO-1932"/>
    <x v="19"/>
    <s v="Imported"/>
    <n v="332"/>
    <d v="2026-01-31T00:00:00"/>
    <d v="2026-02-09T00:00:00"/>
    <d v="2026-02-08T00:00:00"/>
    <n v="338"/>
    <s v="IM-239"/>
    <n v="12"/>
    <s v="Delivered"/>
    <s v="Y"/>
    <s v="Y"/>
    <s v="Y"/>
    <n v="8"/>
    <n v="1.0180722891566265"/>
    <n v="3.5502958579881658E-2"/>
    <n v="1"/>
    <n v="0"/>
    <n v="0"/>
  </r>
  <r>
    <s v="PO-1036"/>
    <x v="18"/>
    <s v="Imported"/>
    <n v="742"/>
    <d v="2026-04-10T00:00:00"/>
    <d v="2026-04-22T00:00:00"/>
    <d v="2026-04-19T00:00:00"/>
    <n v="679"/>
    <s v="IM-135"/>
    <n v="32"/>
    <s v="Delivered"/>
    <s v="Y"/>
    <s v="N"/>
    <s v="N"/>
    <n v="9"/>
    <n v="0.91509433962264153"/>
    <n v="4.7128129602356406E-2"/>
    <n v="0"/>
    <n v="0"/>
    <n v="0"/>
  </r>
  <r>
    <s v="PO-1139"/>
    <x v="16"/>
    <s v="Raw Material"/>
    <n v="741"/>
    <d v="2026-05-30T00:00:00"/>
    <d v="2026-06-06T00:00:00"/>
    <d v="2026-06-14T00:00:00"/>
    <n v="745"/>
    <s v="RM-297"/>
    <n v="3"/>
    <s v="Delivered"/>
    <s v="N"/>
    <s v="Y"/>
    <s v="N"/>
    <n v="15"/>
    <n v="1.0053981106612686"/>
    <n v="4.0268456375838931E-3"/>
    <n v="0"/>
    <n v="8"/>
    <n v="4000"/>
  </r>
  <r>
    <s v="PO-1303"/>
    <x v="10"/>
    <s v="Packaging"/>
    <n v="690"/>
    <d v="2026-05-01T00:00:00"/>
    <d v="2026-05-08T00:00:00"/>
    <d v="2026-05-07T00:00:00"/>
    <n v="693"/>
    <s v="PK-247"/>
    <n v="67"/>
    <s v="Delivered"/>
    <s v="Y"/>
    <s v="Y"/>
    <s v="Y"/>
    <n v="6"/>
    <n v="1.0043478260869565"/>
    <n v="9.6681096681096687E-2"/>
    <n v="1"/>
    <n v="0"/>
    <n v="0"/>
  </r>
  <r>
    <s v="PO-1267"/>
    <x v="0"/>
    <s v="Imported"/>
    <n v="816"/>
    <d v="2026-03-26T00:00:00"/>
    <d v="2026-03-31T00:00:00"/>
    <d v="2026-03-30T00:00:00"/>
    <n v="808"/>
    <s v="IM-180"/>
    <n v="1"/>
    <s v="Delivered"/>
    <s v="Y"/>
    <s v="Y"/>
    <s v="Y"/>
    <n v="4"/>
    <n v="0.99019607843137258"/>
    <n v="1.2376237623762376E-3"/>
    <n v="1"/>
    <n v="0"/>
    <n v="0"/>
  </r>
  <r>
    <s v="PO-1533"/>
    <x v="7"/>
    <s v="Packaging"/>
    <n v="654"/>
    <d v="2026-02-18T00:00:00"/>
    <d v="2026-02-26T00:00:00"/>
    <d v="2026-03-02T00:00:00"/>
    <n v="666"/>
    <s v="PK-220"/>
    <n v="19"/>
    <s v="Delivered"/>
    <s v="N"/>
    <s v="Y"/>
    <s v="N"/>
    <n v="12"/>
    <n v="1.0183486238532109"/>
    <n v="2.8528528528528527E-2"/>
    <n v="0"/>
    <n v="4"/>
    <n v="2000"/>
  </r>
  <r>
    <s v="PO-1545"/>
    <x v="2"/>
    <s v="Packaging"/>
    <n v="199"/>
    <d v="2026-02-24T00:00:00"/>
    <d v="2026-03-10T00:00:00"/>
    <d v="2026-03-10T00:00:00"/>
    <n v="197"/>
    <s v="PK-137"/>
    <n v="5"/>
    <s v="Delivered"/>
    <s v="Y"/>
    <s v="Y"/>
    <s v="Y"/>
    <n v="14"/>
    <n v="0.98994974874371855"/>
    <n v="2.5380710659898477E-2"/>
    <n v="1"/>
    <n v="0"/>
    <n v="0"/>
  </r>
  <r>
    <s v="PO-1212"/>
    <x v="13"/>
    <s v="Raw Material"/>
    <n v="299"/>
    <d v="2026-05-19T00:00:00"/>
    <d v="2026-05-26T00:00:00"/>
    <d v="2026-05-24T00:00:00"/>
    <n v="278"/>
    <s v="RM-185"/>
    <n v="10"/>
    <s v="Delivered"/>
    <s v="Y"/>
    <s v="N"/>
    <s v="N"/>
    <n v="5"/>
    <n v="0.92976588628762546"/>
    <n v="3.5971223021582732E-2"/>
    <n v="0"/>
    <n v="0"/>
    <n v="0"/>
  </r>
  <r>
    <s v="PO-1468"/>
    <x v="4"/>
    <s v="Raw Material"/>
    <n v="597"/>
    <d v="2026-04-06T00:00:00"/>
    <d v="2026-04-13T00:00:00"/>
    <d v="2026-04-11T00:00:00"/>
    <n v="597"/>
    <s v="RM-109"/>
    <n v="8"/>
    <s v="Delivered"/>
    <s v="Y"/>
    <s v="Y"/>
    <s v="Y"/>
    <n v="5"/>
    <n v="1"/>
    <n v="1.340033500837521E-2"/>
    <n v="1"/>
    <n v="0"/>
    <n v="0"/>
  </r>
  <r>
    <s v="PO-1198"/>
    <x v="4"/>
    <s v="Raw Material"/>
    <n v="486"/>
    <d v="2026-04-09T00:00:00"/>
    <d v="2026-04-16T00:00:00"/>
    <d v="2026-04-13T00:00:00"/>
    <n v="451"/>
    <s v="RM-149"/>
    <n v="11"/>
    <s v="Delivered"/>
    <s v="Y"/>
    <s v="N"/>
    <s v="N"/>
    <n v="4"/>
    <n v="0.92798353909465026"/>
    <n v="2.4390243902439025E-2"/>
    <n v="0"/>
    <n v="0"/>
    <n v="0"/>
  </r>
  <r>
    <s v="PO-1527"/>
    <x v="11"/>
    <s v="Raw Material"/>
    <n v="353"/>
    <d v="2026-03-19T00:00:00"/>
    <d v="2026-03-24T00:00:00"/>
    <d v="2026-03-24T00:00:00"/>
    <n v="351"/>
    <s v="RM-245"/>
    <n v="2"/>
    <s v="Delivered"/>
    <s v="Y"/>
    <s v="Y"/>
    <s v="Y"/>
    <n v="5"/>
    <n v="0.99433427762039661"/>
    <n v="5.6980056980056983E-3"/>
    <n v="1"/>
    <n v="0"/>
    <n v="0"/>
  </r>
  <r>
    <s v="PO-1883"/>
    <x v="10"/>
    <s v="Packaging"/>
    <n v="774"/>
    <d v="2026-04-17T00:00:00"/>
    <d v="2026-04-27T00:00:00"/>
    <d v="2026-04-25T00:00:00"/>
    <n v="765"/>
    <s v="PK-274"/>
    <n v="61"/>
    <s v="Delivered"/>
    <s v="Y"/>
    <s v="Y"/>
    <s v="Y"/>
    <n v="8"/>
    <n v="0.98837209302325579"/>
    <n v="7.9738562091503262E-2"/>
    <n v="1"/>
    <n v="0"/>
    <n v="0"/>
  </r>
  <r>
    <s v="PO-1241"/>
    <x v="16"/>
    <s v="Raw Material"/>
    <n v="485"/>
    <d v="2026-04-06T00:00:00"/>
    <d v="2026-04-14T00:00:00"/>
    <d v="2026-04-13T00:00:00"/>
    <n v="494"/>
    <s v="RM-298"/>
    <n v="5"/>
    <s v="Delivered"/>
    <s v="Y"/>
    <s v="Y"/>
    <s v="Y"/>
    <n v="7"/>
    <n v="1.0185567010309278"/>
    <n v="1.0121457489878543E-2"/>
    <n v="1"/>
    <n v="0"/>
    <n v="0"/>
  </r>
  <r>
    <s v="PO-1342"/>
    <x v="9"/>
    <s v="Raw Material"/>
    <n v="627"/>
    <d v="2026-02-28T00:00:00"/>
    <d v="2026-03-09T00:00:00"/>
    <d v="2026-03-06T00:00:00"/>
    <n v="638"/>
    <s v="RM-131"/>
    <n v="40"/>
    <s v="Delivered"/>
    <s v="Y"/>
    <s v="Y"/>
    <s v="Y"/>
    <n v="6"/>
    <n v="1.0175438596491229"/>
    <n v="6.2695924764890276E-2"/>
    <n v="1"/>
    <n v="0"/>
    <n v="0"/>
  </r>
  <r>
    <s v="PO-1549"/>
    <x v="13"/>
    <s v="Raw Material"/>
    <n v="265"/>
    <d v="2026-05-23T00:00:00"/>
    <d v="2026-05-29T00:00:00"/>
    <d v="2026-05-26T00:00:00"/>
    <n v="267"/>
    <s v="RM-186"/>
    <n v="6"/>
    <s v="Delivered"/>
    <s v="Y"/>
    <s v="Y"/>
    <s v="Y"/>
    <n v="3"/>
    <n v="1.0075471698113208"/>
    <n v="2.247191011235955E-2"/>
    <n v="1"/>
    <n v="0"/>
    <n v="0"/>
  </r>
  <r>
    <s v="PO-1386"/>
    <x v="9"/>
    <s v="Raw Material"/>
    <n v="791"/>
    <d v="2026-04-10T00:00:00"/>
    <d v="2026-04-20T00:00:00"/>
    <d v="2026-04-18T00:00:00"/>
    <n v="787"/>
    <s v="RM-249"/>
    <n v="45"/>
    <s v="Delivered"/>
    <s v="Y"/>
    <s v="Y"/>
    <s v="Y"/>
    <n v="8"/>
    <n v="0.9949431099873578"/>
    <n v="5.7179161372299871E-2"/>
    <n v="1"/>
    <n v="0"/>
    <n v="0"/>
  </r>
  <r>
    <s v="PO-1864"/>
    <x v="0"/>
    <s v="Imported"/>
    <n v="593"/>
    <d v="2026-06-02T00:00:00"/>
    <d v="2026-06-17T00:00:00"/>
    <d v="2026-06-15T00:00:00"/>
    <n v="586"/>
    <s v="IM-140"/>
    <n v="11"/>
    <s v="Delivered"/>
    <s v="Y"/>
    <s v="Y"/>
    <s v="Y"/>
    <n v="13"/>
    <n v="0.98819561551433388"/>
    <n v="1.877133105802048E-2"/>
    <n v="1"/>
    <n v="0"/>
    <n v="0"/>
  </r>
  <r>
    <s v="PO-1206"/>
    <x v="9"/>
    <s v="Packaging"/>
    <n v="783"/>
    <d v="2026-05-01T00:00:00"/>
    <d v="2026-05-09T00:00:00"/>
    <d v="2026-05-06T00:00:00"/>
    <n v="778"/>
    <s v="PK-157"/>
    <n v="24"/>
    <s v="Delivered"/>
    <s v="Y"/>
    <s v="Y"/>
    <s v="Y"/>
    <n v="5"/>
    <n v="0.99361430395913153"/>
    <n v="3.0848329048843187E-2"/>
    <n v="1"/>
    <n v="0"/>
    <n v="0"/>
  </r>
  <r>
    <s v="PO-1834"/>
    <x v="16"/>
    <s v="Packaging"/>
    <n v="132"/>
    <d v="2026-04-09T00:00:00"/>
    <d v="2026-04-22T00:00:00"/>
    <d v="2026-04-29T00:00:00"/>
    <n v="116"/>
    <s v="unknown_SKU"/>
    <n v="0"/>
    <s v="Delivered"/>
    <s v="N"/>
    <s v="N"/>
    <s v="N"/>
    <n v="20"/>
    <n v="0.87878787878787878"/>
    <n v="0"/>
    <n v="0"/>
    <n v="7"/>
    <n v="3500"/>
  </r>
  <r>
    <s v="PO-1073"/>
    <x v="18"/>
    <s v="Raw Material"/>
    <n v="157"/>
    <d v="2026-03-28T00:00:00"/>
    <d v="2026-04-12T00:00:00"/>
    <d v="2026-04-12T00:00:00"/>
    <n v="141"/>
    <s v="RM-104"/>
    <n v="6"/>
    <s v="Delivered"/>
    <s v="Y"/>
    <s v="N"/>
    <s v="N"/>
    <n v="15"/>
    <n v="0.89808917197452232"/>
    <n v="4.2553191489361701E-2"/>
    <n v="0"/>
    <n v="0"/>
    <n v="0"/>
  </r>
  <r>
    <s v="PO-1749"/>
    <x v="9"/>
    <s v="Imported"/>
    <n v="222"/>
    <d v="2026-05-09T00:00:00"/>
    <d v="2026-05-17T00:00:00"/>
    <d v="2026-05-14T00:00:00"/>
    <n v="219"/>
    <s v="IM-241"/>
    <n v="11"/>
    <s v="Delivered"/>
    <s v="Y"/>
    <s v="Y"/>
    <s v="Y"/>
    <n v="5"/>
    <n v="0.98648648648648651"/>
    <n v="5.0228310502283102E-2"/>
    <n v="1"/>
    <n v="0"/>
    <n v="0"/>
  </r>
  <r>
    <s v="PO-1104"/>
    <x v="0"/>
    <s v="Raw Material"/>
    <n v="568"/>
    <d v="2026-01-16T00:00:00"/>
    <d v="2026-01-31T00:00:00"/>
    <m/>
    <m/>
    <s v="RM-188"/>
    <m/>
    <s v="Pending"/>
    <s v="N/A"/>
    <s v="N/A"/>
    <s v="N/A"/>
    <s v="N/A"/>
    <s v="N/A"/>
    <s v="N/A"/>
    <s v=""/>
    <s v="N/A"/>
    <n v="0"/>
  </r>
  <r>
    <s v="PO-1822"/>
    <x v="0"/>
    <s v="Raw Material"/>
    <n v="759"/>
    <d v="2026-03-14T00:00:00"/>
    <d v="2026-03-25T00:00:00"/>
    <d v="2026-03-23T00:00:00"/>
    <n v="771"/>
    <s v="RM-124"/>
    <n v="11"/>
    <s v="Delivered"/>
    <s v="Y"/>
    <s v="Y"/>
    <s v="Y"/>
    <n v="9"/>
    <n v="1.0158102766798418"/>
    <n v="1.4267185473411154E-2"/>
    <n v="1"/>
    <n v="0"/>
    <n v="0"/>
  </r>
  <r>
    <s v="PO-1713"/>
    <x v="12"/>
    <s v="Raw Material"/>
    <n v="130"/>
    <d v="2026-03-24T00:00:00"/>
    <d v="2026-04-07T00:00:00"/>
    <d v="2026-04-05T00:00:00"/>
    <n v="130"/>
    <s v="RM-224"/>
    <n v="2"/>
    <s v="Delivered"/>
    <s v="Y"/>
    <s v="Y"/>
    <s v="Y"/>
    <n v="12"/>
    <n v="1"/>
    <n v="1.5384615384615385E-2"/>
    <n v="1"/>
    <n v="0"/>
    <n v="0"/>
  </r>
  <r>
    <s v="PO-1970"/>
    <x v="12"/>
    <s v="Packaging"/>
    <n v="216"/>
    <d v="2026-04-03T00:00:00"/>
    <d v="2026-04-08T00:00:00"/>
    <d v="2026-04-06T00:00:00"/>
    <n v="216"/>
    <s v="PK-280"/>
    <n v="4"/>
    <s v="Delivered"/>
    <s v="Y"/>
    <s v="Y"/>
    <s v="Y"/>
    <n v="3"/>
    <n v="1"/>
    <n v="1.8518518518518517E-2"/>
    <n v="1"/>
    <n v="0"/>
    <n v="0"/>
  </r>
  <r>
    <s v="PO-1016"/>
    <x v="8"/>
    <s v="Imported"/>
    <n v="178"/>
    <d v="2026-04-26T00:00:00"/>
    <d v="2026-05-09T00:00:00"/>
    <d v="2026-05-07T00:00:00"/>
    <n v="178"/>
    <s v="IM-183"/>
    <n v="12"/>
    <s v="Delivered"/>
    <s v="Y"/>
    <s v="Y"/>
    <s v="Y"/>
    <n v="11"/>
    <n v="1"/>
    <n v="6.741573033707865E-2"/>
    <n v="1"/>
    <n v="0"/>
    <n v="0"/>
  </r>
  <r>
    <s v="PO-1439"/>
    <x v="1"/>
    <s v="Packaging"/>
    <n v="235"/>
    <d v="2026-02-02T00:00:00"/>
    <d v="2026-02-11T00:00:00"/>
    <d v="2026-02-18T00:00:00"/>
    <n v="231"/>
    <s v="PK-177"/>
    <n v="0"/>
    <s v="Delivered"/>
    <s v="N"/>
    <s v="Y"/>
    <s v="N"/>
    <n v="16"/>
    <n v="0.98297872340425529"/>
    <n v="0"/>
    <n v="0"/>
    <n v="7"/>
    <n v="3500"/>
  </r>
  <r>
    <s v="PO-1091"/>
    <x v="4"/>
    <s v="Packaging"/>
    <n v="497"/>
    <d v="2026-04-11T00:00:00"/>
    <d v="2026-04-23T00:00:00"/>
    <d v="2026-04-23T00:00:00"/>
    <n v="504"/>
    <s v="PK-150"/>
    <n v="14"/>
    <s v="Delivered"/>
    <s v="Y"/>
    <s v="Y"/>
    <s v="Y"/>
    <n v="12"/>
    <n v="1.0140845070422535"/>
    <n v="2.7777777777777776E-2"/>
    <n v="1"/>
    <n v="0"/>
    <n v="0"/>
  </r>
  <r>
    <s v="PO-1088"/>
    <x v="0"/>
    <s v="Packaging"/>
    <n v="254"/>
    <d v="2026-03-23T00:00:00"/>
    <d v="2026-03-30T00:00:00"/>
    <d v="2026-03-28T00:00:00"/>
    <n v="253"/>
    <s v="PK-100"/>
    <n v="6"/>
    <s v="Delivered"/>
    <s v="Y"/>
    <s v="Y"/>
    <s v="Y"/>
    <n v="5"/>
    <n v="0.99606299212598426"/>
    <n v="2.3715415019762844E-2"/>
    <n v="1"/>
    <n v="0"/>
    <n v="0"/>
  </r>
  <r>
    <s v="PO-1450"/>
    <x v="16"/>
    <s v="Packaging"/>
    <n v="99"/>
    <d v="2026-03-22T00:00:00"/>
    <d v="2026-04-04T00:00:00"/>
    <d v="2026-04-04T00:00:00"/>
    <n v="89"/>
    <s v="PK-142"/>
    <n v="1"/>
    <s v="Delivered"/>
    <s v="Y"/>
    <s v="N"/>
    <s v="N"/>
    <n v="13"/>
    <n v="0.89898989898989901"/>
    <n v="1.1235955056179775E-2"/>
    <n v="0"/>
    <n v="0"/>
    <n v="0"/>
  </r>
  <r>
    <s v="PO-1102"/>
    <x v="18"/>
    <s v="Imported"/>
    <n v="603"/>
    <d v="2026-04-16T00:00:00"/>
    <d v="2026-04-22T00:00:00"/>
    <d v="2026-04-22T00:00:00"/>
    <n v="614"/>
    <s v="IM-207"/>
    <n v="31"/>
    <s v="Delivered"/>
    <s v="Y"/>
    <s v="Y"/>
    <s v="Y"/>
    <n v="6"/>
    <n v="1.0182421227197347"/>
    <n v="5.0488599348534204E-2"/>
    <n v="1"/>
    <n v="0"/>
    <n v="0"/>
  </r>
  <r>
    <s v="PO-1238"/>
    <x v="14"/>
    <s v="Raw Material"/>
    <n v="858"/>
    <d v="2026-01-16T00:00:00"/>
    <d v="2026-01-23T00:00:00"/>
    <d v="2026-01-21T00:00:00"/>
    <n v="863"/>
    <s v="RM-212"/>
    <n v="12"/>
    <s v="Delivered"/>
    <s v="Y"/>
    <s v="Y"/>
    <s v="Y"/>
    <n v="5"/>
    <n v="1.0058275058275059"/>
    <n v="1.3904982618771726E-2"/>
    <n v="1"/>
    <n v="0"/>
    <n v="0"/>
  </r>
  <r>
    <s v="PO-1725"/>
    <x v="0"/>
    <s v="Raw Material"/>
    <n v="779"/>
    <d v="2026-03-11T00:00:00"/>
    <d v="2026-03-19T00:00:00"/>
    <d v="2026-03-16T00:00:00"/>
    <n v="768"/>
    <s v="RM-260"/>
    <n v="22"/>
    <s v="Delivered"/>
    <s v="Y"/>
    <s v="Y"/>
    <s v="Y"/>
    <n v="5"/>
    <n v="0.98587933247753534"/>
    <n v="2.8645833333333332E-2"/>
    <n v="1"/>
    <n v="0"/>
    <n v="0"/>
  </r>
  <r>
    <s v="PO-1246"/>
    <x v="7"/>
    <s v="Packaging"/>
    <n v="412"/>
    <d v="2026-05-31T00:00:00"/>
    <d v="2026-06-15T00:00:00"/>
    <d v="2026-06-12T00:00:00"/>
    <n v="411"/>
    <s v="PK-110"/>
    <n v="11"/>
    <s v="Delivered"/>
    <s v="Y"/>
    <s v="Y"/>
    <s v="Y"/>
    <n v="12"/>
    <n v="0.99757281553398058"/>
    <n v="2.6763990267639901E-2"/>
    <n v="1"/>
    <n v="0"/>
    <n v="0"/>
  </r>
  <r>
    <s v="PO-1717"/>
    <x v="0"/>
    <s v="Packaging"/>
    <n v="685"/>
    <d v="2026-03-16T00:00:00"/>
    <d v="2026-03-26T00:00:00"/>
    <d v="2026-03-25T00:00:00"/>
    <n v="681"/>
    <s v="PK-142"/>
    <n v="24"/>
    <s v="Delivered"/>
    <s v="Y"/>
    <s v="Y"/>
    <s v="Y"/>
    <n v="9"/>
    <n v="0.99416058394160589"/>
    <n v="3.5242290748898682E-2"/>
    <n v="1"/>
    <n v="0"/>
    <n v="0"/>
  </r>
  <r>
    <s v="PO-1157"/>
    <x v="6"/>
    <s v="Raw Material"/>
    <n v="346"/>
    <d v="2026-04-16T00:00:00"/>
    <d v="2026-04-30T00:00:00"/>
    <d v="2026-04-28T00:00:00"/>
    <n v="350"/>
    <s v="RM-134"/>
    <n v="13"/>
    <s v="Delivered"/>
    <s v="Y"/>
    <s v="Y"/>
    <s v="Y"/>
    <n v="12"/>
    <n v="1.0115606936416186"/>
    <n v="3.7142857142857144E-2"/>
    <n v="1"/>
    <n v="0"/>
    <n v="0"/>
  </r>
  <r>
    <s v="PO-1479"/>
    <x v="6"/>
    <s v="Raw Material"/>
    <n v="954"/>
    <d v="2026-03-09T00:00:00"/>
    <d v="2026-03-20T00:00:00"/>
    <d v="2026-03-18T00:00:00"/>
    <n v="948"/>
    <s v="RM-214"/>
    <n v="18"/>
    <s v="Delivered"/>
    <s v="Y"/>
    <s v="Y"/>
    <s v="Y"/>
    <n v="9"/>
    <n v="0.99371069182389937"/>
    <n v="1.8987341772151899E-2"/>
    <n v="1"/>
    <n v="0"/>
    <n v="0"/>
  </r>
  <r>
    <s v="PO-1645"/>
    <x v="18"/>
    <s v="Raw Material"/>
    <n v="468"/>
    <d v="2026-01-25T00:00:00"/>
    <d v="2026-02-08T00:00:00"/>
    <d v="2026-02-05T00:00:00"/>
    <n v="468"/>
    <s v="RM-200"/>
    <n v="2"/>
    <s v="Delivered"/>
    <s v="Y"/>
    <s v="Y"/>
    <s v="Y"/>
    <n v="11"/>
    <n v="1"/>
    <n v="4.2735042735042739E-3"/>
    <n v="1"/>
    <n v="0"/>
    <n v="0"/>
  </r>
  <r>
    <s v="PO-1850"/>
    <x v="15"/>
    <s v="Raw Material"/>
    <n v="952"/>
    <d v="2026-03-22T00:00:00"/>
    <d v="2026-04-03T00:00:00"/>
    <d v="2026-04-02T00:00:00"/>
    <n v="794"/>
    <s v="RM-211"/>
    <n v="0"/>
    <s v="Delivered"/>
    <s v="Y"/>
    <s v="N"/>
    <s v="N"/>
    <n v="11"/>
    <n v="0.83403361344537819"/>
    <n v="0"/>
    <n v="0"/>
    <n v="0"/>
    <n v="0"/>
  </r>
  <r>
    <s v="PO-1826"/>
    <x v="10"/>
    <s v="Packaging"/>
    <n v="733"/>
    <d v="2026-03-12T00:00:00"/>
    <d v="2026-03-21T00:00:00"/>
    <d v="2026-03-20T00:00:00"/>
    <n v="737"/>
    <s v="PK-145"/>
    <n v="4"/>
    <s v="Delivered"/>
    <s v="Y"/>
    <s v="Y"/>
    <s v="Y"/>
    <n v="8"/>
    <n v="1.005457025920873"/>
    <n v="5.4274084124830389E-3"/>
    <n v="1"/>
    <n v="0"/>
    <n v="0"/>
  </r>
  <r>
    <s v="PO-1018"/>
    <x v="6"/>
    <s v="Packaging"/>
    <n v="454"/>
    <d v="2026-04-29T00:00:00"/>
    <d v="2026-05-09T00:00:00"/>
    <d v="2026-05-07T00:00:00"/>
    <n v="452"/>
    <s v="PK-286"/>
    <n v="31"/>
    <s v="Delivered"/>
    <s v="Y"/>
    <s v="Y"/>
    <s v="Y"/>
    <n v="8"/>
    <n v="0.99559471365638763"/>
    <n v="6.8584070796460173E-2"/>
    <n v="1"/>
    <n v="0"/>
    <n v="0"/>
  </r>
  <r>
    <s v="PO-1709"/>
    <x v="0"/>
    <s v="Packaging"/>
    <n v="158"/>
    <d v="2026-04-11T00:00:00"/>
    <d v="2026-04-17T00:00:00"/>
    <d v="2026-04-15T00:00:00"/>
    <n v="157"/>
    <s v="PK-118"/>
    <n v="3"/>
    <s v="Delivered"/>
    <s v="Y"/>
    <s v="Y"/>
    <s v="Y"/>
    <n v="4"/>
    <n v="0.99367088607594933"/>
    <n v="1.9108280254777069E-2"/>
    <n v="1"/>
    <n v="0"/>
    <n v="0"/>
  </r>
  <r>
    <s v="PO-1121"/>
    <x v="10"/>
    <s v="Packaging"/>
    <n v="444"/>
    <d v="2026-04-12T00:00:00"/>
    <d v="2026-04-24T00:00:00"/>
    <d v="2026-04-22T00:00:00"/>
    <n v="435"/>
    <s v="PK-203"/>
    <n v="18"/>
    <s v="Delivered"/>
    <s v="Y"/>
    <s v="N"/>
    <s v="N"/>
    <n v="10"/>
    <n v="0.97972972972972971"/>
    <n v="4.1379310344827586E-2"/>
    <n v="0"/>
    <n v="0"/>
    <n v="0"/>
  </r>
  <r>
    <s v="PO-1840"/>
    <x v="7"/>
    <s v="Packaging"/>
    <n v="578"/>
    <d v="2026-06-03T00:00:00"/>
    <d v="2026-06-14T00:00:00"/>
    <d v="2026-06-21T00:00:00"/>
    <n v="583"/>
    <s v="PK-131"/>
    <n v="9"/>
    <s v="Delivered"/>
    <s v="N"/>
    <s v="Y"/>
    <s v="N"/>
    <n v="18"/>
    <n v="1.0086505190311419"/>
    <n v="1.5437392795883362E-2"/>
    <n v="0"/>
    <n v="7"/>
    <n v="3500"/>
  </r>
  <r>
    <s v="PO-1708"/>
    <x v="9"/>
    <s v="Packaging"/>
    <n v="307"/>
    <d v="2026-01-18T00:00:00"/>
    <d v="2026-01-30T00:00:00"/>
    <d v="2026-01-28T00:00:00"/>
    <n v="312"/>
    <s v="PK-188"/>
    <n v="6"/>
    <s v="Delivered"/>
    <s v="Y"/>
    <s v="Y"/>
    <s v="Y"/>
    <n v="10"/>
    <n v="1.0162866449511401"/>
    <n v="1.9230769230769232E-2"/>
    <n v="1"/>
    <n v="0"/>
    <n v="0"/>
  </r>
  <r>
    <s v="PO-1274"/>
    <x v="0"/>
    <s v="Raw Material"/>
    <n v="106"/>
    <d v="2026-05-10T00:00:00"/>
    <d v="2026-05-21T00:00:00"/>
    <d v="2026-05-28T00:00:00"/>
    <n v="105"/>
    <s v="RM-219"/>
    <n v="3"/>
    <s v="Delivered"/>
    <s v="N"/>
    <s v="Y"/>
    <s v="N"/>
    <n v="18"/>
    <n v="0.99056603773584906"/>
    <n v="2.8571428571428571E-2"/>
    <n v="0"/>
    <n v="7"/>
    <n v="3500"/>
  </r>
  <r>
    <s v="PO-1433"/>
    <x v="6"/>
    <s v="Raw Material"/>
    <n v="489"/>
    <d v="2026-01-08T00:00:00"/>
    <d v="2026-01-19T00:00:00"/>
    <m/>
    <m/>
    <s v="RM-184"/>
    <m/>
    <s v="Pending"/>
    <s v="N/A"/>
    <s v="N/A"/>
    <s v="N/A"/>
    <s v="N/A"/>
    <s v="N/A"/>
    <s v="N/A"/>
    <s v=""/>
    <s v="N/A"/>
    <n v="0"/>
  </r>
  <r>
    <s v="PO-1902"/>
    <x v="5"/>
    <s v="Packaging"/>
    <n v="538"/>
    <d v="2026-03-17T00:00:00"/>
    <d v="2026-03-29T00:00:00"/>
    <d v="2026-03-26T00:00:00"/>
    <n v="545"/>
    <s v="PK-103"/>
    <n v="4"/>
    <s v="Delivered"/>
    <s v="Y"/>
    <s v="Y"/>
    <s v="Y"/>
    <n v="9"/>
    <n v="1.013011152416357"/>
    <n v="7.3394495412844041E-3"/>
    <n v="1"/>
    <n v="0"/>
    <n v="0"/>
  </r>
  <r>
    <s v="PO-1311"/>
    <x v="18"/>
    <s v="Imported"/>
    <n v="923"/>
    <d v="2026-02-20T00:00:00"/>
    <d v="2026-02-28T00:00:00"/>
    <d v="2026-02-27T00:00:00"/>
    <n v="920"/>
    <s v="IM-185"/>
    <n v="45"/>
    <s v="Delivered"/>
    <s v="Y"/>
    <s v="Y"/>
    <s v="Y"/>
    <n v="7"/>
    <n v="0.99674972914409532"/>
    <n v="4.8913043478260872E-2"/>
    <n v="1"/>
    <n v="0"/>
    <n v="0"/>
  </r>
  <r>
    <s v="PO-1893"/>
    <x v="6"/>
    <s v="Imported"/>
    <n v="726"/>
    <d v="2026-01-21T00:00:00"/>
    <d v="2026-02-02T00:00:00"/>
    <d v="2026-02-02T00:00:00"/>
    <n v="642"/>
    <s v="IM-147"/>
    <n v="23"/>
    <s v="Delivered"/>
    <s v="Y"/>
    <s v="N"/>
    <s v="N"/>
    <n v="12"/>
    <n v="0.88429752066115708"/>
    <n v="3.5825545171339561E-2"/>
    <n v="0"/>
    <n v="0"/>
    <n v="0"/>
  </r>
  <r>
    <s v="PO-1839"/>
    <x v="2"/>
    <s v="Raw Material"/>
    <n v="149"/>
    <d v="2026-04-03T00:00:00"/>
    <d v="2026-04-09T00:00:00"/>
    <d v="2026-04-09T00:00:00"/>
    <n v="147"/>
    <s v="RM-160"/>
    <n v="3"/>
    <s v="Delivered"/>
    <s v="Y"/>
    <s v="Y"/>
    <s v="Y"/>
    <n v="6"/>
    <n v="0.98657718120805371"/>
    <n v="2.0408163265306121E-2"/>
    <n v="1"/>
    <n v="0"/>
    <n v="0"/>
  </r>
  <r>
    <s v="PO-1546"/>
    <x v="6"/>
    <s v="Raw Material"/>
    <n v="431"/>
    <d v="2026-03-02T00:00:00"/>
    <d v="2026-03-10T00:00:00"/>
    <d v="2026-03-08T00:00:00"/>
    <n v="382"/>
    <s v="RM-283"/>
    <n v="22"/>
    <s v="Delivered"/>
    <s v="Y"/>
    <s v="N"/>
    <s v="N"/>
    <n v="6"/>
    <n v="0.88631090487238984"/>
    <n v="5.7591623036649213E-2"/>
    <n v="0"/>
    <n v="0"/>
    <n v="0"/>
  </r>
  <r>
    <s v="PO-1181"/>
    <x v="16"/>
    <s v="Raw Material"/>
    <n v="721"/>
    <d v="2026-01-14T00:00:00"/>
    <d v="2026-01-27T00:00:00"/>
    <d v="2026-01-25T00:00:00"/>
    <n v="662"/>
    <s v="RM-104"/>
    <n v="12"/>
    <s v="Delivered"/>
    <s v="Y"/>
    <s v="N"/>
    <s v="N"/>
    <n v="11"/>
    <n v="0.91816920943134539"/>
    <n v="1.812688821752266E-2"/>
    <n v="0"/>
    <n v="0"/>
    <n v="0"/>
  </r>
  <r>
    <s v="PO-1184"/>
    <x v="18"/>
    <s v="Raw Material"/>
    <n v="820"/>
    <d v="2026-01-18T00:00:00"/>
    <d v="2026-01-29T00:00:00"/>
    <d v="2026-01-26T00:00:00"/>
    <n v="714"/>
    <s v="RM-191"/>
    <n v="22"/>
    <s v="Delivered"/>
    <s v="Y"/>
    <s v="N"/>
    <s v="N"/>
    <n v="8"/>
    <n v="0.87073170731707317"/>
    <n v="3.081232492997199E-2"/>
    <n v="0"/>
    <n v="0"/>
    <n v="0"/>
  </r>
  <r>
    <s v="PO-1406"/>
    <x v="15"/>
    <s v="Raw Material"/>
    <n v="109"/>
    <d v="2026-04-18T00:00:00"/>
    <d v="2026-04-25T00:00:00"/>
    <d v="2026-04-25T00:00:00"/>
    <n v="90"/>
    <s v="RM-101"/>
    <n v="1"/>
    <s v="Delivered"/>
    <s v="Y"/>
    <s v="N"/>
    <s v="N"/>
    <n v="7"/>
    <n v="0.82568807339449546"/>
    <n v="1.1111111111111112E-2"/>
    <n v="0"/>
    <n v="0"/>
    <n v="0"/>
  </r>
  <r>
    <s v="PO-1606"/>
    <x v="14"/>
    <s v="Imported"/>
    <n v="421"/>
    <d v="2026-05-02T00:00:00"/>
    <d v="2026-05-11T00:00:00"/>
    <d v="2026-05-08T00:00:00"/>
    <n v="413"/>
    <s v="IM-208"/>
    <n v="1"/>
    <s v="Delivered"/>
    <s v="Y"/>
    <s v="Y"/>
    <s v="Y"/>
    <n v="6"/>
    <n v="0.98099762470308793"/>
    <n v="2.4213075060532689E-3"/>
    <n v="1"/>
    <n v="0"/>
    <n v="0"/>
  </r>
  <r>
    <s v="PO-1692"/>
    <x v="13"/>
    <s v="Packaging"/>
    <n v="289"/>
    <d v="2026-03-07T00:00:00"/>
    <d v="2026-03-16T00:00:00"/>
    <d v="2026-03-25T00:00:00"/>
    <n v="260"/>
    <s v="PK-262"/>
    <n v="16"/>
    <s v="Delivered"/>
    <s v="N"/>
    <s v="N"/>
    <s v="N"/>
    <n v="18"/>
    <n v="0.89965397923875434"/>
    <n v="6.1538461538461542E-2"/>
    <n v="0"/>
    <n v="9"/>
    <n v="4500"/>
  </r>
  <r>
    <s v="PO-1520"/>
    <x v="4"/>
    <s v="Imported"/>
    <n v="700"/>
    <d v="2026-04-11T00:00:00"/>
    <d v="2026-04-19T00:00:00"/>
    <d v="2026-04-18T00:00:00"/>
    <n v="690"/>
    <s v="IM-125"/>
    <n v="18"/>
    <s v="Delivered"/>
    <s v="Y"/>
    <s v="Y"/>
    <s v="Y"/>
    <n v="7"/>
    <n v="0.98571428571428577"/>
    <n v="2.6086956521739129E-2"/>
    <n v="1"/>
    <n v="0"/>
    <n v="0"/>
  </r>
  <r>
    <s v="PO-1380"/>
    <x v="1"/>
    <s v="Imported"/>
    <n v="271"/>
    <d v="2026-02-19T00:00:00"/>
    <d v="2026-02-28T00:00:00"/>
    <d v="2026-02-28T00:00:00"/>
    <n v="269"/>
    <s v="IM-110"/>
    <n v="0"/>
    <s v="Delivered"/>
    <s v="Y"/>
    <s v="Y"/>
    <s v="Y"/>
    <n v="9"/>
    <n v="0.99261992619926198"/>
    <n v="0"/>
    <n v="1"/>
    <n v="0"/>
    <n v="0"/>
  </r>
  <r>
    <s v="PO-1410"/>
    <x v="9"/>
    <s v="Packaging"/>
    <n v="788"/>
    <d v="2026-03-05T00:00:00"/>
    <d v="2026-03-15T00:00:00"/>
    <d v="2026-03-12T00:00:00"/>
    <n v="791"/>
    <s v="PK-262"/>
    <n v="53"/>
    <s v="Delivered"/>
    <s v="Y"/>
    <s v="Y"/>
    <s v="Y"/>
    <n v="7"/>
    <n v="1.0038071065989849"/>
    <n v="6.7003792667509485E-2"/>
    <n v="1"/>
    <n v="0"/>
    <n v="0"/>
  </r>
  <r>
    <s v="PO-1634"/>
    <x v="14"/>
    <s v="Packaging"/>
    <n v="725"/>
    <d v="2026-05-14T00:00:00"/>
    <d v="2026-05-19T00:00:00"/>
    <d v="2026-05-17T00:00:00"/>
    <n v="653"/>
    <s v="PK-265"/>
    <n v="27"/>
    <s v="Delivered"/>
    <s v="Y"/>
    <s v="N"/>
    <s v="N"/>
    <n v="3"/>
    <n v="0.90068965517241384"/>
    <n v="4.1347626339969371E-2"/>
    <n v="0"/>
    <n v="0"/>
    <n v="0"/>
  </r>
  <r>
    <s v="PO-1369"/>
    <x v="5"/>
    <s v="Packaging"/>
    <n v="367"/>
    <d v="2026-01-18T00:00:00"/>
    <d v="2026-02-02T00:00:00"/>
    <d v="2026-01-31T00:00:00"/>
    <n v="372"/>
    <s v="PK-252"/>
    <n v="1"/>
    <s v="Delivered"/>
    <s v="Y"/>
    <s v="Y"/>
    <s v="Y"/>
    <n v="13"/>
    <n v="1.013623978201635"/>
    <n v="2.6881720430107529E-3"/>
    <n v="1"/>
    <n v="0"/>
    <n v="0"/>
  </r>
  <r>
    <s v="PO-1814"/>
    <x v="6"/>
    <s v="Raw Material"/>
    <n v="703"/>
    <d v="2026-05-14T00:00:00"/>
    <d v="2026-05-25T00:00:00"/>
    <d v="2026-05-28T00:00:00"/>
    <n v="693"/>
    <s v="RM-240"/>
    <n v="24"/>
    <s v="Delivered"/>
    <s v="N"/>
    <s v="Y"/>
    <s v="N"/>
    <n v="14"/>
    <n v="0.98577524893314372"/>
    <n v="3.4632034632034632E-2"/>
    <n v="0"/>
    <n v="3"/>
    <n v="1500"/>
  </r>
  <r>
    <s v="PO-1837"/>
    <x v="1"/>
    <s v="Raw Material"/>
    <n v="482"/>
    <d v="2026-04-04T00:00:00"/>
    <d v="2026-04-19T00:00:00"/>
    <d v="2026-04-17T00:00:00"/>
    <n v="485"/>
    <s v="RM-169"/>
    <n v="2"/>
    <s v="Delivered"/>
    <s v="Y"/>
    <s v="Y"/>
    <s v="Y"/>
    <n v="13"/>
    <n v="1.0062240663900415"/>
    <n v="4.1237113402061857E-3"/>
    <n v="1"/>
    <n v="0"/>
    <n v="0"/>
  </r>
  <r>
    <s v="PO-1757"/>
    <x v="1"/>
    <s v="Packaging"/>
    <n v="898"/>
    <d v="2026-01-13T00:00:00"/>
    <d v="2026-01-28T00:00:00"/>
    <d v="2026-01-25T00:00:00"/>
    <n v="909"/>
    <s v="PK-243"/>
    <n v="21"/>
    <s v="Delivered"/>
    <s v="Y"/>
    <s v="Y"/>
    <s v="Y"/>
    <n v="12"/>
    <n v="1.012249443207127"/>
    <n v="2.3102310231023101E-2"/>
    <n v="1"/>
    <n v="0"/>
    <n v="0"/>
  </r>
  <r>
    <s v="PO-1078"/>
    <x v="9"/>
    <s v="Raw Material"/>
    <n v="340"/>
    <d v="2026-01-19T00:00:00"/>
    <d v="2026-01-31T00:00:00"/>
    <d v="2026-01-31T00:00:00"/>
    <n v="343"/>
    <s v="RM-283"/>
    <n v="16"/>
    <s v="Delivered"/>
    <s v="Y"/>
    <s v="Y"/>
    <s v="Y"/>
    <n v="12"/>
    <n v="1.0088235294117647"/>
    <n v="4.6647230320699708E-2"/>
    <n v="1"/>
    <n v="0"/>
    <n v="0"/>
  </r>
  <r>
    <s v="PO-1573"/>
    <x v="17"/>
    <s v="Raw Material"/>
    <n v="263"/>
    <d v="2026-04-12T00:00:00"/>
    <d v="2026-04-21T00:00:00"/>
    <d v="2026-04-20T00:00:00"/>
    <n v="260"/>
    <s v="RM-208"/>
    <n v="4"/>
    <s v="Delivered"/>
    <s v="Y"/>
    <s v="Y"/>
    <s v="Y"/>
    <n v="8"/>
    <n v="0.98859315589353614"/>
    <n v="1.5384615384615385E-2"/>
    <n v="1"/>
    <n v="0"/>
    <n v="0"/>
  </r>
  <r>
    <s v="PO-1637"/>
    <x v="9"/>
    <s v="Imported"/>
    <n v="821"/>
    <d v="2026-02-07T00:00:00"/>
    <d v="2026-02-14T00:00:00"/>
    <d v="2026-02-12T00:00:00"/>
    <n v="826"/>
    <s v="IM-285"/>
    <n v="17"/>
    <s v="Delivered"/>
    <s v="Y"/>
    <s v="Y"/>
    <s v="Y"/>
    <n v="5"/>
    <n v="1.0060901339829476"/>
    <n v="2.0581113801452784E-2"/>
    <n v="1"/>
    <n v="0"/>
    <n v="0"/>
  </r>
  <r>
    <s v="PO-1607"/>
    <x v="2"/>
    <s v="Raw Material"/>
    <n v="590"/>
    <d v="2026-03-18T00:00:00"/>
    <d v="2026-03-31T00:00:00"/>
    <d v="2026-03-28T00:00:00"/>
    <n v="546"/>
    <s v="RM-216"/>
    <n v="20"/>
    <s v="Delivered"/>
    <s v="Y"/>
    <s v="N"/>
    <s v="N"/>
    <n v="10"/>
    <n v="0.92542372881355928"/>
    <n v="3.6630036630036632E-2"/>
    <n v="0"/>
    <n v="0"/>
    <n v="0"/>
  </r>
  <r>
    <s v="PO-1798"/>
    <x v="7"/>
    <s v="Raw Material"/>
    <n v="929"/>
    <d v="2026-04-18T00:00:00"/>
    <d v="2026-04-28T00:00:00"/>
    <d v="2026-04-26T00:00:00"/>
    <n v="923"/>
    <s v="RM-153"/>
    <n v="6"/>
    <s v="Delivered"/>
    <s v="Y"/>
    <s v="Y"/>
    <s v="Y"/>
    <n v="8"/>
    <n v="0.9935414424111948"/>
    <n v="6.5005417118093175E-3"/>
    <n v="1"/>
    <n v="0"/>
    <n v="0"/>
  </r>
  <r>
    <s v="PO-1999"/>
    <x v="6"/>
    <s v="Raw Material"/>
    <n v="859"/>
    <d v="2026-05-31T00:00:00"/>
    <d v="2026-06-15T00:00:00"/>
    <d v="2026-06-15T00:00:00"/>
    <n v="795"/>
    <s v="RM-263"/>
    <n v="29"/>
    <s v="Delivered"/>
    <s v="Y"/>
    <s v="N"/>
    <s v="N"/>
    <n v="15"/>
    <n v="0.92549476135040742"/>
    <n v="3.6477987421383647E-2"/>
    <n v="0"/>
    <n v="0"/>
    <n v="0"/>
  </r>
  <r>
    <s v="PO-1906"/>
    <x v="17"/>
    <s v="Packaging"/>
    <n v="237"/>
    <d v="2026-04-13T00:00:00"/>
    <d v="2026-04-19T00:00:00"/>
    <d v="2026-04-18T00:00:00"/>
    <n v="238"/>
    <s v="PK-284"/>
    <n v="4"/>
    <s v="Delivered"/>
    <s v="Y"/>
    <s v="Y"/>
    <s v="Y"/>
    <n v="5"/>
    <n v="1.0042194092827004"/>
    <n v="1.680672268907563E-2"/>
    <n v="1"/>
    <n v="0"/>
    <n v="0"/>
  </r>
  <r>
    <s v="PO-1929"/>
    <x v="18"/>
    <s v="Imported"/>
    <n v="935"/>
    <d v="2026-04-16T00:00:00"/>
    <d v="2026-04-24T00:00:00"/>
    <m/>
    <m/>
    <s v="IM-102"/>
    <m/>
    <s v="Pending"/>
    <s v="N/A"/>
    <s v="N/A"/>
    <s v="N/A"/>
    <s v="N/A"/>
    <s v="N/A"/>
    <s v="N/A"/>
    <s v=""/>
    <s v="N/A"/>
    <n v="0"/>
  </r>
  <r>
    <s v="PO-1416"/>
    <x v="5"/>
    <s v="Raw Material"/>
    <n v="651"/>
    <d v="2026-05-01T00:00:00"/>
    <d v="2026-05-12T00:00:00"/>
    <d v="2026-05-10T00:00:00"/>
    <n v="613"/>
    <s v="RM-213"/>
    <n v="5"/>
    <s v="Delivered"/>
    <s v="Y"/>
    <s v="N"/>
    <s v="N"/>
    <n v="9"/>
    <n v="0.94162826420890933"/>
    <n v="8.1566068515497546E-3"/>
    <n v="0"/>
    <n v="0"/>
    <n v="0"/>
  </r>
  <r>
    <s v="PO-1746"/>
    <x v="11"/>
    <s v="Imported"/>
    <n v="727"/>
    <d v="2026-04-24T00:00:00"/>
    <d v="2026-05-09T00:00:00"/>
    <d v="2026-05-09T00:00:00"/>
    <n v="724"/>
    <s v="IM-152"/>
    <n v="11"/>
    <s v="Delivered"/>
    <s v="Y"/>
    <s v="Y"/>
    <s v="Y"/>
    <n v="15"/>
    <n v="0.99587345254470427"/>
    <n v="1.5193370165745856E-2"/>
    <n v="1"/>
    <n v="0"/>
    <n v="0"/>
  </r>
  <r>
    <s v="PO-1561"/>
    <x v="8"/>
    <s v="Packaging"/>
    <n v="415"/>
    <d v="2026-02-01T00:00:00"/>
    <d v="2026-02-15T00:00:00"/>
    <d v="2026-02-20T00:00:00"/>
    <n v="413"/>
    <s v="PK-272"/>
    <n v="27"/>
    <s v="Delivered"/>
    <s v="N"/>
    <s v="Y"/>
    <s v="N"/>
    <n v="19"/>
    <n v="0.99518072289156623"/>
    <n v="6.5375302663438259E-2"/>
    <n v="0"/>
    <n v="5"/>
    <n v="2500"/>
  </r>
  <r>
    <s v="PO-1067"/>
    <x v="2"/>
    <s v="Raw Material"/>
    <n v="197"/>
    <d v="2026-01-08T00:00:00"/>
    <d v="2026-01-18T00:00:00"/>
    <d v="2026-01-18T00:00:00"/>
    <n v="200"/>
    <s v="RM-174"/>
    <n v="8"/>
    <s v="Delivered"/>
    <s v="Y"/>
    <s v="Y"/>
    <s v="Y"/>
    <n v="10"/>
    <n v="1.015228426395939"/>
    <n v="0.04"/>
    <n v="1"/>
    <n v="0"/>
    <n v="0"/>
  </r>
  <r>
    <s v="PO-1536"/>
    <x v="13"/>
    <s v="Packaging"/>
    <n v="753"/>
    <d v="2026-03-23T00:00:00"/>
    <d v="2026-03-30T00:00:00"/>
    <d v="2026-03-28T00:00:00"/>
    <n v="717"/>
    <s v="PK-199"/>
    <n v="7"/>
    <s v="Delivered"/>
    <s v="Y"/>
    <s v="N"/>
    <s v="N"/>
    <n v="5"/>
    <n v="0.952191235059761"/>
    <n v="9.7629009762900971E-3"/>
    <n v="0"/>
    <n v="0"/>
    <n v="0"/>
  </r>
  <r>
    <s v="PO-1077"/>
    <x v="6"/>
    <s v="Raw Material"/>
    <n v="596"/>
    <d v="2026-03-11T00:00:00"/>
    <d v="2026-03-25T00:00:00"/>
    <d v="2026-03-22T00:00:00"/>
    <n v="531"/>
    <s v="RM-185"/>
    <n v="15"/>
    <s v="Delivered"/>
    <s v="Y"/>
    <s v="N"/>
    <s v="N"/>
    <n v="11"/>
    <n v="0.89093959731543626"/>
    <n v="2.8248587570621469E-2"/>
    <n v="0"/>
    <n v="0"/>
    <n v="0"/>
  </r>
  <r>
    <s v="PO-1105"/>
    <x v="7"/>
    <s v="Raw Material"/>
    <n v="962"/>
    <d v="2026-01-11T00:00:00"/>
    <d v="2026-01-24T00:00:00"/>
    <d v="2026-01-22T00:00:00"/>
    <n v="973"/>
    <s v="RM-216"/>
    <n v="47"/>
    <s v="Delivered"/>
    <s v="Y"/>
    <s v="Y"/>
    <s v="Y"/>
    <n v="11"/>
    <n v="1.0114345114345114"/>
    <n v="4.8304213771839674E-2"/>
    <n v="1"/>
    <n v="0"/>
    <n v="0"/>
  </r>
  <r>
    <s v="PO-1913"/>
    <x v="17"/>
    <s v="Raw Material"/>
    <n v="636"/>
    <d v="2026-01-31T00:00:00"/>
    <d v="2026-02-09T00:00:00"/>
    <d v="2026-02-06T00:00:00"/>
    <n v="638"/>
    <s v="RM-161"/>
    <n v="7"/>
    <s v="Delivered"/>
    <s v="Y"/>
    <s v="Y"/>
    <s v="Y"/>
    <n v="6"/>
    <n v="1.0031446540880504"/>
    <n v="1.0971786833855799E-2"/>
    <n v="1"/>
    <n v="0"/>
    <n v="0"/>
  </r>
  <r>
    <s v="PO-1638"/>
    <x v="10"/>
    <s v="Packaging"/>
    <n v="539"/>
    <d v="2026-03-18T00:00:00"/>
    <d v="2026-03-26T00:00:00"/>
    <d v="2026-03-25T00:00:00"/>
    <n v="539"/>
    <s v="PK-202"/>
    <n v="51"/>
    <s v="Delivered"/>
    <s v="Y"/>
    <s v="Y"/>
    <s v="Y"/>
    <n v="7"/>
    <n v="1"/>
    <n v="9.4619666048237475E-2"/>
    <n v="1"/>
    <n v="0"/>
    <n v="0"/>
  </r>
  <r>
    <s v="PO-1559"/>
    <x v="4"/>
    <s v="Packaging"/>
    <n v="386"/>
    <d v="2026-03-28T00:00:00"/>
    <d v="2026-04-07T00:00:00"/>
    <d v="2026-04-05T00:00:00"/>
    <n v="388"/>
    <s v="PK-104"/>
    <n v="9"/>
    <s v="Delivered"/>
    <s v="Y"/>
    <s v="Y"/>
    <s v="Y"/>
    <n v="8"/>
    <n v="1.0051813471502591"/>
    <n v="2.3195876288659795E-2"/>
    <n v="1"/>
    <n v="0"/>
    <n v="0"/>
  </r>
  <r>
    <s v="PO-1865"/>
    <x v="3"/>
    <s v="Raw Material"/>
    <n v="300"/>
    <d v="2026-04-20T00:00:00"/>
    <d v="2026-05-05T00:00:00"/>
    <d v="2026-05-05T00:00:00"/>
    <n v="298"/>
    <s v="RM-257"/>
    <n v="20"/>
    <s v="Delivered"/>
    <s v="Y"/>
    <s v="Y"/>
    <s v="Y"/>
    <n v="15"/>
    <n v="0.99333333333333329"/>
    <n v="6.7114093959731544E-2"/>
    <n v="1"/>
    <n v="0"/>
    <n v="0"/>
  </r>
  <r>
    <s v="PO-1690"/>
    <x v="3"/>
    <s v="Imported"/>
    <n v="583"/>
    <d v="2026-01-23T00:00:00"/>
    <d v="2026-02-04T00:00:00"/>
    <d v="2026-02-10T00:00:00"/>
    <n v="593"/>
    <s v="IM-244"/>
    <n v="3"/>
    <s v="Delivered"/>
    <s v="N"/>
    <s v="Y"/>
    <s v="N"/>
    <n v="18"/>
    <n v="1.0171526586620927"/>
    <n v="5.0590219224283303E-3"/>
    <n v="0"/>
    <n v="6"/>
    <n v="3000"/>
  </r>
  <r>
    <s v="PO-1873"/>
    <x v="1"/>
    <s v="Raw Material"/>
    <n v="716"/>
    <d v="2026-01-30T00:00:00"/>
    <d v="2026-02-05T00:00:00"/>
    <d v="2026-02-14T00:00:00"/>
    <n v="719"/>
    <s v="RM-260"/>
    <n v="10"/>
    <s v="Delivered"/>
    <s v="N"/>
    <s v="Y"/>
    <s v="N"/>
    <n v="15"/>
    <n v="1.0041899441340782"/>
    <n v="1.3908205841446454E-2"/>
    <n v="0"/>
    <n v="9"/>
    <n v="4500"/>
  </r>
  <r>
    <s v="PO-1963"/>
    <x v="12"/>
    <s v="Raw Material"/>
    <n v="390"/>
    <d v="2026-04-01T00:00:00"/>
    <d v="2026-04-10T00:00:00"/>
    <d v="2026-04-08T00:00:00"/>
    <n v="394"/>
    <s v="RM-260"/>
    <n v="8"/>
    <s v="Delivered"/>
    <s v="Y"/>
    <s v="Y"/>
    <s v="Y"/>
    <n v="7"/>
    <n v="1.0102564102564102"/>
    <n v="2.030456852791878E-2"/>
    <n v="1"/>
    <n v="0"/>
    <n v="0"/>
  </r>
  <r>
    <s v="PO-1875"/>
    <x v="2"/>
    <s v="Raw Material"/>
    <n v="845"/>
    <d v="2026-06-03T00:00:00"/>
    <d v="2026-06-11T00:00:00"/>
    <d v="2026-06-09T00:00:00"/>
    <n v="859"/>
    <s v="RM-167"/>
    <n v="4"/>
    <s v="Delivered"/>
    <s v="Y"/>
    <s v="Y"/>
    <s v="Y"/>
    <n v="6"/>
    <n v="1.016568047337278"/>
    <n v="4.6565774155995342E-3"/>
    <n v="1"/>
    <n v="0"/>
    <n v="0"/>
  </r>
  <r>
    <s v="PO-1735"/>
    <x v="6"/>
    <s v="Raw Material"/>
    <n v="466"/>
    <d v="2026-05-06T00:00:00"/>
    <d v="2026-05-19T00:00:00"/>
    <d v="2026-05-18T00:00:00"/>
    <n v="474"/>
    <s v="RM-153"/>
    <n v="28"/>
    <s v="Delivered"/>
    <s v="Y"/>
    <s v="Y"/>
    <s v="Y"/>
    <n v="12"/>
    <n v="1.0171673819742488"/>
    <n v="5.9071729957805907E-2"/>
    <n v="1"/>
    <n v="0"/>
    <n v="0"/>
  </r>
  <r>
    <s v="PO-1782"/>
    <x v="18"/>
    <s v="Packaging"/>
    <n v="615"/>
    <d v="2026-05-27T00:00:00"/>
    <d v="2026-06-02T00:00:00"/>
    <d v="2026-06-02T00:00:00"/>
    <n v="548"/>
    <s v="PK-113"/>
    <n v="10"/>
    <s v="Delivered"/>
    <s v="Y"/>
    <s v="N"/>
    <s v="N"/>
    <n v="6"/>
    <n v="0.89105691056910574"/>
    <n v="1.824817518248175E-2"/>
    <n v="0"/>
    <n v="0"/>
    <n v="0"/>
  </r>
  <r>
    <s v="PO-1490"/>
    <x v="15"/>
    <s v="Raw Material"/>
    <n v="209"/>
    <d v="2026-02-25T00:00:00"/>
    <d v="2026-03-08T00:00:00"/>
    <d v="2026-03-08T00:00:00"/>
    <n v="213"/>
    <s v="RM-172"/>
    <n v="4"/>
    <s v="Delivered"/>
    <s v="Y"/>
    <s v="Y"/>
    <s v="Y"/>
    <n v="11"/>
    <n v="1.0191387559808613"/>
    <n v="1.8779342723004695E-2"/>
    <n v="1"/>
    <n v="0"/>
    <n v="0"/>
  </r>
  <r>
    <s v="PO-1848"/>
    <x v="10"/>
    <s v="Packaging"/>
    <n v="329"/>
    <d v="2026-03-07T00:00:00"/>
    <d v="2026-03-14T00:00:00"/>
    <d v="2026-03-13T00:00:00"/>
    <n v="333"/>
    <s v="PK-204"/>
    <n v="20"/>
    <s v="Delivered"/>
    <s v="Y"/>
    <s v="Y"/>
    <s v="Y"/>
    <n v="6"/>
    <n v="1.0121580547112461"/>
    <n v="6.006006006006006E-2"/>
    <n v="1"/>
    <n v="0"/>
    <n v="0"/>
  </r>
  <r>
    <s v="PO-1605"/>
    <x v="17"/>
    <s v="Packaging"/>
    <n v="328"/>
    <d v="2026-02-04T00:00:00"/>
    <d v="2026-02-10T00:00:00"/>
    <d v="2026-02-07T00:00:00"/>
    <n v="331"/>
    <s v="PK-145"/>
    <n v="8"/>
    <s v="Delivered"/>
    <s v="Y"/>
    <s v="Y"/>
    <s v="Y"/>
    <n v="3"/>
    <n v="1.0091463414634145"/>
    <n v="2.4169184290030211E-2"/>
    <n v="1"/>
    <n v="0"/>
    <n v="0"/>
  </r>
  <r>
    <s v="PO-1363"/>
    <x v="15"/>
    <s v="Packaging"/>
    <n v="135"/>
    <d v="2026-05-18T00:00:00"/>
    <d v="2026-05-31T00:00:00"/>
    <d v="2026-06-08T00:00:00"/>
    <n v="137"/>
    <s v="PK-145"/>
    <n v="4"/>
    <s v="Delivered"/>
    <s v="N"/>
    <s v="Y"/>
    <s v="N"/>
    <n v="21"/>
    <n v="1.0148148148148148"/>
    <n v="2.9197080291970802E-2"/>
    <n v="0"/>
    <n v="8"/>
    <n v="4000"/>
  </r>
  <r>
    <s v="PO-1069"/>
    <x v="4"/>
    <s v="Packaging"/>
    <n v="884"/>
    <d v="2026-03-09T00:00:00"/>
    <d v="2026-03-19T00:00:00"/>
    <d v="2026-03-18T00:00:00"/>
    <n v="885"/>
    <s v="PK-241"/>
    <n v="2"/>
    <s v="Delivered"/>
    <s v="Y"/>
    <s v="Y"/>
    <s v="Y"/>
    <n v="9"/>
    <n v="1.001131221719457"/>
    <n v="2.2598870056497176E-3"/>
    <n v="1"/>
    <n v="0"/>
    <n v="0"/>
  </r>
  <r>
    <s v="PO-1548"/>
    <x v="1"/>
    <s v="Raw Material"/>
    <n v="514"/>
    <d v="2026-03-29T00:00:00"/>
    <d v="2026-04-05T00:00:00"/>
    <d v="2026-04-03T00:00:00"/>
    <n v="511"/>
    <s v="RM-260"/>
    <n v="8"/>
    <s v="Delivered"/>
    <s v="Y"/>
    <s v="Y"/>
    <s v="Y"/>
    <n v="5"/>
    <n v="0.99416342412451364"/>
    <n v="1.5655577299412915E-2"/>
    <n v="1"/>
    <n v="0"/>
    <n v="0"/>
  </r>
  <r>
    <s v="PO-1160"/>
    <x v="4"/>
    <s v="Raw Material"/>
    <n v="868"/>
    <d v="2026-01-19T00:00:00"/>
    <d v="2026-01-27T00:00:00"/>
    <d v="2026-01-26T00:00:00"/>
    <n v="766"/>
    <s v="RM-150"/>
    <n v="7"/>
    <s v="Delivered"/>
    <s v="Y"/>
    <s v="N"/>
    <s v="N"/>
    <n v="7"/>
    <n v="0.88248847926267282"/>
    <n v="9.138381201044387E-3"/>
    <n v="0"/>
    <n v="0"/>
    <n v="0"/>
  </r>
  <r>
    <s v="PO-1011"/>
    <x v="10"/>
    <s v="Packaging"/>
    <n v="689"/>
    <d v="2026-03-14T00:00:00"/>
    <d v="2026-03-22T00:00:00"/>
    <d v="2026-03-21T00:00:00"/>
    <n v="697"/>
    <s v="PK-123"/>
    <n v="10"/>
    <s v="Delivered"/>
    <s v="Y"/>
    <s v="Y"/>
    <s v="Y"/>
    <n v="7"/>
    <n v="1.011611030478955"/>
    <n v="1.4347202295552367E-2"/>
    <n v="1"/>
    <n v="0"/>
    <n v="0"/>
  </r>
  <r>
    <s v="PO-1144"/>
    <x v="15"/>
    <s v="Raw Material"/>
    <n v="907"/>
    <d v="2026-03-07T00:00:00"/>
    <d v="2026-03-17T00:00:00"/>
    <d v="2026-03-25T00:00:00"/>
    <n v="913"/>
    <s v="RM-140"/>
    <n v="2"/>
    <s v="Delivered"/>
    <s v="N"/>
    <s v="Y"/>
    <s v="N"/>
    <n v="18"/>
    <n v="1.0066152149944874"/>
    <n v="2.1905805038335158E-3"/>
    <n v="0"/>
    <n v="8"/>
    <n v="4000"/>
  </r>
  <r>
    <s v="PO-1517"/>
    <x v="6"/>
    <s v="Imported"/>
    <n v="778"/>
    <d v="2026-01-21T00:00:00"/>
    <d v="2026-02-03T00:00:00"/>
    <d v="2026-02-03T00:00:00"/>
    <n v="778"/>
    <s v="IM-291"/>
    <n v="52"/>
    <s v="Delivered"/>
    <s v="Y"/>
    <s v="Y"/>
    <s v="Y"/>
    <n v="13"/>
    <n v="1"/>
    <n v="6.6838046272493568E-2"/>
    <n v="1"/>
    <n v="0"/>
    <n v="0"/>
  </r>
  <r>
    <s v="PO-1427"/>
    <x v="15"/>
    <s v="Packaging"/>
    <n v="917"/>
    <d v="2026-06-01T00:00:00"/>
    <d v="2026-06-14T00:00:00"/>
    <d v="2026-06-16T00:00:00"/>
    <n v="924"/>
    <s v="PK-128"/>
    <n v="1"/>
    <s v="Delivered"/>
    <s v="N"/>
    <s v="Y"/>
    <s v="N"/>
    <n v="15"/>
    <n v="1.0076335877862594"/>
    <n v="1.0822510822510823E-3"/>
    <n v="0"/>
    <n v="2"/>
    <n v="1000"/>
  </r>
  <r>
    <s v="PO-1639"/>
    <x v="3"/>
    <s v="Raw Material"/>
    <n v="252"/>
    <d v="2026-05-14T00:00:00"/>
    <d v="2026-05-23T00:00:00"/>
    <d v="2026-05-31T00:00:00"/>
    <n v="233"/>
    <s v="RM-140"/>
    <n v="14"/>
    <s v="Delivered"/>
    <s v="N"/>
    <s v="N"/>
    <s v="N"/>
    <n v="17"/>
    <n v="0.92460317460317465"/>
    <n v="6.0085836909871244E-2"/>
    <n v="0"/>
    <n v="8"/>
    <n v="4000"/>
  </r>
  <r>
    <s v="PO-1176"/>
    <x v="3"/>
    <s v="Packaging"/>
    <n v="222"/>
    <d v="2026-06-03T00:00:00"/>
    <d v="2026-06-18T00:00:00"/>
    <d v="2026-06-15T00:00:00"/>
    <n v="197"/>
    <s v="PK-262"/>
    <n v="7"/>
    <s v="Delivered"/>
    <s v="Y"/>
    <s v="N"/>
    <s v="N"/>
    <n v="12"/>
    <n v="0.88738738738738743"/>
    <n v="3.553299492385787E-2"/>
    <n v="0"/>
    <n v="0"/>
    <n v="0"/>
  </r>
  <r>
    <s v="PO-1440"/>
    <x v="3"/>
    <s v="Raw Material"/>
    <n v="411"/>
    <d v="2026-05-12T00:00:00"/>
    <d v="2026-05-26T00:00:00"/>
    <d v="2026-06-01T00:00:00"/>
    <n v="408"/>
    <s v="RM-261"/>
    <n v="19"/>
    <s v="Delivered"/>
    <s v="N"/>
    <s v="Y"/>
    <s v="N"/>
    <n v="20"/>
    <n v="0.99270072992700731"/>
    <n v="4.6568627450980393E-2"/>
    <n v="0"/>
    <n v="6"/>
    <n v="3000"/>
  </r>
  <r>
    <s v="PO-1521"/>
    <x v="6"/>
    <s v="Packaging"/>
    <n v="626"/>
    <d v="2026-05-03T00:00:00"/>
    <d v="2026-05-17T00:00:00"/>
    <d v="2026-05-16T00:00:00"/>
    <n v="625"/>
    <s v="PK-137"/>
    <n v="25"/>
    <s v="Delivered"/>
    <s v="Y"/>
    <s v="Y"/>
    <s v="Y"/>
    <n v="13"/>
    <n v="0.99840255591054317"/>
    <n v="0.04"/>
    <n v="1"/>
    <n v="0"/>
    <n v="0"/>
  </r>
  <r>
    <s v="PO-1876"/>
    <x v="6"/>
    <s v="Raw Material"/>
    <n v="663"/>
    <d v="2026-05-26T00:00:00"/>
    <d v="2026-06-08T00:00:00"/>
    <d v="2026-06-08T00:00:00"/>
    <n v="655"/>
    <s v="RM-175"/>
    <n v="25"/>
    <s v="Delivered"/>
    <s v="Y"/>
    <s v="Y"/>
    <s v="Y"/>
    <n v="13"/>
    <n v="0.98793363499245856"/>
    <n v="3.8167938931297711E-2"/>
    <n v="1"/>
    <n v="0"/>
    <n v="0"/>
  </r>
  <r>
    <s v="PO-1948"/>
    <x v="7"/>
    <s v="Raw Material"/>
    <n v="963"/>
    <d v="2026-04-06T00:00:00"/>
    <d v="2026-04-19T00:00:00"/>
    <d v="2026-04-25T00:00:00"/>
    <n v="775"/>
    <s v="RM-120"/>
    <n v="13"/>
    <s v="Delivered"/>
    <s v="N"/>
    <s v="N"/>
    <s v="N"/>
    <n v="19"/>
    <n v="0.80477673935617866"/>
    <n v="1.6774193548387096E-2"/>
    <n v="0"/>
    <n v="6"/>
    <n v="3000"/>
  </r>
  <r>
    <s v="PO-1688"/>
    <x v="18"/>
    <s v="Imported"/>
    <n v="628"/>
    <d v="2026-03-12T00:00:00"/>
    <d v="2026-03-23T00:00:00"/>
    <d v="2026-03-21T00:00:00"/>
    <n v="547"/>
    <s v="IM-170"/>
    <n v="26"/>
    <s v="Delivered"/>
    <s v="Y"/>
    <s v="N"/>
    <s v="N"/>
    <n v="9"/>
    <n v="0.87101910828025475"/>
    <n v="4.7531992687385741E-2"/>
    <n v="0"/>
    <n v="0"/>
    <n v="0"/>
  </r>
  <r>
    <s v="PO-1231"/>
    <x v="7"/>
    <s v="Raw Material"/>
    <n v="838"/>
    <d v="2026-05-08T00:00:00"/>
    <d v="2026-05-13T00:00:00"/>
    <d v="2026-05-12T00:00:00"/>
    <n v="850"/>
    <s v="RM-247"/>
    <n v="12"/>
    <s v="Delivered"/>
    <s v="Y"/>
    <s v="Y"/>
    <s v="Y"/>
    <n v="4"/>
    <n v="1.0143198090692125"/>
    <n v="1.411764705882353E-2"/>
    <n v="1"/>
    <n v="0"/>
    <n v="0"/>
  </r>
  <r>
    <s v="PO-1210"/>
    <x v="16"/>
    <s v="Raw Material"/>
    <n v="153"/>
    <d v="2026-02-22T00:00:00"/>
    <d v="2026-03-03T00:00:00"/>
    <d v="2026-03-03T00:00:00"/>
    <n v="124"/>
    <s v="RM-163"/>
    <n v="2"/>
    <s v="Delivered"/>
    <s v="Y"/>
    <s v="N"/>
    <s v="N"/>
    <n v="9"/>
    <n v="0.81045751633986929"/>
    <n v="1.6129032258064516E-2"/>
    <n v="0"/>
    <n v="0"/>
    <n v="0"/>
  </r>
  <r>
    <s v="PO-1640"/>
    <x v="19"/>
    <s v="Imported"/>
    <n v="378"/>
    <d v="2026-03-05T00:00:00"/>
    <d v="2026-03-19T00:00:00"/>
    <d v="2026-03-16T00:00:00"/>
    <n v="376"/>
    <s v="IM-242"/>
    <n v="7"/>
    <s v="Delivered"/>
    <s v="Y"/>
    <s v="Y"/>
    <s v="Y"/>
    <n v="11"/>
    <n v="0.99470899470899465"/>
    <n v="1.8617021276595744E-2"/>
    <n v="1"/>
    <n v="0"/>
    <n v="0"/>
  </r>
  <r>
    <s v="PO-1143"/>
    <x v="4"/>
    <s v="Raw Material"/>
    <n v="831"/>
    <d v="2026-01-12T00:00:00"/>
    <d v="2026-01-20T00:00:00"/>
    <d v="2026-01-18T00:00:00"/>
    <n v="802"/>
    <s v="RM-125"/>
    <n v="5"/>
    <s v="Delivered"/>
    <s v="Y"/>
    <s v="N"/>
    <s v="N"/>
    <n v="6"/>
    <n v="0.96510228640192541"/>
    <n v="6.2344139650872821E-3"/>
    <n v="0"/>
    <n v="0"/>
    <n v="0"/>
  </r>
  <r>
    <s v="PO-1753"/>
    <x v="17"/>
    <s v="Packaging"/>
    <n v="741"/>
    <d v="2026-03-28T00:00:00"/>
    <d v="2026-04-03T00:00:00"/>
    <d v="2026-04-03T00:00:00"/>
    <n v="736"/>
    <s v="PK-156"/>
    <n v="14"/>
    <s v="Delivered"/>
    <s v="Y"/>
    <s v="Y"/>
    <s v="Y"/>
    <n v="6"/>
    <n v="0.99325236167341435"/>
    <n v="1.9021739130434784E-2"/>
    <n v="1"/>
    <n v="0"/>
    <n v="0"/>
  </r>
  <r>
    <s v="PO-1519"/>
    <x v="12"/>
    <s v="Packaging"/>
    <n v="290"/>
    <d v="2026-03-03T00:00:00"/>
    <d v="2026-03-13T00:00:00"/>
    <d v="2026-03-10T00:00:00"/>
    <n v="279"/>
    <s v="PK-281"/>
    <n v="2"/>
    <s v="Delivered"/>
    <s v="Y"/>
    <s v="N"/>
    <s v="N"/>
    <n v="7"/>
    <n v="0.96206896551724141"/>
    <n v="7.1684587813620072E-3"/>
    <n v="0"/>
    <n v="0"/>
    <n v="0"/>
  </r>
  <r>
    <s v="PO-1954"/>
    <x v="6"/>
    <s v="Raw Material"/>
    <n v="86"/>
    <d v="2026-04-25T00:00:00"/>
    <d v="2026-05-03T00:00:00"/>
    <d v="2026-05-02T00:00:00"/>
    <n v="78"/>
    <s v="RM-119"/>
    <n v="2"/>
    <s v="Delivered"/>
    <s v="Y"/>
    <s v="N"/>
    <s v="N"/>
    <n v="7"/>
    <n v="0.90697674418604646"/>
    <n v="2.564102564102564E-2"/>
    <n v="0"/>
    <n v="0"/>
    <n v="0"/>
  </r>
  <r>
    <s v="PO-1298"/>
    <x v="15"/>
    <s v="Raw Material"/>
    <n v="965"/>
    <d v="2026-02-28T00:00:00"/>
    <d v="2026-03-10T00:00:00"/>
    <d v="2026-03-16T00:00:00"/>
    <n v="976"/>
    <s v="RM-118"/>
    <n v="23"/>
    <s v="Delivered"/>
    <s v="N"/>
    <s v="Y"/>
    <s v="N"/>
    <n v="16"/>
    <n v="1.01139896373057"/>
    <n v="2.3565573770491802E-2"/>
    <n v="0"/>
    <n v="6"/>
    <n v="3000"/>
  </r>
  <r>
    <s v="PO-1766"/>
    <x v="12"/>
    <s v="Imported"/>
    <n v="430"/>
    <d v="2026-03-10T00:00:00"/>
    <d v="2026-03-15T00:00:00"/>
    <d v="2026-03-14T00:00:00"/>
    <n v="405"/>
    <s v="IM-127"/>
    <n v="7"/>
    <s v="Delivered"/>
    <s v="Y"/>
    <s v="N"/>
    <s v="N"/>
    <n v="4"/>
    <n v="0.94186046511627908"/>
    <n v="1.7283950617283949E-2"/>
    <n v="0"/>
    <n v="0"/>
    <n v="0"/>
  </r>
  <r>
    <s v="PO-1428"/>
    <x v="8"/>
    <s v="Packaging"/>
    <n v="909"/>
    <d v="2026-02-07T00:00:00"/>
    <d v="2026-02-22T00:00:00"/>
    <d v="2026-02-22T00:00:00"/>
    <n v="923"/>
    <s v="PK-118"/>
    <n v="27"/>
    <s v="Delivered"/>
    <s v="Y"/>
    <s v="Y"/>
    <s v="Y"/>
    <n v="15"/>
    <n v="1.0154015401540153"/>
    <n v="2.9252437703141929E-2"/>
    <n v="1"/>
    <n v="0"/>
    <n v="0"/>
  </r>
  <r>
    <s v="PO-1612"/>
    <x v="5"/>
    <s v="Packaging"/>
    <n v="322"/>
    <d v="2026-01-20T00:00:00"/>
    <d v="2026-02-04T00:00:00"/>
    <d v="2026-02-13T00:00:00"/>
    <n v="326"/>
    <s v="PK-127"/>
    <n v="2"/>
    <s v="Delivered"/>
    <s v="N"/>
    <s v="Y"/>
    <s v="N"/>
    <n v="24"/>
    <n v="1.0124223602484472"/>
    <n v="6.1349693251533744E-3"/>
    <n v="0"/>
    <n v="9"/>
    <n v="4500"/>
  </r>
  <r>
    <s v="PO-1934"/>
    <x v="9"/>
    <s v="Raw Material"/>
    <n v="930"/>
    <d v="2026-05-12T00:00:00"/>
    <d v="2026-05-19T00:00:00"/>
    <d v="2026-05-18T00:00:00"/>
    <n v="925"/>
    <s v="RM-206"/>
    <n v="25"/>
    <s v="Delivered"/>
    <s v="Y"/>
    <s v="Y"/>
    <s v="Y"/>
    <n v="6"/>
    <n v="0.9946236559139785"/>
    <n v="2.7027027027027029E-2"/>
    <n v="1"/>
    <n v="0"/>
    <n v="0"/>
  </r>
  <r>
    <s v="PO-1943"/>
    <x v="18"/>
    <s v="Imported"/>
    <n v="447"/>
    <d v="2026-02-06T00:00:00"/>
    <d v="2026-02-15T00:00:00"/>
    <d v="2026-02-12T00:00:00"/>
    <n v="451"/>
    <s v="IM-299"/>
    <n v="21"/>
    <s v="Delivered"/>
    <s v="Y"/>
    <s v="Y"/>
    <s v="Y"/>
    <n v="6"/>
    <n v="1.0089485458612975"/>
    <n v="4.6563192904656318E-2"/>
    <n v="1"/>
    <n v="0"/>
    <n v="0"/>
  </r>
  <r>
    <s v="PO-1008"/>
    <x v="16"/>
    <s v="Raw Material"/>
    <n v="751"/>
    <d v="2026-03-04T00:00:00"/>
    <d v="2026-03-14T00:00:00"/>
    <d v="2026-03-11T00:00:00"/>
    <n v="609"/>
    <s v="RM-251"/>
    <n v="3"/>
    <s v="Delivered"/>
    <s v="Y"/>
    <s v="N"/>
    <s v="N"/>
    <n v="7"/>
    <n v="0.81091877496671105"/>
    <n v="4.9261083743842365E-3"/>
    <n v="0"/>
    <n v="0"/>
    <n v="0"/>
  </r>
  <r>
    <s v="PO-1156"/>
    <x v="11"/>
    <s v="Raw Material"/>
    <n v="734"/>
    <d v="2026-04-03T00:00:00"/>
    <d v="2026-04-12T00:00:00"/>
    <d v="2026-04-10T00:00:00"/>
    <n v="740"/>
    <s v="RM-153"/>
    <n v="5"/>
    <s v="Delivered"/>
    <s v="Y"/>
    <s v="Y"/>
    <s v="Y"/>
    <n v="7"/>
    <n v="1.0081743869209809"/>
    <n v="6.7567567567567571E-3"/>
    <n v="1"/>
    <n v="0"/>
    <n v="0"/>
  </r>
  <r>
    <s v="PO-1539"/>
    <x v="10"/>
    <s v="Packaging"/>
    <n v="346"/>
    <d v="2026-06-02T00:00:00"/>
    <d v="2026-06-15T00:00:00"/>
    <d v="2026-06-13T00:00:00"/>
    <n v="345"/>
    <s v="PK-171"/>
    <n v="32"/>
    <s v="Delivered"/>
    <s v="Y"/>
    <s v="Y"/>
    <s v="Y"/>
    <n v="11"/>
    <n v="0.99710982658959535"/>
    <n v="9.2753623188405798E-2"/>
    <n v="1"/>
    <n v="0"/>
    <n v="0"/>
  </r>
  <r>
    <s v="PO-1506"/>
    <x v="2"/>
    <s v="Raw Material"/>
    <n v="527"/>
    <d v="2026-03-14T00:00:00"/>
    <d v="2026-03-22T00:00:00"/>
    <d v="2026-03-19T00:00:00"/>
    <n v="527"/>
    <s v="RM-168"/>
    <n v="26"/>
    <s v="Delivered"/>
    <s v="Y"/>
    <s v="Y"/>
    <s v="Y"/>
    <n v="5"/>
    <n v="1"/>
    <n v="4.9335863377609111E-2"/>
    <n v="1"/>
    <n v="0"/>
    <n v="0"/>
  </r>
  <r>
    <s v="PO-1436"/>
    <x v="17"/>
    <s v="Raw Material"/>
    <n v="523"/>
    <d v="2026-04-10T00:00:00"/>
    <d v="2026-04-24T00:00:00"/>
    <d v="2026-04-21T00:00:00"/>
    <n v="528"/>
    <s v="RM-124"/>
    <n v="5"/>
    <s v="Delivered"/>
    <s v="Y"/>
    <s v="Y"/>
    <s v="Y"/>
    <n v="11"/>
    <n v="1.0095602294455066"/>
    <n v="9.46969696969697E-3"/>
    <n v="1"/>
    <n v="0"/>
    <n v="0"/>
  </r>
  <r>
    <s v="PO-1266"/>
    <x v="4"/>
    <s v="Packaging"/>
    <n v="766"/>
    <d v="2026-03-27T00:00:00"/>
    <d v="2026-04-03T00:00:00"/>
    <d v="2026-04-03T00:00:00"/>
    <n v="765"/>
    <s v="PK-291"/>
    <n v="25"/>
    <s v="Delivered"/>
    <s v="Y"/>
    <s v="Y"/>
    <s v="Y"/>
    <n v="7"/>
    <n v="0.99869451697127942"/>
    <n v="3.2679738562091505E-2"/>
    <n v="1"/>
    <n v="0"/>
    <n v="0"/>
  </r>
  <r>
    <s v="PO-1461"/>
    <x v="14"/>
    <s v="Packaging"/>
    <n v="282"/>
    <d v="2026-02-03T00:00:00"/>
    <d v="2026-02-13T00:00:00"/>
    <d v="2026-02-13T00:00:00"/>
    <n v="285"/>
    <s v="PK-231"/>
    <n v="4"/>
    <s v="Delivered"/>
    <s v="Y"/>
    <s v="Y"/>
    <s v="Y"/>
    <n v="10"/>
    <n v="1.0106382978723405"/>
    <n v="1.4035087719298246E-2"/>
    <n v="1"/>
    <n v="0"/>
    <n v="0"/>
  </r>
  <r>
    <s v="PO-1576"/>
    <x v="15"/>
    <s v="Raw Material"/>
    <n v="275"/>
    <d v="2026-02-02T00:00:00"/>
    <d v="2026-02-15T00:00:00"/>
    <d v="2026-02-13T00:00:00"/>
    <n v="270"/>
    <s v="RM-295"/>
    <n v="5"/>
    <s v="Delivered"/>
    <s v="Y"/>
    <s v="Y"/>
    <s v="Y"/>
    <n v="11"/>
    <n v="0.98181818181818181"/>
    <n v="1.8518518518518517E-2"/>
    <n v="1"/>
    <n v="0"/>
    <n v="0"/>
  </r>
  <r>
    <s v="PO-1338"/>
    <x v="11"/>
    <s v="Packaging"/>
    <n v="628"/>
    <d v="2026-04-28T00:00:00"/>
    <d v="2026-05-13T00:00:00"/>
    <d v="2026-05-11T00:00:00"/>
    <n v="623"/>
    <s v="PK-267"/>
    <n v="4"/>
    <s v="Delivered"/>
    <s v="Y"/>
    <s v="Y"/>
    <s v="Y"/>
    <n v="13"/>
    <n v="0.9920382165605095"/>
    <n v="6.420545746388443E-3"/>
    <n v="1"/>
    <n v="0"/>
    <n v="0"/>
  </r>
  <r>
    <s v="PO-1255"/>
    <x v="15"/>
    <s v="Imported"/>
    <n v="866"/>
    <d v="2026-02-20T00:00:00"/>
    <d v="2026-02-28T00:00:00"/>
    <d v="2026-03-02T00:00:00"/>
    <n v="860"/>
    <s v="IM-292"/>
    <n v="2"/>
    <s v="Delivered"/>
    <s v="N"/>
    <s v="Y"/>
    <s v="N"/>
    <n v="10"/>
    <n v="0.99307159353348728"/>
    <n v="2.3255813953488372E-3"/>
    <n v="0"/>
    <n v="2"/>
    <n v="1000"/>
  </r>
  <r>
    <s v="PO-1808"/>
    <x v="15"/>
    <s v="Raw Material"/>
    <n v="191"/>
    <d v="2026-02-04T00:00:00"/>
    <d v="2026-02-17T00:00:00"/>
    <d v="2026-02-21T00:00:00"/>
    <n v="187"/>
    <s v="RM-179"/>
    <n v="4"/>
    <s v="Delivered"/>
    <s v="N"/>
    <s v="N"/>
    <s v="N"/>
    <n v="17"/>
    <n v="0.97905759162303663"/>
    <n v="2.1390374331550801E-2"/>
    <n v="0"/>
    <n v="4"/>
    <n v="2000"/>
  </r>
  <r>
    <s v="PO-1968"/>
    <x v="0"/>
    <s v="Raw Material"/>
    <n v="430"/>
    <d v="2026-03-31T00:00:00"/>
    <d v="2026-04-09T00:00:00"/>
    <m/>
    <m/>
    <s v="RM-278"/>
    <n v="1"/>
    <s v="Pending"/>
    <s v="N/A"/>
    <s v="N/A"/>
    <s v="N/A"/>
    <s v="N/A"/>
    <s v="N/A"/>
    <s v="N/A"/>
    <s v=""/>
    <s v="N/A"/>
    <n v="0"/>
  </r>
  <r>
    <s v="PO-1665"/>
    <x v="3"/>
    <s v="Raw Material"/>
    <n v="597"/>
    <d v="2026-02-16T00:00:00"/>
    <d v="2026-02-22T00:00:00"/>
    <d v="2026-02-21T00:00:00"/>
    <n v="599"/>
    <s v="RM-180"/>
    <n v="18"/>
    <s v="Delivered"/>
    <s v="Y"/>
    <s v="Y"/>
    <s v="Y"/>
    <n v="5"/>
    <n v="1.0033500837520939"/>
    <n v="3.0050083472454091E-2"/>
    <n v="1"/>
    <n v="0"/>
    <n v="0"/>
  </r>
  <r>
    <s v="PO-1560"/>
    <x v="13"/>
    <s v="Raw Material"/>
    <n v="737"/>
    <d v="2026-01-13T00:00:00"/>
    <d v="2026-01-22T00:00:00"/>
    <d v="2026-01-20T00:00:00"/>
    <n v="630"/>
    <s v="RM-200"/>
    <n v="39"/>
    <s v="Delivered"/>
    <s v="Y"/>
    <s v="N"/>
    <s v="N"/>
    <n v="7"/>
    <n v="0.85481682496607869"/>
    <n v="6.1904761904761907E-2"/>
    <n v="0"/>
    <n v="0"/>
    <n v="0"/>
  </r>
  <r>
    <s v="PO-1208"/>
    <x v="4"/>
    <s v="Raw Material"/>
    <n v="950"/>
    <d v="2026-02-20T00:00:00"/>
    <d v="2026-03-07T00:00:00"/>
    <d v="2026-03-07T00:00:00"/>
    <n v="851"/>
    <s v="RM-297"/>
    <n v="28"/>
    <s v="Delivered"/>
    <s v="Y"/>
    <s v="N"/>
    <s v="N"/>
    <n v="15"/>
    <n v="0.89578947368421058"/>
    <n v="3.2902467685076382E-2"/>
    <n v="0"/>
    <n v="0"/>
    <n v="0"/>
  </r>
  <r>
    <s v="PO-1287"/>
    <x v="19"/>
    <s v="Raw Material"/>
    <n v="96"/>
    <d v="2026-05-15T00:00:00"/>
    <d v="2026-05-25T00:00:00"/>
    <d v="2026-05-25T00:00:00"/>
    <n v="84"/>
    <s v="RM-252"/>
    <n v="4"/>
    <s v="Delivered"/>
    <s v="Y"/>
    <s v="N"/>
    <s v="N"/>
    <n v="10"/>
    <n v="0.875"/>
    <n v="4.7619047619047616E-2"/>
    <n v="0"/>
    <n v="0"/>
    <n v="0"/>
  </r>
  <r>
    <s v="PO-1001"/>
    <x v="12"/>
    <s v="Packaging"/>
    <n v="578"/>
    <d v="2026-03-08T00:00:00"/>
    <d v="2026-03-23T00:00:00"/>
    <d v="2026-03-22T00:00:00"/>
    <n v="580"/>
    <s v="PK-235"/>
    <n v="15"/>
    <s v="Delivered"/>
    <s v="Y"/>
    <s v="Y"/>
    <s v="Y"/>
    <n v="14"/>
    <n v="1.0034602076124568"/>
    <n v="2.5862068965517241E-2"/>
    <n v="1"/>
    <n v="0"/>
    <n v="0"/>
  </r>
  <r>
    <s v="PO-1341"/>
    <x v="18"/>
    <s v="Imported"/>
    <n v="391"/>
    <d v="2026-05-24T00:00:00"/>
    <d v="2026-06-08T00:00:00"/>
    <d v="2026-06-05T00:00:00"/>
    <n v="336"/>
    <s v="IM-228"/>
    <n v="18"/>
    <s v="Delivered"/>
    <s v="Y"/>
    <s v="N"/>
    <s v="N"/>
    <n v="12"/>
    <n v="0.85933503836317138"/>
    <n v="5.3571428571428568E-2"/>
    <n v="0"/>
    <n v="0"/>
    <n v="0"/>
  </r>
  <r>
    <s v="PO-1269"/>
    <x v="14"/>
    <s v="Imported"/>
    <n v="365"/>
    <d v="2026-02-08T00:00:00"/>
    <d v="2026-02-20T00:00:00"/>
    <d v="2026-02-19T00:00:00"/>
    <n v="361"/>
    <s v="IM-268"/>
    <n v="20"/>
    <s v="Delivered"/>
    <s v="Y"/>
    <s v="Y"/>
    <s v="Y"/>
    <n v="11"/>
    <n v="0.989041095890411"/>
    <n v="5.5401662049861494E-2"/>
    <n v="1"/>
    <n v="0"/>
    <n v="0"/>
  </r>
  <r>
    <s v="PO-1265"/>
    <x v="10"/>
    <s v="Imported"/>
    <n v="943"/>
    <d v="2026-02-21T00:00:00"/>
    <d v="2026-03-01T00:00:00"/>
    <d v="2026-02-28T00:00:00"/>
    <n v="935"/>
    <s v="IM-253"/>
    <n v="18"/>
    <s v="Delivered"/>
    <s v="Y"/>
    <s v="Y"/>
    <s v="Y"/>
    <n v="7"/>
    <n v="0.99151643690349944"/>
    <n v="1.9251336898395723E-2"/>
    <n v="1"/>
    <n v="0"/>
    <n v="0"/>
  </r>
  <r>
    <s v="PO-1818"/>
    <x v="15"/>
    <s v="Raw Material"/>
    <n v="460"/>
    <d v="2026-02-04T00:00:00"/>
    <d v="2026-02-15T00:00:00"/>
    <m/>
    <m/>
    <s v="RM-132"/>
    <m/>
    <s v="Pending"/>
    <s v="N/A"/>
    <s v="N/A"/>
    <s v="N/A"/>
    <s v="N/A"/>
    <s v="N/A"/>
    <s v="N/A"/>
    <s v=""/>
    <s v="N/A"/>
    <n v="0"/>
  </r>
  <r>
    <s v="PO-1825"/>
    <x v="18"/>
    <s v="Packaging"/>
    <n v="571"/>
    <d v="2026-02-23T00:00:00"/>
    <d v="2026-03-07T00:00:00"/>
    <d v="2026-03-05T00:00:00"/>
    <n v="577"/>
    <s v="PK-220"/>
    <n v="18"/>
    <s v="Delivered"/>
    <s v="Y"/>
    <s v="Y"/>
    <s v="Y"/>
    <n v="10"/>
    <n v="1.0105078809106831"/>
    <n v="3.1195840554592721E-2"/>
    <n v="1"/>
    <n v="0"/>
    <n v="0"/>
  </r>
  <r>
    <s v="PO-1095"/>
    <x v="19"/>
    <s v="Packaging"/>
    <n v="605"/>
    <d v="2026-04-29T00:00:00"/>
    <d v="2026-05-04T00:00:00"/>
    <d v="2026-05-02T00:00:00"/>
    <n v="599"/>
    <s v="PK-213"/>
    <n v="5"/>
    <s v="Delivered"/>
    <s v="Y"/>
    <s v="Y"/>
    <s v="Y"/>
    <n v="3"/>
    <n v="0.99008264462809914"/>
    <n v="8.3472454090150246E-3"/>
    <n v="1"/>
    <n v="0"/>
    <n v="0"/>
  </r>
  <r>
    <s v="PO-1976"/>
    <x v="6"/>
    <s v="Packaging"/>
    <n v="482"/>
    <d v="2026-05-22T00:00:00"/>
    <d v="2026-05-29T00:00:00"/>
    <d v="2026-05-28T00:00:00"/>
    <n v="474"/>
    <s v="PK-250"/>
    <n v="31"/>
    <s v="Delivered"/>
    <s v="Y"/>
    <s v="Y"/>
    <s v="Y"/>
    <n v="6"/>
    <n v="0.98340248962655596"/>
    <n v="6.5400843881856546E-2"/>
    <n v="1"/>
    <n v="0"/>
    <n v="0"/>
  </r>
  <r>
    <s v="PO-1042"/>
    <x v="7"/>
    <s v="Imported"/>
    <n v="331"/>
    <d v="2026-02-09T00:00:00"/>
    <d v="2026-02-19T00:00:00"/>
    <d v="2026-02-25T00:00:00"/>
    <n v="328"/>
    <s v="IM-231"/>
    <n v="7"/>
    <s v="Delivered"/>
    <s v="N"/>
    <s v="Y"/>
    <s v="N"/>
    <n v="16"/>
    <n v="0.99093655589123864"/>
    <n v="2.1341463414634148E-2"/>
    <n v="0"/>
    <n v="6"/>
    <n v="3000"/>
  </r>
  <r>
    <s v="PO-1807"/>
    <x v="19"/>
    <s v="Packaging"/>
    <n v="412"/>
    <d v="2026-05-26T00:00:00"/>
    <d v="2026-05-31T00:00:00"/>
    <d v="2026-05-31T00:00:00"/>
    <n v="414"/>
    <s v="PK-222"/>
    <n v="8"/>
    <s v="Delivered"/>
    <s v="Y"/>
    <s v="Y"/>
    <s v="Y"/>
    <n v="5"/>
    <n v="1.0048543689320388"/>
    <n v="1.932367149758454E-2"/>
    <n v="1"/>
    <n v="0"/>
    <n v="0"/>
  </r>
  <r>
    <s v="PO-1838"/>
    <x v="16"/>
    <s v="Packaging"/>
    <n v="571"/>
    <d v="2026-01-29T00:00:00"/>
    <d v="2026-02-06T00:00:00"/>
    <d v="2026-02-07T00:00:00"/>
    <n v="500"/>
    <s v="PK-268"/>
    <n v="7"/>
    <s v="Delivered"/>
    <s v="N"/>
    <s v="N"/>
    <s v="N"/>
    <n v="9"/>
    <n v="0.87565674255691772"/>
    <n v="1.4E-2"/>
    <n v="0"/>
    <n v="1"/>
    <n v="500"/>
  </r>
  <r>
    <s v="PO-1628"/>
    <x v="2"/>
    <s v="Packaging"/>
    <n v="795"/>
    <d v="2026-02-22T00:00:00"/>
    <d v="2026-03-08T00:00:00"/>
    <d v="2026-03-06T00:00:00"/>
    <n v="808"/>
    <s v="PK-285"/>
    <n v="7"/>
    <s v="Delivered"/>
    <s v="Y"/>
    <s v="Y"/>
    <s v="Y"/>
    <n v="12"/>
    <n v="1.0163522012578616"/>
    <n v="8.6633663366336641E-3"/>
    <n v="1"/>
    <n v="0"/>
    <n v="0"/>
  </r>
  <r>
    <s v="PO-1045"/>
    <x v="8"/>
    <s v="Packaging"/>
    <n v="384"/>
    <d v="2026-05-30T00:00:00"/>
    <d v="2026-06-12T00:00:00"/>
    <d v="2026-06-11T00:00:00"/>
    <n v="387"/>
    <s v="PK-119"/>
    <n v="14"/>
    <s v="Delivered"/>
    <s v="Y"/>
    <s v="Y"/>
    <s v="Y"/>
    <n v="12"/>
    <n v="1.0078125"/>
    <n v="3.6175710594315243E-2"/>
    <n v="1"/>
    <n v="0"/>
    <n v="0"/>
  </r>
  <r>
    <s v="PO-1161"/>
    <x v="17"/>
    <s v="Packaging"/>
    <n v="223"/>
    <d v="2026-02-08T00:00:00"/>
    <d v="2026-02-20T00:00:00"/>
    <d v="2026-02-22T00:00:00"/>
    <n v="227"/>
    <s v="PK-256"/>
    <n v="7"/>
    <s v="Delivered"/>
    <s v="N"/>
    <s v="Y"/>
    <s v="N"/>
    <n v="14"/>
    <n v="1.0179372197309418"/>
    <n v="3.0837004405286344E-2"/>
    <n v="0"/>
    <n v="2"/>
    <n v="1000"/>
  </r>
  <r>
    <s v="PO-1727"/>
    <x v="5"/>
    <s v="Imported"/>
    <n v="520"/>
    <d v="2026-05-21T00:00:00"/>
    <d v="2026-05-28T00:00:00"/>
    <d v="2026-05-26T00:00:00"/>
    <n v="516"/>
    <s v="IM-184"/>
    <n v="1"/>
    <s v="Delivered"/>
    <s v="Y"/>
    <s v="Y"/>
    <s v="Y"/>
    <n v="5"/>
    <n v="0.99230769230769234"/>
    <n v="1.937984496124031E-3"/>
    <n v="1"/>
    <n v="0"/>
    <n v="0"/>
  </r>
  <r>
    <s v="PO-1629"/>
    <x v="8"/>
    <s v="Raw Material"/>
    <n v="772"/>
    <d v="2026-02-17T00:00:00"/>
    <d v="2026-02-27T00:00:00"/>
    <d v="2026-03-01T00:00:00"/>
    <n v="762"/>
    <s v="RM-145"/>
    <n v="46"/>
    <s v="Delivered"/>
    <s v="N"/>
    <s v="Y"/>
    <s v="N"/>
    <n v="12"/>
    <n v="0.98704663212435229"/>
    <n v="6.0367454068241469E-2"/>
    <n v="0"/>
    <n v="2"/>
    <n v="1000"/>
  </r>
  <r>
    <s v="PO-1288"/>
    <x v="2"/>
    <s v="Packaging"/>
    <n v="183"/>
    <d v="2026-01-20T00:00:00"/>
    <d v="2026-01-25T00:00:00"/>
    <d v="2026-01-31T00:00:00"/>
    <n v="170"/>
    <s v="PK-218"/>
    <n v="8"/>
    <s v="Delivered"/>
    <s v="N"/>
    <s v="N"/>
    <s v="N"/>
    <n v="11"/>
    <n v="0.92896174863387981"/>
    <n v="4.7058823529411764E-2"/>
    <n v="0"/>
    <n v="6"/>
    <n v="3000"/>
  </r>
  <r>
    <s v="PO-1589"/>
    <x v="13"/>
    <s v="Packaging"/>
    <n v="92"/>
    <d v="2026-04-17T00:00:00"/>
    <d v="2026-04-28T00:00:00"/>
    <m/>
    <m/>
    <s v="PK-183"/>
    <m/>
    <s v="Pending"/>
    <s v="N/A"/>
    <s v="N/A"/>
    <s v="N/A"/>
    <s v="N/A"/>
    <s v="N/A"/>
    <s v="N/A"/>
    <s v=""/>
    <s v="N/A"/>
    <n v="0"/>
  </r>
  <r>
    <s v="PO-1899"/>
    <x v="2"/>
    <s v="Imported"/>
    <n v="422"/>
    <d v="2026-04-29T00:00:00"/>
    <d v="2026-05-06T00:00:00"/>
    <d v="2026-05-04T00:00:00"/>
    <n v="428"/>
    <s v="IM-258"/>
    <n v="23"/>
    <s v="Delivered"/>
    <s v="Y"/>
    <s v="Y"/>
    <s v="Y"/>
    <n v="5"/>
    <n v="1.014218009478673"/>
    <n v="5.3738317757009345E-2"/>
    <n v="1"/>
    <n v="0"/>
    <n v="0"/>
  </r>
  <r>
    <s v="PO-1977"/>
    <x v="1"/>
    <s v="Packaging"/>
    <n v="191"/>
    <d v="2026-03-07T00:00:00"/>
    <d v="2026-03-18T00:00:00"/>
    <d v="2026-03-16T00:00:00"/>
    <n v="189"/>
    <s v="PK-265"/>
    <n v="3"/>
    <s v="Delivered"/>
    <s v="Y"/>
    <s v="Y"/>
    <s v="Y"/>
    <n v="9"/>
    <n v="0.98952879581151831"/>
    <n v="1.5873015873015872E-2"/>
    <n v="1"/>
    <n v="0"/>
    <n v="0"/>
  </r>
  <r>
    <s v="PO-1575"/>
    <x v="8"/>
    <s v="Packaging"/>
    <n v="842"/>
    <d v="2026-05-01T00:00:00"/>
    <d v="2026-05-11T00:00:00"/>
    <d v="2026-05-18T00:00:00"/>
    <n v="831"/>
    <s v="PK-168"/>
    <n v="79"/>
    <s v="Delivered"/>
    <s v="N"/>
    <s v="Y"/>
    <s v="N"/>
    <n v="17"/>
    <n v="0.98693586698337288"/>
    <n v="9.5066185318892896E-2"/>
    <n v="0"/>
    <n v="7"/>
    <n v="3500"/>
  </r>
  <r>
    <s v="PO-1315"/>
    <x v="16"/>
    <s v="Raw Material"/>
    <n v="183"/>
    <d v="2026-04-02T00:00:00"/>
    <d v="2026-04-08T00:00:00"/>
    <d v="2026-04-15T00:00:00"/>
    <n v="186"/>
    <s v="RM-226"/>
    <n v="2"/>
    <s v="Delivered"/>
    <s v="N"/>
    <s v="Y"/>
    <s v="N"/>
    <n v="13"/>
    <n v="1.0163934426229508"/>
    <n v="1.0752688172043012E-2"/>
    <n v="0"/>
    <n v="7"/>
    <n v="3500"/>
  </r>
  <r>
    <s v="PO-1896"/>
    <x v="9"/>
    <s v="Raw Material"/>
    <n v="822"/>
    <d v="2026-05-28T00:00:00"/>
    <d v="2026-06-04T00:00:00"/>
    <d v="2026-06-03T00:00:00"/>
    <n v="820"/>
    <s v="RM-234"/>
    <n v="1"/>
    <s v="Delivered"/>
    <s v="Y"/>
    <s v="Y"/>
    <s v="Y"/>
    <n v="6"/>
    <n v="0.9975669099756691"/>
    <n v="1.2195121951219512E-3"/>
    <n v="1"/>
    <n v="0"/>
    <n v="0"/>
  </r>
  <r>
    <s v="PO-1230"/>
    <x v="13"/>
    <s v="Packaging"/>
    <n v="368"/>
    <d v="2026-04-05T00:00:00"/>
    <d v="2026-04-12T00:00:00"/>
    <d v="2026-04-14T00:00:00"/>
    <n v="337"/>
    <s v="PK-114"/>
    <n v="2"/>
    <s v="Delivered"/>
    <s v="N"/>
    <s v="N"/>
    <s v="N"/>
    <n v="9"/>
    <n v="0.91576086956521741"/>
    <n v="5.9347181008902079E-3"/>
    <n v="0"/>
    <n v="2"/>
    <n v="1000"/>
  </r>
  <r>
    <s v="PO-1809"/>
    <x v="18"/>
    <s v="Raw Material"/>
    <n v="327"/>
    <d v="2026-04-01T00:00:00"/>
    <d v="2026-04-06T00:00:00"/>
    <d v="2026-04-05T00:00:00"/>
    <n v="333"/>
    <s v="RM-151"/>
    <n v="18"/>
    <s v="Delivered"/>
    <s v="Y"/>
    <s v="Y"/>
    <s v="Y"/>
    <n v="4"/>
    <n v="1.0183486238532109"/>
    <n v="5.4054054054054057E-2"/>
    <n v="1"/>
    <n v="0"/>
    <n v="0"/>
  </r>
  <r>
    <s v="PO-1698"/>
    <x v="0"/>
    <s v="Packaging"/>
    <n v="673"/>
    <d v="2026-01-23T00:00:00"/>
    <d v="2026-01-30T00:00:00"/>
    <d v="2026-01-30T00:00:00"/>
    <n v="561"/>
    <s v="PK-139"/>
    <n v="12"/>
    <s v="Delivered"/>
    <s v="Y"/>
    <s v="N"/>
    <s v="N"/>
    <n v="7"/>
    <n v="0.83358098068350672"/>
    <n v="2.1390374331550801E-2"/>
    <n v="0"/>
    <n v="0"/>
    <n v="0"/>
  </r>
  <r>
    <s v="PO-1831"/>
    <x v="9"/>
    <s v="Raw Material"/>
    <n v="819"/>
    <d v="2026-03-12T00:00:00"/>
    <d v="2026-03-23T00:00:00"/>
    <d v="2026-03-23T00:00:00"/>
    <n v="819"/>
    <s v="RM-230"/>
    <n v="16"/>
    <s v="Delivered"/>
    <s v="Y"/>
    <s v="Y"/>
    <s v="Y"/>
    <n v="11"/>
    <n v="1"/>
    <n v="1.9536019536019536E-2"/>
    <n v="1"/>
    <n v="0"/>
    <n v="0"/>
  </r>
  <r>
    <s v="PO-1711"/>
    <x v="13"/>
    <s v="Raw Material"/>
    <n v="256"/>
    <d v="2026-05-29T00:00:00"/>
    <d v="2026-06-10T00:00:00"/>
    <d v="2026-06-09T00:00:00"/>
    <n v="240"/>
    <s v="RM-270"/>
    <n v="10"/>
    <s v="Delivered"/>
    <s v="Y"/>
    <s v="N"/>
    <s v="N"/>
    <n v="11"/>
    <n v="0.9375"/>
    <n v="4.1666666666666664E-2"/>
    <n v="0"/>
    <n v="0"/>
    <n v="0"/>
  </r>
  <r>
    <s v="PO-1076"/>
    <x v="17"/>
    <s v="Packaging"/>
    <n v="557"/>
    <d v="2026-02-06T00:00:00"/>
    <d v="2026-02-14T00:00:00"/>
    <d v="2026-02-14T00:00:00"/>
    <n v="563"/>
    <s v="PK-256"/>
    <n v="16"/>
    <s v="Delivered"/>
    <s v="Y"/>
    <s v="Y"/>
    <s v="Y"/>
    <n v="8"/>
    <n v="1.0107719928186714"/>
    <n v="2.8419182948490232E-2"/>
    <n v="1"/>
    <n v="0"/>
    <n v="0"/>
  </r>
  <r>
    <s v="PO-1633"/>
    <x v="9"/>
    <s v="Raw Material"/>
    <n v="826"/>
    <d v="2026-01-27T00:00:00"/>
    <d v="2026-02-01T00:00:00"/>
    <d v="2026-01-29T00:00:00"/>
    <n v="821"/>
    <s v="RM-206"/>
    <n v="59"/>
    <s v="Delivered"/>
    <s v="Y"/>
    <s v="Y"/>
    <s v="Y"/>
    <n v="2"/>
    <n v="0.99394673123486688"/>
    <n v="7.186358099878197E-2"/>
    <n v="1"/>
    <n v="0"/>
    <n v="0"/>
  </r>
  <r>
    <s v="PO-1982"/>
    <x v="1"/>
    <s v="Raw Material"/>
    <n v="911"/>
    <d v="2026-03-31T00:00:00"/>
    <d v="2026-04-07T00:00:00"/>
    <d v="2026-04-05T00:00:00"/>
    <n v="921"/>
    <s v="RM-256"/>
    <n v="16"/>
    <s v="Delivered"/>
    <s v="Y"/>
    <s v="Y"/>
    <s v="Y"/>
    <n v="5"/>
    <n v="1.0109769484083424"/>
    <n v="1.737242128121607E-2"/>
    <n v="1"/>
    <n v="0"/>
    <n v="0"/>
  </r>
  <r>
    <s v="PO-1247"/>
    <x v="0"/>
    <s v="Packaging"/>
    <n v="380"/>
    <d v="2026-01-16T00:00:00"/>
    <d v="2026-01-21T00:00:00"/>
    <d v="2026-01-21T00:00:00"/>
    <n v="372"/>
    <s v="PK-208"/>
    <n v="10"/>
    <s v="Delivered"/>
    <s v="Y"/>
    <s v="N"/>
    <s v="N"/>
    <n v="5"/>
    <n v="0.97894736842105268"/>
    <n v="2.6881720430107527E-2"/>
    <n v="0"/>
    <n v="0"/>
    <n v="0"/>
  </r>
  <r>
    <s v="PO-1819"/>
    <x v="1"/>
    <s v="Raw Material"/>
    <n v="89"/>
    <d v="2026-01-18T00:00:00"/>
    <d v="2026-01-23T00:00:00"/>
    <d v="2026-01-27T00:00:00"/>
    <n v="90"/>
    <s v="RM-283"/>
    <n v="2"/>
    <s v="Delivered"/>
    <s v="N"/>
    <s v="Y"/>
    <s v="N"/>
    <n v="9"/>
    <n v="1.0112359550561798"/>
    <n v="2.2222222222222223E-2"/>
    <n v="0"/>
    <n v="4"/>
    <n v="2000"/>
  </r>
  <r>
    <s v="PO-1984"/>
    <x v="16"/>
    <s v="Packaging"/>
    <n v="356"/>
    <d v="2026-05-08T00:00:00"/>
    <d v="2026-05-14T00:00:00"/>
    <d v="2026-05-14T00:00:00"/>
    <n v="351"/>
    <s v="PK-227"/>
    <n v="3"/>
    <s v="Delivered"/>
    <s v="Y"/>
    <s v="Y"/>
    <s v="Y"/>
    <n v="6"/>
    <n v="0.9859550561797753"/>
    <n v="8.5470085470085479E-3"/>
    <n v="1"/>
    <n v="0"/>
    <n v="0"/>
  </r>
  <r>
    <s v="PO-1476"/>
    <x v="16"/>
    <s v="Packaging"/>
    <n v="155"/>
    <d v="2026-01-23T00:00:00"/>
    <d v="2026-01-29T00:00:00"/>
    <d v="2026-01-29T00:00:00"/>
    <n v="154"/>
    <s v="PK-250"/>
    <n v="1"/>
    <s v="Delivered"/>
    <s v="Y"/>
    <s v="Y"/>
    <s v="Y"/>
    <n v="6"/>
    <n v="0.99354838709677418"/>
    <n v="6.4935064935064939E-3"/>
    <n v="1"/>
    <n v="0"/>
    <n v="0"/>
  </r>
  <r>
    <s v="PO-1670"/>
    <x v="1"/>
    <s v="Raw Material"/>
    <n v="269"/>
    <d v="2026-04-06T00:00:00"/>
    <d v="2026-04-17T00:00:00"/>
    <d v="2026-04-16T00:00:00"/>
    <n v="265"/>
    <s v="RM-267"/>
    <n v="6"/>
    <s v="Delivered"/>
    <s v="Y"/>
    <s v="Y"/>
    <s v="Y"/>
    <n v="10"/>
    <n v="0.98513011152416352"/>
    <n v="2.2641509433962263E-2"/>
    <n v="1"/>
    <n v="0"/>
    <n v="0"/>
  </r>
  <r>
    <s v="PO-1085"/>
    <x v="13"/>
    <s v="Imported"/>
    <n v="259"/>
    <d v="2026-01-29T00:00:00"/>
    <d v="2026-02-09T00:00:00"/>
    <d v="2026-02-17T00:00:00"/>
    <n v="242"/>
    <s v="IM-281"/>
    <n v="6"/>
    <s v="Delivered"/>
    <s v="N"/>
    <s v="N"/>
    <s v="N"/>
    <n v="19"/>
    <n v="0.93436293436293438"/>
    <n v="2.4793388429752067E-2"/>
    <n v="0"/>
    <n v="8"/>
    <n v="4000"/>
  </r>
  <r>
    <s v="PO-1469"/>
    <x v="17"/>
    <s v="Packaging"/>
    <n v="636"/>
    <d v="2026-03-30T00:00:00"/>
    <d v="2026-04-06T00:00:00"/>
    <d v="2026-04-06T00:00:00"/>
    <n v="646"/>
    <s v="PK-278"/>
    <n v="14"/>
    <s v="Delivered"/>
    <s v="Y"/>
    <s v="Y"/>
    <s v="Y"/>
    <n v="7"/>
    <n v="1.0157232704402517"/>
    <n v="2.1671826625386997E-2"/>
    <n v="1"/>
    <n v="0"/>
    <n v="0"/>
  </r>
  <r>
    <s v="PO-1225"/>
    <x v="0"/>
    <s v="Imported"/>
    <n v="339"/>
    <d v="2026-04-21T00:00:00"/>
    <d v="2026-04-30T00:00:00"/>
    <d v="2026-04-28T00:00:00"/>
    <n v="322"/>
    <s v="IM-223"/>
    <n v="11"/>
    <s v="Delivered"/>
    <s v="Y"/>
    <s v="N"/>
    <s v="N"/>
    <n v="7"/>
    <n v="0.94985250737463123"/>
    <n v="3.4161490683229816E-2"/>
    <n v="0"/>
    <n v="0"/>
    <n v="0"/>
  </r>
  <r>
    <s v="PO-1774"/>
    <x v="3"/>
    <s v="Packaging"/>
    <n v="388"/>
    <d v="2026-03-18T00:00:00"/>
    <d v="2026-04-02T00:00:00"/>
    <d v="2026-03-31T00:00:00"/>
    <n v="385"/>
    <s v="PK-278"/>
    <n v="32"/>
    <s v="Delivered"/>
    <s v="Y"/>
    <s v="Y"/>
    <s v="Y"/>
    <n v="13"/>
    <n v="0.99226804123711343"/>
    <n v="8.3116883116883117E-2"/>
    <n v="1"/>
    <n v="0"/>
    <n v="0"/>
  </r>
  <r>
    <s v="PO-1331"/>
    <x v="10"/>
    <s v="Packaging"/>
    <n v="499"/>
    <d v="2026-05-13T00:00:00"/>
    <d v="2026-05-27T00:00:00"/>
    <d v="2026-05-25T00:00:00"/>
    <n v="502"/>
    <s v="PK-182"/>
    <n v="48"/>
    <s v="Delivered"/>
    <s v="Y"/>
    <s v="Y"/>
    <s v="Y"/>
    <n v="12"/>
    <n v="1.0060120240480961"/>
    <n v="9.5617529880478086E-2"/>
    <n v="1"/>
    <n v="0"/>
    <n v="0"/>
  </r>
  <r>
    <s v="PO-1233"/>
    <x v="9"/>
    <s v="Imported"/>
    <n v="298"/>
    <d v="2026-05-18T00:00:00"/>
    <d v="2026-06-02T00:00:00"/>
    <d v="2026-06-01T00:00:00"/>
    <n v="297"/>
    <s v="IM-214"/>
    <n v="5"/>
    <s v="Delivered"/>
    <s v="Y"/>
    <s v="Y"/>
    <s v="Y"/>
    <n v="14"/>
    <n v="0.99664429530201337"/>
    <n v="1.6835016835016835E-2"/>
    <n v="1"/>
    <n v="0"/>
    <n v="0"/>
  </r>
  <r>
    <s v="PO-1588"/>
    <x v="12"/>
    <s v="Imported"/>
    <n v="427"/>
    <d v="2026-03-11T00:00:00"/>
    <d v="2026-03-19T00:00:00"/>
    <d v="2026-03-17T00:00:00"/>
    <n v="421"/>
    <s v="IM-176"/>
    <n v="10"/>
    <s v="Delivered"/>
    <s v="Y"/>
    <s v="Y"/>
    <s v="Y"/>
    <n v="6"/>
    <n v="0.98594847775175642"/>
    <n v="2.3752969121140142E-2"/>
    <n v="1"/>
    <n v="0"/>
    <n v="0"/>
  </r>
  <r>
    <s v="PO-1475"/>
    <x v="4"/>
    <s v="Raw Material"/>
    <n v="388"/>
    <d v="2026-05-31T00:00:00"/>
    <d v="2026-06-07T00:00:00"/>
    <d v="2026-06-05T00:00:00"/>
    <n v="384"/>
    <s v="RM-210"/>
    <n v="5"/>
    <s v="Delivered"/>
    <s v="Y"/>
    <s v="Y"/>
    <s v="Y"/>
    <n v="5"/>
    <n v="0.98969072164948457"/>
    <n v="1.3020833333333334E-2"/>
    <n v="1"/>
    <n v="0"/>
    <n v="0"/>
  </r>
  <r>
    <s v="PO-1897"/>
    <x v="9"/>
    <s v="Imported"/>
    <n v="755"/>
    <d v="2026-01-24T00:00:00"/>
    <d v="2026-01-30T00:00:00"/>
    <d v="2026-02-04T00:00:00"/>
    <n v="765"/>
    <s v="IM-184"/>
    <n v="45"/>
    <s v="Delivered"/>
    <s v="N"/>
    <s v="Y"/>
    <s v="N"/>
    <n v="11"/>
    <n v="1.0132450331125828"/>
    <n v="5.8823529411764705E-2"/>
    <n v="0"/>
    <n v="5"/>
    <n v="2500"/>
  </r>
  <r>
    <s v="PO-1877"/>
    <x v="1"/>
    <s v="Packaging"/>
    <n v="607"/>
    <d v="2026-01-18T00:00:00"/>
    <d v="2026-02-01T00:00:00"/>
    <d v="2026-01-30T00:00:00"/>
    <n v="605"/>
    <s v="PK-149"/>
    <n v="4"/>
    <s v="Delivered"/>
    <s v="Y"/>
    <s v="Y"/>
    <s v="Y"/>
    <n v="12"/>
    <n v="0.99670510708401971"/>
    <n v="6.6115702479338841E-3"/>
    <n v="1"/>
    <n v="0"/>
    <n v="0"/>
  </r>
  <r>
    <s v="PO-1599"/>
    <x v="19"/>
    <s v="Raw Material"/>
    <n v="202"/>
    <d v="2026-04-25T00:00:00"/>
    <d v="2026-05-01T00:00:00"/>
    <d v="2026-04-30T00:00:00"/>
    <n v="200"/>
    <s v="RM-263"/>
    <n v="8"/>
    <s v="Delivered"/>
    <s v="Y"/>
    <s v="Y"/>
    <s v="Y"/>
    <n v="5"/>
    <n v="0.99009900990099009"/>
    <n v="0.04"/>
    <n v="1"/>
    <n v="0"/>
    <n v="0"/>
  </r>
  <r>
    <s v="PO-1421"/>
    <x v="14"/>
    <s v="Raw Material"/>
    <n v="718"/>
    <d v="2026-03-03T00:00:00"/>
    <d v="2026-03-14T00:00:00"/>
    <d v="2026-03-17T00:00:00"/>
    <n v="708"/>
    <s v="RM-173"/>
    <n v="9"/>
    <s v="Delivered"/>
    <s v="N"/>
    <s v="Y"/>
    <s v="N"/>
    <n v="14"/>
    <n v="0.98607242339832868"/>
    <n v="1.2711864406779662E-2"/>
    <n v="0"/>
    <n v="3"/>
    <n v="1500"/>
  </r>
  <r>
    <s v="PO-1687"/>
    <x v="9"/>
    <s v="Packaging"/>
    <n v="319"/>
    <d v="2026-02-04T00:00:00"/>
    <d v="2026-02-13T00:00:00"/>
    <d v="2026-02-19T00:00:00"/>
    <n v="319"/>
    <s v="PK-208"/>
    <n v="1"/>
    <s v="Delivered"/>
    <s v="N"/>
    <s v="Y"/>
    <s v="N"/>
    <n v="15"/>
    <n v="1"/>
    <n v="3.134796238244514E-3"/>
    <n v="0"/>
    <n v="6"/>
    <n v="3000"/>
  </r>
  <r>
    <s v="PO-1182"/>
    <x v="16"/>
    <s v="Raw Material"/>
    <n v="342"/>
    <d v="2026-03-18T00:00:00"/>
    <d v="2026-03-25T00:00:00"/>
    <d v="2026-03-25T00:00:00"/>
    <n v="344"/>
    <s v="RM-248"/>
    <n v="1"/>
    <s v="Delivered"/>
    <s v="Y"/>
    <s v="Y"/>
    <s v="Y"/>
    <n v="7"/>
    <n v="1.0058479532163742"/>
    <n v="2.9069767441860465E-3"/>
    <n v="1"/>
    <n v="0"/>
    <n v="0"/>
  </r>
  <r>
    <s v="PO-1617"/>
    <x v="14"/>
    <s v="Packaging"/>
    <n v="691"/>
    <d v="2026-03-11T00:00:00"/>
    <d v="2026-03-20T00:00:00"/>
    <d v="2026-03-19T00:00:00"/>
    <n v="565"/>
    <s v="PK-121"/>
    <n v="6"/>
    <s v="Delivered"/>
    <s v="Y"/>
    <s v="N"/>
    <s v="N"/>
    <n v="8"/>
    <n v="0.81765557163531111"/>
    <n v="1.0619469026548672E-2"/>
    <n v="0"/>
    <n v="0"/>
    <n v="0"/>
  </r>
  <r>
    <s v="PO-1332"/>
    <x v="10"/>
    <s v="Packaging"/>
    <n v="498"/>
    <d v="2026-02-27T00:00:00"/>
    <d v="2026-03-05T00:00:00"/>
    <d v="2026-03-02T00:00:00"/>
    <n v="497"/>
    <s v="PK-126"/>
    <n v="13"/>
    <s v="Delivered"/>
    <s v="Y"/>
    <s v="Y"/>
    <s v="Y"/>
    <n v="3"/>
    <n v="0.99799196787148592"/>
    <n v="2.6156941649899398E-2"/>
    <n v="1"/>
    <n v="0"/>
    <n v="0"/>
  </r>
  <r>
    <s v="PO-1438"/>
    <x v="13"/>
    <s v="Raw Material"/>
    <n v="817"/>
    <d v="2026-04-10T00:00:00"/>
    <d v="2026-04-23T00:00:00"/>
    <d v="2026-04-22T00:00:00"/>
    <n v="815"/>
    <s v="RM-109"/>
    <n v="37"/>
    <s v="Delivered"/>
    <s v="Y"/>
    <s v="Y"/>
    <s v="Y"/>
    <n v="12"/>
    <n v="0.99755201958384332"/>
    <n v="4.5398773006134971E-2"/>
    <n v="1"/>
    <n v="0"/>
    <n v="0"/>
  </r>
  <r>
    <s v="PO-1049"/>
    <x v="6"/>
    <s v="Packaging"/>
    <n v="361"/>
    <d v="2026-01-15T00:00:00"/>
    <d v="2026-01-24T00:00:00"/>
    <m/>
    <m/>
    <s v="PK-276"/>
    <m/>
    <s v="Pending"/>
    <s v="N/A"/>
    <s v="N/A"/>
    <s v="N/A"/>
    <s v="N/A"/>
    <s v="N/A"/>
    <s v="N/A"/>
    <s v=""/>
    <s v="N/A"/>
    <n v="0"/>
  </r>
  <r>
    <s v="PO-1884"/>
    <x v="3"/>
    <s v="Raw Material"/>
    <n v="971"/>
    <d v="2026-02-28T00:00:00"/>
    <d v="2026-03-11T00:00:00"/>
    <d v="2026-03-08T00:00:00"/>
    <n v="897"/>
    <s v="RM-246"/>
    <n v="3"/>
    <s v="Delivered"/>
    <s v="Y"/>
    <s v="N"/>
    <s v="N"/>
    <n v="8"/>
    <n v="0.92378990731204946"/>
    <n v="3.3444816053511705E-3"/>
    <n v="0"/>
    <n v="0"/>
    <n v="0"/>
  </r>
  <r>
    <s v="PO-1005"/>
    <x v="4"/>
    <s v="Packaging"/>
    <n v="778"/>
    <d v="2026-01-17T00:00:00"/>
    <d v="2026-01-28T00:00:00"/>
    <d v="2026-01-28T00:00:00"/>
    <n v="788"/>
    <s v="PK-135"/>
    <n v="17"/>
    <s v="Delivered"/>
    <s v="Y"/>
    <s v="Y"/>
    <s v="Y"/>
    <n v="11"/>
    <n v="1.012853470437018"/>
    <n v="2.1573604060913704E-2"/>
    <n v="1"/>
    <n v="0"/>
    <n v="0"/>
  </r>
  <r>
    <s v="PO-1529"/>
    <x v="4"/>
    <s v="Raw Material"/>
    <n v="617"/>
    <d v="2026-04-04T00:00:00"/>
    <d v="2026-04-12T00:00:00"/>
    <d v="2026-04-10T00:00:00"/>
    <n v="559"/>
    <s v="RM-118"/>
    <n v="15"/>
    <s v="Delivered"/>
    <s v="Y"/>
    <s v="N"/>
    <s v="N"/>
    <n v="6"/>
    <n v="0.90599675850891415"/>
    <n v="2.6833631484794274E-2"/>
    <n v="0"/>
    <n v="0"/>
    <n v="0"/>
  </r>
  <r>
    <s v="PO-1234"/>
    <x v="0"/>
    <s v="Raw Material"/>
    <n v="675"/>
    <d v="2026-02-03T00:00:00"/>
    <d v="2026-02-18T00:00:00"/>
    <d v="2026-02-26T00:00:00"/>
    <n v="686"/>
    <s v="RM-246"/>
    <n v="8"/>
    <s v="Delivered"/>
    <s v="N"/>
    <s v="Y"/>
    <s v="N"/>
    <n v="23"/>
    <n v="1.0162962962962963"/>
    <n v="1.1661807580174927E-2"/>
    <n v="0"/>
    <n v="8"/>
    <n v="4000"/>
  </r>
  <r>
    <s v="PO-1486"/>
    <x v="2"/>
    <s v="Packaging"/>
    <n v="89"/>
    <d v="2026-02-12T00:00:00"/>
    <d v="2026-02-26T00:00:00"/>
    <d v="2026-02-26T00:00:00"/>
    <n v="87"/>
    <s v="PK-147"/>
    <n v="2"/>
    <s v="Delivered"/>
    <s v="Y"/>
    <s v="N"/>
    <s v="N"/>
    <n v="14"/>
    <n v="0.97752808988764039"/>
    <n v="2.2988505747126436E-2"/>
    <n v="0"/>
    <n v="0"/>
    <n v="0"/>
  </r>
  <r>
    <s v="PO-1911"/>
    <x v="14"/>
    <s v="Packaging"/>
    <n v="702"/>
    <d v="2026-05-26T00:00:00"/>
    <d v="2026-06-09T00:00:00"/>
    <d v="2026-06-07T00:00:00"/>
    <n v="691"/>
    <s v="PK-296"/>
    <n v="39"/>
    <s v="Delivered"/>
    <s v="Y"/>
    <s v="Y"/>
    <s v="Y"/>
    <n v="12"/>
    <n v="0.98433048433048431"/>
    <n v="5.6439942112879886E-2"/>
    <n v="1"/>
    <n v="0"/>
    <n v="0"/>
  </r>
  <r>
    <s v="PO-1497"/>
    <x v="14"/>
    <s v="Raw Material"/>
    <n v="407"/>
    <d v="2026-04-17T00:00:00"/>
    <d v="2026-05-02T00:00:00"/>
    <d v="2026-05-02T00:00:00"/>
    <n v="413"/>
    <s v="RM-283"/>
    <n v="3"/>
    <s v="Delivered"/>
    <s v="Y"/>
    <s v="Y"/>
    <s v="Y"/>
    <n v="15"/>
    <n v="1.0147420147420148"/>
    <n v="7.2639225181598066E-3"/>
    <n v="1"/>
    <n v="0"/>
    <n v="0"/>
  </r>
  <r>
    <s v="PO-1905"/>
    <x v="14"/>
    <s v="Raw Material"/>
    <n v="427"/>
    <d v="2026-05-16T00:00:00"/>
    <d v="2026-05-22T00:00:00"/>
    <d v="2026-05-22T00:00:00"/>
    <n v="426"/>
    <s v="RM-233"/>
    <n v="2"/>
    <s v="Delivered"/>
    <s v="Y"/>
    <s v="Y"/>
    <s v="Y"/>
    <n v="6"/>
    <n v="0.99765807962529274"/>
    <n v="4.6948356807511738E-3"/>
    <n v="1"/>
    <n v="0"/>
    <n v="0"/>
  </r>
  <r>
    <s v="PO-1106"/>
    <x v="17"/>
    <s v="Imported"/>
    <n v="605"/>
    <d v="2026-04-17T00:00:00"/>
    <d v="2026-04-22T00:00:00"/>
    <d v="2026-04-21T00:00:00"/>
    <n v="605"/>
    <s v="IM-245"/>
    <n v="21"/>
    <s v="Delivered"/>
    <s v="Y"/>
    <s v="Y"/>
    <s v="Y"/>
    <n v="4"/>
    <n v="1"/>
    <n v="3.4710743801652892E-2"/>
    <n v="1"/>
    <n v="0"/>
    <n v="0"/>
  </r>
  <r>
    <s v="PO-1443"/>
    <x v="4"/>
    <s v="Packaging"/>
    <n v="451"/>
    <d v="2026-04-23T00:00:00"/>
    <d v="2026-05-08T00:00:00"/>
    <d v="2026-05-08T00:00:00"/>
    <n v="444"/>
    <s v="PK-104"/>
    <n v="0"/>
    <s v="Delivered"/>
    <s v="Y"/>
    <s v="Y"/>
    <s v="Y"/>
    <n v="15"/>
    <n v="0.98447893569844791"/>
    <n v="0"/>
    <n v="1"/>
    <n v="0"/>
    <n v="0"/>
  </r>
  <r>
    <s v="PO-1488"/>
    <x v="15"/>
    <s v="Packaging"/>
    <n v="684"/>
    <d v="2026-04-25T00:00:00"/>
    <d v="2026-05-01T00:00:00"/>
    <d v="2026-04-29T00:00:00"/>
    <n v="676"/>
    <s v="PK-245"/>
    <n v="2"/>
    <s v="Delivered"/>
    <s v="Y"/>
    <s v="Y"/>
    <s v="Y"/>
    <n v="4"/>
    <n v="0.98830409356725146"/>
    <n v="2.9585798816568047E-3"/>
    <n v="1"/>
    <n v="0"/>
    <n v="0"/>
  </r>
  <r>
    <s v="PO-1646"/>
    <x v="3"/>
    <s v="Raw Material"/>
    <n v="760"/>
    <d v="2026-01-30T00:00:00"/>
    <d v="2026-02-09T00:00:00"/>
    <d v="2026-02-10T00:00:00"/>
    <n v="771"/>
    <s v="RM-220"/>
    <n v="15"/>
    <s v="Delivered"/>
    <s v="N"/>
    <s v="Y"/>
    <s v="N"/>
    <n v="11"/>
    <n v="1.0144736842105264"/>
    <n v="1.9455252918287938E-2"/>
    <n v="0"/>
    <n v="1"/>
    <n v="500"/>
  </r>
  <r>
    <s v="PO-1012"/>
    <x v="2"/>
    <s v="Packaging"/>
    <n v="482"/>
    <d v="2026-06-01T00:00:00"/>
    <d v="2026-06-16T00:00:00"/>
    <d v="2026-06-15T00:00:00"/>
    <n v="485"/>
    <s v="PK-102"/>
    <n v="5"/>
    <s v="Delivered"/>
    <s v="Y"/>
    <s v="Y"/>
    <s v="Y"/>
    <n v="14"/>
    <n v="1.0062240663900415"/>
    <n v="1.0309278350515464E-2"/>
    <n v="1"/>
    <n v="0"/>
    <n v="0"/>
  </r>
  <r>
    <s v="PO-1738"/>
    <x v="3"/>
    <s v="Raw Material"/>
    <n v="750"/>
    <d v="2026-04-24T00:00:00"/>
    <d v="2026-05-01T00:00:00"/>
    <d v="2026-05-05T00:00:00"/>
    <n v="747"/>
    <s v="RM-253"/>
    <n v="58"/>
    <s v="Delivered"/>
    <s v="N"/>
    <s v="Y"/>
    <s v="N"/>
    <n v="11"/>
    <n v="0.996"/>
    <n v="7.7643908969210168E-2"/>
    <n v="0"/>
    <n v="4"/>
    <n v="2000"/>
  </r>
  <r>
    <s v="PO-1190"/>
    <x v="0"/>
    <s v="Raw Material"/>
    <n v="487"/>
    <d v="2026-05-13T00:00:00"/>
    <d v="2026-05-20T00:00:00"/>
    <d v="2026-05-21T00:00:00"/>
    <n v="492"/>
    <s v="RM-142"/>
    <n v="7"/>
    <s v="Delivered"/>
    <s v="N"/>
    <s v="Y"/>
    <s v="N"/>
    <n v="8"/>
    <n v="1.0102669404517455"/>
    <n v="1.4227642276422764E-2"/>
    <n v="0"/>
    <n v="1"/>
    <n v="500"/>
  </r>
  <r>
    <s v="PO-1832"/>
    <x v="11"/>
    <s v="Raw Material"/>
    <n v="226"/>
    <d v="2026-03-19T00:00:00"/>
    <d v="2026-04-01T00:00:00"/>
    <d v="2026-03-31T00:00:00"/>
    <n v="228"/>
    <s v="RM-139"/>
    <n v="1"/>
    <s v="Delivered"/>
    <s v="Y"/>
    <s v="Y"/>
    <s v="Y"/>
    <n v="12"/>
    <n v="1.0088495575221239"/>
    <n v="4.3859649122807015E-3"/>
    <n v="1"/>
    <n v="0"/>
    <n v="0"/>
  </r>
  <r>
    <s v="PO-1282"/>
    <x v="17"/>
    <s v="Packaging"/>
    <n v="992"/>
    <d v="2026-02-10T00:00:00"/>
    <d v="2026-02-24T00:00:00"/>
    <d v="2026-02-24T00:00:00"/>
    <n v="1007"/>
    <s v="PK-239"/>
    <n v="19"/>
    <s v="Delivered"/>
    <s v="Y"/>
    <s v="Y"/>
    <s v="Y"/>
    <n v="14"/>
    <n v="1.0151209677419355"/>
    <n v="1.8867924528301886E-2"/>
    <n v="1"/>
    <n v="0"/>
    <n v="0"/>
  </r>
  <r>
    <s v="PO-1029"/>
    <x v="15"/>
    <s v="Packaging"/>
    <n v="735"/>
    <d v="2026-03-21T00:00:00"/>
    <d v="2026-04-04T00:00:00"/>
    <d v="2026-04-10T00:00:00"/>
    <n v="603"/>
    <s v="PK-294"/>
    <n v="1"/>
    <s v="Delivered"/>
    <s v="N"/>
    <s v="N"/>
    <s v="N"/>
    <n v="20"/>
    <n v="0.82040816326530608"/>
    <n v="1.658374792703151E-3"/>
    <n v="0"/>
    <n v="6"/>
    <n v="3000"/>
  </r>
  <r>
    <s v="PO-1169"/>
    <x v="15"/>
    <s v="Imported"/>
    <n v="432"/>
    <d v="2026-03-18T00:00:00"/>
    <d v="2026-03-30T00:00:00"/>
    <d v="2026-04-08T00:00:00"/>
    <n v="431"/>
    <s v="IM-230"/>
    <n v="9"/>
    <s v="Delivered"/>
    <s v="N"/>
    <s v="Y"/>
    <s v="N"/>
    <n v="21"/>
    <n v="0.99768518518518523"/>
    <n v="2.0881670533642691E-2"/>
    <n v="0"/>
    <n v="9"/>
    <n v="4500"/>
  </r>
  <r>
    <s v="PO-1180"/>
    <x v="9"/>
    <s v="Packaging"/>
    <n v="737"/>
    <d v="2026-05-12T00:00:00"/>
    <d v="2026-05-20T00:00:00"/>
    <d v="2026-05-19T00:00:00"/>
    <n v="729"/>
    <s v="PK-131"/>
    <n v="32"/>
    <s v="Delivered"/>
    <s v="Y"/>
    <s v="Y"/>
    <s v="Y"/>
    <n v="7"/>
    <n v="0.98914518317503397"/>
    <n v="4.38957475994513E-2"/>
    <n v="1"/>
    <n v="0"/>
    <n v="0"/>
  </r>
  <r>
    <s v="PO-1100"/>
    <x v="1"/>
    <s v="Raw Material"/>
    <n v="391"/>
    <d v="2026-06-03T00:00:00"/>
    <d v="2026-06-12T00:00:00"/>
    <d v="2026-06-16T00:00:00"/>
    <n v="386"/>
    <s v="RM-251"/>
    <n v="8"/>
    <s v="Delivered"/>
    <s v="N"/>
    <s v="Y"/>
    <s v="N"/>
    <n v="13"/>
    <n v="0.98721227621483376"/>
    <n v="2.072538860103627E-2"/>
    <n v="0"/>
    <n v="4"/>
    <n v="2000"/>
  </r>
  <r>
    <s v="PO-1197"/>
    <x v="0"/>
    <s v="Packaging"/>
    <n v="314"/>
    <d v="2026-03-31T00:00:00"/>
    <d v="2026-04-10T00:00:00"/>
    <d v="2026-04-10T00:00:00"/>
    <n v="260"/>
    <s v="PK-234"/>
    <n v="1"/>
    <s v="Delivered"/>
    <s v="Y"/>
    <s v="N"/>
    <s v="N"/>
    <n v="10"/>
    <n v="0.82802547770700641"/>
    <n v="3.8461538461538464E-3"/>
    <n v="0"/>
    <n v="0"/>
    <n v="0"/>
  </r>
  <r>
    <s v="PO-1495"/>
    <x v="9"/>
    <s v="Imported"/>
    <n v="627"/>
    <d v="2026-01-14T00:00:00"/>
    <d v="2026-01-20T00:00:00"/>
    <d v="2026-01-28T00:00:00"/>
    <n v="636"/>
    <s v="IM-254"/>
    <n v="15"/>
    <s v="Delivered"/>
    <s v="N"/>
    <s v="Y"/>
    <s v="N"/>
    <n v="14"/>
    <n v="1.0143540669856459"/>
    <n v="2.358490566037736E-2"/>
    <n v="0"/>
    <n v="8"/>
    <n v="4000"/>
  </r>
  <r>
    <s v="PO-1721"/>
    <x v="5"/>
    <s v="Packaging"/>
    <n v="495"/>
    <d v="2026-02-15T00:00:00"/>
    <d v="2026-03-01T00:00:00"/>
    <d v="2026-02-26T00:00:00"/>
    <n v="501"/>
    <s v="PK-241"/>
    <n v="2"/>
    <s v="Delivered"/>
    <s v="Y"/>
    <s v="Y"/>
    <s v="Y"/>
    <n v="11"/>
    <n v="1.0121212121212122"/>
    <n v="3.9920159680638719E-3"/>
    <n v="1"/>
    <n v="0"/>
    <n v="0"/>
  </r>
  <r>
    <s v="PO-1647"/>
    <x v="14"/>
    <s v="Raw Material"/>
    <n v="869"/>
    <d v="2026-02-08T00:00:00"/>
    <d v="2026-02-17T00:00:00"/>
    <m/>
    <m/>
    <s v="RM-214"/>
    <m/>
    <s v="Pending"/>
    <s v="N/A"/>
    <s v="N/A"/>
    <s v="N/A"/>
    <s v="N/A"/>
    <s v="N/A"/>
    <s v="N/A"/>
    <s v=""/>
    <s v="N/A"/>
    <n v="0"/>
  </r>
  <r>
    <s v="PO-1987"/>
    <x v="13"/>
    <s v="Imported"/>
    <n v="332"/>
    <d v="2026-02-28T00:00:00"/>
    <d v="2026-03-06T00:00:00"/>
    <d v="2026-03-07T00:00:00"/>
    <n v="338"/>
    <s v="IM-235"/>
    <n v="25"/>
    <s v="Delivered"/>
    <s v="N"/>
    <s v="Y"/>
    <s v="N"/>
    <n v="7"/>
    <n v="1.0180722891566265"/>
    <n v="7.3964497041420121E-2"/>
    <n v="0"/>
    <n v="1"/>
    <n v="500"/>
  </r>
  <r>
    <s v="PO-1941"/>
    <x v="18"/>
    <s v="Raw Material"/>
    <n v="427"/>
    <d v="2026-03-21T00:00:00"/>
    <d v="2026-03-28T00:00:00"/>
    <d v="2026-03-26T00:00:00"/>
    <n v="359"/>
    <s v="RM-299"/>
    <n v="6"/>
    <s v="Delivered"/>
    <s v="Y"/>
    <s v="N"/>
    <s v="N"/>
    <n v="5"/>
    <n v="0.84074941451990637"/>
    <n v="1.6713091922005572E-2"/>
    <n v="0"/>
    <n v="0"/>
    <n v="0"/>
  </r>
  <r>
    <s v="PO-1710"/>
    <x v="6"/>
    <s v="Raw Material"/>
    <n v="914"/>
    <d v="2026-05-05T00:00:00"/>
    <d v="2026-05-17T00:00:00"/>
    <d v="2026-05-16T00:00:00"/>
    <n v="910"/>
    <s v="RM-176"/>
    <n v="63"/>
    <s v="Delivered"/>
    <s v="Y"/>
    <s v="Y"/>
    <s v="Y"/>
    <n v="11"/>
    <n v="0.99562363238512031"/>
    <n v="6.9230769230769235E-2"/>
    <n v="1"/>
    <n v="0"/>
    <n v="0"/>
  </r>
  <r>
    <s v="PO-1373"/>
    <x v="9"/>
    <s v="Packaging"/>
    <n v="517"/>
    <d v="2026-03-11T00:00:00"/>
    <d v="2026-03-19T00:00:00"/>
    <d v="2026-03-19T00:00:00"/>
    <n v="519"/>
    <s v="PK-276"/>
    <n v="26"/>
    <s v="Delivered"/>
    <s v="Y"/>
    <s v="Y"/>
    <s v="Y"/>
    <n v="8"/>
    <n v="1.0038684719535784"/>
    <n v="5.0096339113680152E-2"/>
    <n v="1"/>
    <n v="0"/>
    <n v="0"/>
  </r>
  <r>
    <s v="PO-1678"/>
    <x v="3"/>
    <s v="Imported"/>
    <n v="833"/>
    <d v="2026-02-27T00:00:00"/>
    <d v="2026-03-07T00:00:00"/>
    <d v="2026-03-07T00:00:00"/>
    <n v="840"/>
    <s v="IM-280"/>
    <n v="28"/>
    <s v="Delivered"/>
    <s v="Y"/>
    <s v="Y"/>
    <s v="Y"/>
    <n v="8"/>
    <n v="1.0084033613445378"/>
    <n v="3.3333333333333333E-2"/>
    <n v="1"/>
    <n v="0"/>
    <n v="0"/>
  </r>
  <r>
    <s v="PO-1892"/>
    <x v="15"/>
    <s v="Raw Material"/>
    <n v="771"/>
    <d v="2026-05-15T00:00:00"/>
    <d v="2026-05-22T00:00:00"/>
    <d v="2026-05-22T00:00:00"/>
    <n v="756"/>
    <s v="RM-136"/>
    <n v="12"/>
    <s v="Delivered"/>
    <s v="Y"/>
    <s v="Y"/>
    <s v="Y"/>
    <n v="7"/>
    <n v="0.98054474708171202"/>
    <n v="1.5873015873015872E-2"/>
    <n v="1"/>
    <n v="0"/>
    <n v="0"/>
  </r>
  <r>
    <s v="PO-1648"/>
    <x v="15"/>
    <s v="Packaging"/>
    <n v="963"/>
    <d v="2026-01-20T00:00:00"/>
    <d v="2026-01-26T00:00:00"/>
    <d v="2026-02-02T00:00:00"/>
    <n v="979"/>
    <s v="PK-260"/>
    <n v="20"/>
    <s v="Delivered"/>
    <s v="N"/>
    <s v="Y"/>
    <s v="N"/>
    <n v="13"/>
    <n v="1.0166147455867083"/>
    <n v="2.0429009193054137E-2"/>
    <n v="0"/>
    <n v="7"/>
    <n v="3500"/>
  </r>
  <r>
    <s v="PO-1797"/>
    <x v="1"/>
    <s v="Packaging"/>
    <n v="284"/>
    <d v="2026-05-10T00:00:00"/>
    <d v="2026-05-24T00:00:00"/>
    <d v="2026-05-31T00:00:00"/>
    <n v="282"/>
    <s v="PK-171"/>
    <n v="2"/>
    <s v="Delivered"/>
    <s v="N"/>
    <s v="Y"/>
    <s v="N"/>
    <n v="21"/>
    <n v="0.99295774647887325"/>
    <n v="7.0921985815602835E-3"/>
    <n v="0"/>
    <n v="7"/>
    <n v="3500"/>
  </r>
  <r>
    <s v="PO-1847"/>
    <x v="13"/>
    <s v="Packaging"/>
    <n v="814"/>
    <d v="2026-03-29T00:00:00"/>
    <d v="2026-04-04T00:00:00"/>
    <d v="2026-04-10T00:00:00"/>
    <n v="819"/>
    <s v="PK-124"/>
    <n v="14"/>
    <s v="Delivered"/>
    <s v="N"/>
    <s v="Y"/>
    <s v="N"/>
    <n v="12"/>
    <n v="1.0061425061425062"/>
    <n v="1.7094017094017096E-2"/>
    <n v="0"/>
    <n v="6"/>
    <n v="3000"/>
  </r>
  <r>
    <s v="PO-1460"/>
    <x v="19"/>
    <s v="Raw Material"/>
    <n v="638"/>
    <d v="2026-01-20T00:00:00"/>
    <d v="2026-01-27T00:00:00"/>
    <d v="2026-01-26T00:00:00"/>
    <n v="627"/>
    <s v="RM-255"/>
    <n v="32"/>
    <s v="Delivered"/>
    <s v="Y"/>
    <s v="Y"/>
    <s v="Y"/>
    <n v="6"/>
    <n v="0.98275862068965514"/>
    <n v="5.1036682615629984E-2"/>
    <n v="1"/>
    <n v="0"/>
    <n v="0"/>
  </r>
  <r>
    <s v="PO-1413"/>
    <x v="10"/>
    <s v="Imported"/>
    <n v="879"/>
    <d v="2026-03-10T00:00:00"/>
    <d v="2026-03-17T00:00:00"/>
    <d v="2026-03-15T00:00:00"/>
    <n v="885"/>
    <s v="IM-149"/>
    <n v="6"/>
    <s v="Delivered"/>
    <s v="Y"/>
    <s v="Y"/>
    <s v="Y"/>
    <n v="5"/>
    <n v="1.006825938566553"/>
    <n v="6.7796610169491523E-3"/>
    <n v="1"/>
    <n v="0"/>
    <n v="0"/>
  </r>
  <r>
    <s v="PO-1131"/>
    <x v="1"/>
    <s v="Packaging"/>
    <n v="151"/>
    <d v="2026-03-09T00:00:00"/>
    <d v="2026-03-14T00:00:00"/>
    <d v="2026-03-12T00:00:00"/>
    <n v="151"/>
    <s v="PK-238"/>
    <n v="2"/>
    <s v="Delivered"/>
    <s v="Y"/>
    <s v="Y"/>
    <s v="Y"/>
    <n v="3"/>
    <n v="1"/>
    <n v="1.3245033112582781E-2"/>
    <n v="1"/>
    <n v="0"/>
    <n v="0"/>
  </r>
  <r>
    <s v="PO-1039"/>
    <x v="8"/>
    <s v="Imported"/>
    <n v="188"/>
    <d v="2026-03-02T00:00:00"/>
    <d v="2026-03-13T00:00:00"/>
    <d v="2026-03-11T00:00:00"/>
    <n v="168"/>
    <s v="IM-243"/>
    <n v="7"/>
    <s v="Delivered"/>
    <s v="Y"/>
    <s v="N"/>
    <s v="N"/>
    <n v="9"/>
    <n v="0.8936170212765957"/>
    <n v="4.1666666666666664E-2"/>
    <n v="0"/>
    <n v="0"/>
    <n v="0"/>
  </r>
  <r>
    <s v="PO-1434"/>
    <x v="6"/>
    <s v="Packaging"/>
    <n v="465"/>
    <d v="2026-04-20T00:00:00"/>
    <d v="2026-05-01T00:00:00"/>
    <d v="2026-05-01T00:00:00"/>
    <n v="382"/>
    <s v="PK-280"/>
    <n v="28"/>
    <s v="Delivered"/>
    <s v="Y"/>
    <s v="N"/>
    <s v="N"/>
    <n v="11"/>
    <n v="0.82150537634408605"/>
    <n v="7.3298429319371722E-2"/>
    <n v="0"/>
    <n v="0"/>
    <n v="0"/>
  </r>
  <r>
    <s v="PO-1215"/>
    <x v="13"/>
    <s v="Packaging"/>
    <n v="393"/>
    <d v="2026-03-02T00:00:00"/>
    <d v="2026-03-11T00:00:00"/>
    <d v="2026-03-08T00:00:00"/>
    <n v="388"/>
    <s v="PK-241"/>
    <n v="18"/>
    <s v="Delivered"/>
    <s v="Y"/>
    <s v="Y"/>
    <s v="Y"/>
    <n v="6"/>
    <n v="0.98727735368956748"/>
    <n v="4.6391752577319589E-2"/>
    <n v="1"/>
    <n v="0"/>
    <n v="0"/>
  </r>
  <r>
    <s v="PO-1555"/>
    <x v="11"/>
    <s v="Packaging"/>
    <n v="298"/>
    <d v="2026-03-30T00:00:00"/>
    <d v="2026-04-04T00:00:00"/>
    <d v="2026-04-01T00:00:00"/>
    <n v="294"/>
    <s v="PK-288"/>
    <n v="4"/>
    <s v="Delivered"/>
    <s v="Y"/>
    <s v="Y"/>
    <s v="Y"/>
    <n v="2"/>
    <n v="0.98657718120805371"/>
    <n v="1.3605442176870748E-2"/>
    <n v="1"/>
    <n v="0"/>
    <n v="0"/>
  </r>
  <r>
    <s v="PO-1566"/>
    <x v="14"/>
    <s v="Packaging"/>
    <n v="493"/>
    <d v="2026-02-10T00:00:00"/>
    <d v="2026-02-17T00:00:00"/>
    <d v="2026-02-15T00:00:00"/>
    <n v="419"/>
    <s v="PK-244"/>
    <n v="19"/>
    <s v="Delivered"/>
    <s v="Y"/>
    <s v="N"/>
    <s v="N"/>
    <n v="5"/>
    <n v="0.84989858012170383"/>
    <n v="4.5346062052505964E-2"/>
    <n v="0"/>
    <n v="0"/>
    <n v="0"/>
  </r>
  <r>
    <s v="PO-1762"/>
    <x v="6"/>
    <s v="Packaging"/>
    <n v="424"/>
    <d v="2026-04-04T00:00:00"/>
    <d v="2026-04-18T00:00:00"/>
    <d v="2026-04-16T00:00:00"/>
    <n v="371"/>
    <s v="PK-100"/>
    <n v="18"/>
    <s v="Delivered"/>
    <s v="Y"/>
    <s v="N"/>
    <s v="N"/>
    <n v="12"/>
    <n v="0.875"/>
    <n v="4.8517520215633422E-2"/>
    <n v="0"/>
    <n v="0"/>
    <n v="0"/>
  </r>
  <r>
    <s v="PO-1474"/>
    <x v="9"/>
    <s v="Raw Material"/>
    <n v="446"/>
    <d v="2026-05-02T00:00:00"/>
    <d v="2026-05-08T00:00:00"/>
    <d v="2026-05-06T00:00:00"/>
    <n v="446"/>
    <s v="RM-247"/>
    <n v="29"/>
    <s v="Delivered"/>
    <s v="Y"/>
    <s v="Y"/>
    <s v="Y"/>
    <n v="4"/>
    <n v="1"/>
    <n v="6.5022421524663671E-2"/>
    <n v="1"/>
    <n v="0"/>
    <n v="0"/>
  </r>
  <r>
    <s v="PO-1456"/>
    <x v="19"/>
    <s v="Raw Material"/>
    <n v="296"/>
    <d v="2026-03-24T00:00:00"/>
    <d v="2026-04-05T00:00:00"/>
    <d v="2026-04-03T00:00:00"/>
    <n v="297"/>
    <s v="RM-192"/>
    <n v="7"/>
    <s v="Delivered"/>
    <s v="Y"/>
    <s v="Y"/>
    <s v="Y"/>
    <n v="10"/>
    <n v="1.0033783783783783"/>
    <n v="2.3569023569023569E-2"/>
    <n v="1"/>
    <n v="0"/>
    <n v="0"/>
  </r>
  <r>
    <s v="PO-1811"/>
    <x v="8"/>
    <s v="Imported"/>
    <n v="885"/>
    <d v="2026-05-05T00:00:00"/>
    <d v="2026-05-14T00:00:00"/>
    <d v="2026-05-12T00:00:00"/>
    <n v="876"/>
    <s v="IM-260"/>
    <n v="75"/>
    <s v="Delivered"/>
    <s v="Y"/>
    <s v="Y"/>
    <s v="Y"/>
    <n v="7"/>
    <n v="0.98983050847457632"/>
    <n v="8.5616438356164379E-2"/>
    <n v="1"/>
    <n v="0"/>
    <n v="0"/>
  </r>
  <r>
    <s v="PO-1260"/>
    <x v="15"/>
    <s v="Packaging"/>
    <n v="900"/>
    <d v="2026-04-23T00:00:00"/>
    <d v="2026-05-03T00:00:00"/>
    <d v="2026-05-02T00:00:00"/>
    <n v="912"/>
    <s v="PK-240"/>
    <n v="17"/>
    <s v="Delivered"/>
    <s v="Y"/>
    <s v="Y"/>
    <s v="Y"/>
    <n v="9"/>
    <n v="1.0133333333333334"/>
    <n v="1.8640350877192981E-2"/>
    <n v="1"/>
    <n v="0"/>
    <n v="0"/>
  </r>
  <r>
    <s v="PO-1816"/>
    <x v="5"/>
    <s v="Imported"/>
    <n v="565"/>
    <d v="2026-05-08T00:00:00"/>
    <d v="2026-05-21T00:00:00"/>
    <d v="2026-05-21T00:00:00"/>
    <n v="575"/>
    <s v="IM-116"/>
    <n v="3"/>
    <s v="Delivered"/>
    <s v="Y"/>
    <s v="Y"/>
    <s v="Y"/>
    <n v="13"/>
    <n v="1.0176991150442478"/>
    <n v="5.2173913043478265E-3"/>
    <n v="1"/>
    <n v="0"/>
    <n v="0"/>
  </r>
  <r>
    <s v="PO-1035"/>
    <x v="8"/>
    <s v="Packaging"/>
    <n v="499"/>
    <d v="2026-03-20T00:00:00"/>
    <d v="2026-04-01T00:00:00"/>
    <d v="2026-03-29T00:00:00"/>
    <n v="493"/>
    <s v="PK-213"/>
    <n v="36"/>
    <s v="Delivered"/>
    <s v="Y"/>
    <s v="Y"/>
    <s v="Y"/>
    <n v="9"/>
    <n v="0.9879759519038076"/>
    <n v="7.3022312373225151E-2"/>
    <n v="1"/>
    <n v="0"/>
    <n v="0"/>
  </r>
  <r>
    <s v="PO-1827"/>
    <x v="5"/>
    <s v="Packaging"/>
    <n v="774"/>
    <d v="2026-02-14T00:00:00"/>
    <d v="2026-02-20T00:00:00"/>
    <d v="2026-02-26T00:00:00"/>
    <n v="774"/>
    <s v="PK-115"/>
    <n v="2"/>
    <s v="Delivered"/>
    <s v="N"/>
    <s v="Y"/>
    <s v="N"/>
    <n v="12"/>
    <n v="1"/>
    <n v="2.5839793281653748E-3"/>
    <n v="0"/>
    <n v="6"/>
    <n v="3000"/>
  </r>
  <r>
    <s v="PO-1309"/>
    <x v="1"/>
    <s v="Packaging"/>
    <n v="369"/>
    <d v="2026-01-08T00:00:00"/>
    <d v="2026-01-15T00:00:00"/>
    <d v="2026-01-14T00:00:00"/>
    <n v="313"/>
    <s v="PK-123"/>
    <n v="7"/>
    <s v="Delivered"/>
    <s v="Y"/>
    <s v="N"/>
    <s v="N"/>
    <n v="6"/>
    <n v="0.8482384823848238"/>
    <n v="2.2364217252396165E-2"/>
    <n v="0"/>
    <n v="0"/>
    <n v="0"/>
  </r>
  <r>
    <s v="PO-1276"/>
    <x v="8"/>
    <s v="Packaging"/>
    <n v="93"/>
    <d v="2026-06-01T00:00:00"/>
    <d v="2026-06-07T00:00:00"/>
    <d v="2026-06-05T00:00:00"/>
    <n v="94"/>
    <s v="PK-151"/>
    <n v="5"/>
    <s v="Delivered"/>
    <s v="Y"/>
    <s v="Y"/>
    <s v="Y"/>
    <n v="4"/>
    <n v="1.010752688172043"/>
    <n v="5.3191489361702128E-2"/>
    <n v="1"/>
    <n v="0"/>
    <n v="0"/>
  </r>
  <r>
    <s v="PO-1636"/>
    <x v="14"/>
    <s v="Raw Material"/>
    <n v="312"/>
    <d v="2026-04-03T00:00:00"/>
    <d v="2026-04-12T00:00:00"/>
    <d v="2026-04-19T00:00:00"/>
    <n v="308"/>
    <s v="RM-277"/>
    <n v="7"/>
    <s v="Delivered"/>
    <s v="N"/>
    <s v="Y"/>
    <s v="N"/>
    <n v="16"/>
    <n v="0.98717948717948723"/>
    <n v="2.2727272727272728E-2"/>
    <n v="0"/>
    <n v="7"/>
    <n v="3500"/>
  </r>
  <r>
    <s v="PO-1654"/>
    <x v="5"/>
    <s v="Packaging"/>
    <n v="524"/>
    <d v="2026-04-05T00:00:00"/>
    <d v="2026-04-19T00:00:00"/>
    <d v="2026-04-18T00:00:00"/>
    <n v="481"/>
    <s v="PK-110"/>
    <n v="6"/>
    <s v="Delivered"/>
    <s v="Y"/>
    <s v="N"/>
    <s v="N"/>
    <n v="13"/>
    <n v="0.91793893129770987"/>
    <n v="1.2474012474012475E-2"/>
    <n v="0"/>
    <n v="0"/>
    <n v="0"/>
  </r>
  <r>
    <s v="PO-1622"/>
    <x v="14"/>
    <s v="Imported"/>
    <n v="399"/>
    <d v="2026-04-28T00:00:00"/>
    <d v="2026-05-12T00:00:00"/>
    <d v="2026-05-14T00:00:00"/>
    <n v="394"/>
    <s v="IM-230"/>
    <n v="0"/>
    <s v="Delivered"/>
    <s v="N"/>
    <s v="Y"/>
    <s v="N"/>
    <n v="16"/>
    <n v="0.98746867167919794"/>
    <n v="0"/>
    <n v="0"/>
    <n v="2"/>
    <n v="1000"/>
  </r>
  <r>
    <s v="PO-1835"/>
    <x v="15"/>
    <s v="Raw Material"/>
    <n v="385"/>
    <d v="2026-04-23T00:00:00"/>
    <d v="2026-04-30T00:00:00"/>
    <d v="2026-05-01T00:00:00"/>
    <n v="357"/>
    <s v="RM-169"/>
    <n v="8"/>
    <s v="Delivered"/>
    <s v="N"/>
    <s v="N"/>
    <s v="N"/>
    <n v="8"/>
    <n v="0.92727272727272725"/>
    <n v="2.2408963585434174E-2"/>
    <n v="0"/>
    <n v="1"/>
    <n v="500"/>
  </r>
  <r>
    <s v="PO-1844"/>
    <x v="12"/>
    <s v="Packaging"/>
    <n v="948"/>
    <d v="2026-03-21T00:00:00"/>
    <d v="2026-03-30T00:00:00"/>
    <d v="2026-03-30T00:00:00"/>
    <n v="939"/>
    <s v="PK-274"/>
    <n v="1"/>
    <s v="Delivered"/>
    <s v="Y"/>
    <s v="Y"/>
    <s v="Y"/>
    <n v="9"/>
    <n v="0.990506329113924"/>
    <n v="1.0649627263045794E-3"/>
    <n v="1"/>
    <n v="0"/>
    <n v="0"/>
  </r>
  <r>
    <s v="PO-1393"/>
    <x v="4"/>
    <s v="Packaging"/>
    <n v="746"/>
    <d v="2026-05-20T00:00:00"/>
    <d v="2026-06-01T00:00:00"/>
    <d v="2026-05-29T00:00:00"/>
    <n v="737"/>
    <s v="PK-284"/>
    <n v="1"/>
    <s v="Delivered"/>
    <s v="Y"/>
    <s v="Y"/>
    <s v="Y"/>
    <n v="9"/>
    <n v="0.98793565683646112"/>
    <n v="1.3568521031207597E-3"/>
    <n v="1"/>
    <n v="0"/>
    <n v="0"/>
  </r>
  <r>
    <s v="PO-1950"/>
    <x v="0"/>
    <s v="Packaging"/>
    <n v="195"/>
    <d v="2026-04-20T00:00:00"/>
    <d v="2026-04-28T00:00:00"/>
    <d v="2026-04-25T00:00:00"/>
    <n v="195"/>
    <s v="PK-290"/>
    <n v="0"/>
    <s v="Delivered"/>
    <s v="Y"/>
    <s v="Y"/>
    <s v="Y"/>
    <n v="5"/>
    <n v="1"/>
    <n v="0"/>
    <n v="1"/>
    <n v="0"/>
    <n v="0"/>
  </r>
  <r>
    <s v="PO-1107"/>
    <x v="11"/>
    <s v="Raw Material"/>
    <n v="606"/>
    <d v="2026-04-22T00:00:00"/>
    <d v="2026-05-03T00:00:00"/>
    <d v="2026-05-03T00:00:00"/>
    <n v="602"/>
    <s v="RM-282"/>
    <n v="6"/>
    <s v="Delivered"/>
    <s v="Y"/>
    <s v="Y"/>
    <s v="Y"/>
    <n v="11"/>
    <n v="0.99339933993399343"/>
    <n v="9.9667774086378731E-3"/>
    <n v="1"/>
    <n v="0"/>
    <n v="0"/>
  </r>
  <r>
    <s v="PO-1957"/>
    <x v="1"/>
    <s v="Packaging"/>
    <n v="975"/>
    <d v="2026-01-29T00:00:00"/>
    <d v="2026-02-04T00:00:00"/>
    <d v="2026-02-09T00:00:00"/>
    <n v="981"/>
    <s v="PK-224"/>
    <n v="10"/>
    <s v="Delivered"/>
    <s v="N"/>
    <s v="Y"/>
    <s v="N"/>
    <n v="11"/>
    <n v="1.0061538461538462"/>
    <n v="1.0193679918450561E-2"/>
    <n v="0"/>
    <n v="5"/>
    <n v="2500"/>
  </r>
  <r>
    <s v="PO-1524"/>
    <x v="4"/>
    <s v="Packaging"/>
    <n v="577"/>
    <d v="2026-03-09T00:00:00"/>
    <d v="2026-03-24T00:00:00"/>
    <d v="2026-03-23T00:00:00"/>
    <n v="548"/>
    <s v="PK-127"/>
    <n v="6"/>
    <s v="Delivered"/>
    <s v="Y"/>
    <s v="N"/>
    <s v="N"/>
    <n v="14"/>
    <n v="0.94974003466204504"/>
    <n v="1.0948905109489052E-2"/>
    <n v="0"/>
    <n v="0"/>
    <n v="0"/>
  </r>
  <r>
    <s v="PO-1784"/>
    <x v="5"/>
    <s v="Raw Material"/>
    <n v="319"/>
    <d v="2026-03-01T00:00:00"/>
    <d v="2026-03-15T00:00:00"/>
    <d v="2026-03-12T00:00:00"/>
    <n v="266"/>
    <s v="RM-180"/>
    <n v="3"/>
    <s v="Delivered"/>
    <s v="Y"/>
    <s v="N"/>
    <s v="N"/>
    <n v="11"/>
    <n v="0.83385579937304077"/>
    <n v="1.1278195488721804E-2"/>
    <n v="0"/>
    <n v="0"/>
    <n v="0"/>
  </r>
  <r>
    <s v="PO-1047"/>
    <x v="15"/>
    <s v="Imported"/>
    <n v="803"/>
    <d v="2026-05-29T00:00:00"/>
    <d v="2026-06-11T00:00:00"/>
    <d v="2026-06-11T00:00:00"/>
    <n v="816"/>
    <s v="IM-291"/>
    <n v="18"/>
    <s v="Delivered"/>
    <s v="Y"/>
    <s v="Y"/>
    <s v="Y"/>
    <n v="13"/>
    <n v="1.016189290161893"/>
    <n v="2.2058823529411766E-2"/>
    <n v="1"/>
    <n v="0"/>
    <n v="0"/>
  </r>
  <r>
    <s v="PO-1203"/>
    <x v="8"/>
    <s v="Raw Material"/>
    <n v="615"/>
    <d v="2026-01-24T00:00:00"/>
    <d v="2026-02-07T00:00:00"/>
    <d v="2026-02-12T00:00:00"/>
    <n v="603"/>
    <s v="RM-231"/>
    <n v="10"/>
    <s v="Delivered"/>
    <s v="N"/>
    <s v="Y"/>
    <s v="N"/>
    <n v="19"/>
    <n v="0.98048780487804876"/>
    <n v="1.658374792703151E-2"/>
    <n v="0"/>
    <n v="5"/>
    <n v="2500"/>
  </r>
  <r>
    <s v="PO-1937"/>
    <x v="9"/>
    <s v="Packaging"/>
    <n v="322"/>
    <d v="2026-01-23T00:00:00"/>
    <d v="2026-02-07T00:00:00"/>
    <d v="2026-02-05T00:00:00"/>
    <n v="267"/>
    <s v="PK-233"/>
    <n v="12"/>
    <s v="Delivered"/>
    <s v="Y"/>
    <s v="N"/>
    <s v="N"/>
    <n v="13"/>
    <n v="0.82919254658385089"/>
    <n v="4.49438202247191E-2"/>
    <n v="0"/>
    <n v="0"/>
    <n v="0"/>
  </r>
  <r>
    <s v="PO-1631"/>
    <x v="0"/>
    <s v="Packaging"/>
    <n v="761"/>
    <d v="2026-03-28T00:00:00"/>
    <d v="2026-04-03T00:00:00"/>
    <d v="2026-04-03T00:00:00"/>
    <n v="759"/>
    <s v="PK-126"/>
    <n v="24"/>
    <s v="Delivered"/>
    <s v="Y"/>
    <s v="Y"/>
    <s v="Y"/>
    <n v="6"/>
    <n v="0.99737187910643887"/>
    <n v="3.1620553359683792E-2"/>
    <n v="1"/>
    <n v="0"/>
    <n v="0"/>
  </r>
  <r>
    <s v="PO-1021"/>
    <x v="18"/>
    <s v="Imported"/>
    <n v="872"/>
    <d v="2026-03-12T00:00:00"/>
    <d v="2026-03-18T00:00:00"/>
    <d v="2026-03-16T00:00:00"/>
    <n v="874"/>
    <s v="IM-215"/>
    <n v="5"/>
    <s v="Delivered"/>
    <s v="Y"/>
    <s v="Y"/>
    <s v="Y"/>
    <n v="4"/>
    <n v="1.0022935779816513"/>
    <n v="5.7208237986270021E-3"/>
    <n v="1"/>
    <n v="0"/>
    <n v="0"/>
  </r>
  <r>
    <s v="PO-1402"/>
    <x v="14"/>
    <s v="Packaging"/>
    <n v="749"/>
    <d v="2026-04-03T00:00:00"/>
    <d v="2026-04-09T00:00:00"/>
    <d v="2026-04-06T00:00:00"/>
    <n v="759"/>
    <s v="PK-228"/>
    <n v="5"/>
    <s v="Delivered"/>
    <s v="Y"/>
    <s v="Y"/>
    <s v="Y"/>
    <n v="3"/>
    <n v="1.0133511348464619"/>
    <n v="6.587615283267457E-3"/>
    <n v="1"/>
    <n v="0"/>
    <n v="0"/>
  </r>
  <r>
    <s v="PO-1083"/>
    <x v="6"/>
    <s v="Imported"/>
    <n v="990"/>
    <d v="2026-04-29T00:00:00"/>
    <d v="2026-05-11T00:00:00"/>
    <d v="2026-05-08T00:00:00"/>
    <n v="978"/>
    <s v="IM-154"/>
    <n v="58"/>
    <s v="Delivered"/>
    <s v="Y"/>
    <s v="Y"/>
    <s v="Y"/>
    <n v="9"/>
    <n v="0.98787878787878791"/>
    <n v="5.9304703476482618E-2"/>
    <n v="1"/>
    <n v="0"/>
    <n v="0"/>
  </r>
  <r>
    <s v="PO-1130"/>
    <x v="17"/>
    <s v="Packaging"/>
    <n v="819"/>
    <d v="2026-01-21T00:00:00"/>
    <d v="2026-01-29T00:00:00"/>
    <d v="2026-01-29T00:00:00"/>
    <n v="805"/>
    <s v="PK-252"/>
    <n v="18"/>
    <s v="Delivered"/>
    <s v="Y"/>
    <s v="Y"/>
    <s v="Y"/>
    <n v="8"/>
    <n v="0.98290598290598286"/>
    <n v="2.236024844720497E-2"/>
    <n v="1"/>
    <n v="0"/>
    <n v="0"/>
  </r>
  <r>
    <s v="PO-1415"/>
    <x v="4"/>
    <s v="Packaging"/>
    <n v="583"/>
    <d v="2026-01-12T00:00:00"/>
    <d v="2026-01-23T00:00:00"/>
    <d v="2026-01-22T00:00:00"/>
    <n v="586"/>
    <s v="PK-144"/>
    <n v="8"/>
    <s v="Delivered"/>
    <s v="Y"/>
    <s v="Y"/>
    <s v="Y"/>
    <n v="10"/>
    <n v="1.0051457975986278"/>
    <n v="1.3651877133105802E-2"/>
    <n v="1"/>
    <n v="0"/>
    <n v="0"/>
  </r>
  <r>
    <s v="PO-1997"/>
    <x v="10"/>
    <s v="Raw Material"/>
    <n v="866"/>
    <d v="2026-03-12T00:00:00"/>
    <d v="2026-03-22T00:00:00"/>
    <d v="2026-03-20T00:00:00"/>
    <n v="881"/>
    <s v="RM-213"/>
    <n v="6"/>
    <s v="Delivered"/>
    <s v="Y"/>
    <s v="Y"/>
    <s v="Y"/>
    <n v="8"/>
    <n v="1.0173210161662818"/>
    <n v="6.8104426787741201E-3"/>
    <n v="1"/>
    <n v="0"/>
    <n v="0"/>
  </r>
  <r>
    <s v="PO-1841"/>
    <x v="14"/>
    <s v="Imported"/>
    <n v="754"/>
    <d v="2026-04-15T00:00:00"/>
    <d v="2026-04-26T00:00:00"/>
    <d v="2026-04-24T00:00:00"/>
    <n v="740"/>
    <s v="IM-262"/>
    <n v="37"/>
    <s v="Delivered"/>
    <s v="Y"/>
    <s v="Y"/>
    <s v="Y"/>
    <n v="9"/>
    <n v="0.98143236074270557"/>
    <n v="0.05"/>
    <n v="1"/>
    <n v="0"/>
    <n v="0"/>
  </r>
  <r>
    <s v="PO-1741"/>
    <x v="1"/>
    <s v="Packaging"/>
    <n v="760"/>
    <d v="2026-03-22T00:00:00"/>
    <d v="2026-03-29T00:00:00"/>
    <d v="2026-04-03T00:00:00"/>
    <n v="755"/>
    <s v="PK-255"/>
    <n v="5"/>
    <s v="Delivered"/>
    <s v="N"/>
    <s v="Y"/>
    <s v="N"/>
    <n v="12"/>
    <n v="0.99342105263157898"/>
    <n v="6.6225165562913907E-3"/>
    <n v="0"/>
    <n v="5"/>
    <n v="2500"/>
  </r>
  <r>
    <s v="PO-1697"/>
    <x v="10"/>
    <s v="Packaging"/>
    <n v="949"/>
    <d v="2026-05-22T00:00:00"/>
    <d v="2026-06-06T00:00:00"/>
    <d v="2026-06-03T00:00:00"/>
    <n v="965"/>
    <s v="PK-259"/>
    <n v="49"/>
    <s v="Delivered"/>
    <s v="Y"/>
    <s v="Y"/>
    <s v="Y"/>
    <n v="12"/>
    <n v="1.0168598524762908"/>
    <n v="5.0777202072538857E-2"/>
    <n v="1"/>
    <n v="0"/>
    <n v="0"/>
  </r>
  <r>
    <s v="PO-1123"/>
    <x v="13"/>
    <s v="Raw Material"/>
    <n v="101"/>
    <d v="2026-05-02T00:00:00"/>
    <d v="2026-05-07T00:00:00"/>
    <d v="2026-05-06T00:00:00"/>
    <n v="103"/>
    <s v="RM-237"/>
    <n v="6"/>
    <s v="Delivered"/>
    <s v="Y"/>
    <s v="Y"/>
    <s v="Y"/>
    <n v="4"/>
    <n v="1.0198019801980198"/>
    <n v="5.8252427184466021E-2"/>
    <n v="1"/>
    <n v="0"/>
    <n v="0"/>
  </r>
  <r>
    <s v="PO-1033"/>
    <x v="6"/>
    <s v="Imported"/>
    <n v="656"/>
    <d v="2026-04-15T00:00:00"/>
    <d v="2026-04-22T00:00:00"/>
    <d v="2026-04-20T00:00:00"/>
    <n v="555"/>
    <s v="IM-270"/>
    <n v="9"/>
    <s v="Delivered"/>
    <s v="Y"/>
    <s v="N"/>
    <s v="N"/>
    <n v="5"/>
    <n v="0.84603658536585369"/>
    <n v="1.6216216216216217E-2"/>
    <n v="0"/>
    <n v="0"/>
    <n v="0"/>
  </r>
  <r>
    <s v="PO-1989"/>
    <x v="5"/>
    <s v="Packaging"/>
    <n v="481"/>
    <d v="2026-02-21T00:00:00"/>
    <d v="2026-03-08T00:00:00"/>
    <d v="2026-03-06T00:00:00"/>
    <n v="463"/>
    <s v="PK-196"/>
    <n v="3"/>
    <s v="Delivered"/>
    <s v="Y"/>
    <s v="N"/>
    <s v="N"/>
    <n v="13"/>
    <n v="0.96257796257796258"/>
    <n v="6.4794816414686825E-3"/>
    <n v="0"/>
    <n v="0"/>
    <n v="0"/>
  </r>
  <r>
    <s v="PO-1516"/>
    <x v="2"/>
    <s v="Raw Material"/>
    <n v="868"/>
    <d v="2026-05-13T00:00:00"/>
    <d v="2026-05-28T00:00:00"/>
    <d v="2026-05-28T00:00:00"/>
    <n v="867"/>
    <s v="RM-278"/>
    <n v="11"/>
    <s v="Delivered"/>
    <s v="Y"/>
    <s v="Y"/>
    <s v="Y"/>
    <n v="15"/>
    <n v="0.99884792626728114"/>
    <n v="1.2687427912341407E-2"/>
    <n v="1"/>
    <n v="0"/>
    <n v="0"/>
  </r>
  <r>
    <s v="PO-1923"/>
    <x v="8"/>
    <s v="Raw Material"/>
    <n v="734"/>
    <d v="2026-01-29T00:00:00"/>
    <d v="2026-02-09T00:00:00"/>
    <d v="2026-02-10T00:00:00"/>
    <n v="736"/>
    <s v="RM-248"/>
    <n v="11"/>
    <s v="Delivered"/>
    <s v="N"/>
    <s v="Y"/>
    <s v="N"/>
    <n v="12"/>
    <n v="1.0027247956403269"/>
    <n v="1.4945652173913044E-2"/>
    <n v="0"/>
    <n v="1"/>
    <n v="500"/>
  </r>
  <r>
    <s v="PO-1019"/>
    <x v="1"/>
    <s v="Raw Material"/>
    <n v="532"/>
    <d v="2026-02-01T00:00:00"/>
    <d v="2026-02-06T00:00:00"/>
    <d v="2026-02-09T00:00:00"/>
    <n v="538"/>
    <s v="RM-196"/>
    <n v="1"/>
    <s v="Delivered"/>
    <s v="N"/>
    <s v="Y"/>
    <s v="N"/>
    <n v="8"/>
    <n v="1.0112781954887218"/>
    <n v="1.8587360594795538E-3"/>
    <n v="0"/>
    <n v="3"/>
    <n v="1500"/>
  </r>
  <r>
    <s v="PO-1938"/>
    <x v="3"/>
    <s v="Imported"/>
    <n v="254"/>
    <d v="2026-01-30T00:00:00"/>
    <d v="2026-02-13T00:00:00"/>
    <d v="2026-02-11T00:00:00"/>
    <n v="211"/>
    <s v="IM-127"/>
    <n v="10"/>
    <s v="Delivered"/>
    <s v="Y"/>
    <s v="N"/>
    <s v="N"/>
    <n v="12"/>
    <n v="0.8307086614173228"/>
    <n v="4.7393364928909949E-2"/>
    <n v="0"/>
    <n v="0"/>
    <n v="0"/>
  </r>
  <r>
    <s v="PO-1219"/>
    <x v="16"/>
    <s v="Packaging"/>
    <n v="373"/>
    <d v="2026-03-21T00:00:00"/>
    <d v="2026-04-02T00:00:00"/>
    <d v="2026-03-31T00:00:00"/>
    <n v="377"/>
    <s v="PK-185"/>
    <n v="3"/>
    <s v="Delivered"/>
    <s v="Y"/>
    <s v="Y"/>
    <s v="Y"/>
    <n v="10"/>
    <n v="1.0107238605898123"/>
    <n v="7.9575596816976128E-3"/>
    <n v="1"/>
    <n v="0"/>
    <n v="0"/>
  </r>
  <r>
    <s v="PO-1891"/>
    <x v="15"/>
    <s v="Raw Material"/>
    <n v="672"/>
    <d v="2026-01-22T00:00:00"/>
    <d v="2026-01-29T00:00:00"/>
    <d v="2026-02-06T00:00:00"/>
    <n v="585"/>
    <s v="RM-185"/>
    <n v="5"/>
    <s v="Delivered"/>
    <s v="N"/>
    <s v="N"/>
    <s v="N"/>
    <n v="15"/>
    <n v="0.8705357142857143"/>
    <n v="8.5470085470085479E-3"/>
    <n v="0"/>
    <n v="8"/>
    <n v="4000"/>
  </r>
  <r>
    <s v="PO-1481"/>
    <x v="12"/>
    <s v="Packaging"/>
    <n v="169"/>
    <d v="2026-02-04T00:00:00"/>
    <d v="2026-02-13T00:00:00"/>
    <d v="2026-02-10T00:00:00"/>
    <n v="167"/>
    <s v="PK-156"/>
    <n v="1"/>
    <s v="Delivered"/>
    <s v="Y"/>
    <s v="Y"/>
    <s v="Y"/>
    <n v="6"/>
    <n v="0.98816568047337283"/>
    <n v="5.9880239520958087E-3"/>
    <n v="1"/>
    <n v="0"/>
    <n v="0"/>
  </r>
  <r>
    <s v="PO-1931"/>
    <x v="4"/>
    <s v="Raw Material"/>
    <n v="696"/>
    <d v="2026-03-19T00:00:00"/>
    <d v="2026-03-27T00:00:00"/>
    <d v="2026-03-24T00:00:00"/>
    <n v="698"/>
    <s v="RM-283"/>
    <n v="21"/>
    <s v="Delivered"/>
    <s v="Y"/>
    <s v="Y"/>
    <s v="Y"/>
    <n v="5"/>
    <n v="1.0028735632183907"/>
    <n v="3.0085959885386818E-2"/>
    <n v="1"/>
    <n v="0"/>
    <n v="0"/>
  </r>
  <r>
    <s v="PO-1356"/>
    <x v="1"/>
    <s v="Packaging"/>
    <n v="329"/>
    <d v="2026-05-20T00:00:00"/>
    <d v="2026-06-02T00:00:00"/>
    <d v="2026-06-02T00:00:00"/>
    <n v="333"/>
    <s v="PK-147"/>
    <n v="4"/>
    <s v="Delivered"/>
    <s v="Y"/>
    <s v="Y"/>
    <s v="Y"/>
    <n v="13"/>
    <n v="1.0121580547112461"/>
    <n v="1.2012012012012012E-2"/>
    <n v="1"/>
    <n v="0"/>
    <n v="0"/>
  </r>
  <r>
    <s v="PO-1661"/>
    <x v="13"/>
    <s v="Raw Material"/>
    <n v="897"/>
    <d v="2026-05-16T00:00:00"/>
    <d v="2026-05-26T00:00:00"/>
    <d v="2026-05-29T00:00:00"/>
    <n v="892"/>
    <s v="RM-114"/>
    <n v="8"/>
    <s v="Delivered"/>
    <s v="N"/>
    <s v="Y"/>
    <s v="N"/>
    <n v="13"/>
    <n v="0.99442586399108135"/>
    <n v="8.9686098654708519E-3"/>
    <n v="0"/>
    <n v="3"/>
    <n v="1500"/>
  </r>
  <r>
    <s v="PO-1224"/>
    <x v="17"/>
    <s v="Packaging"/>
    <n v="956"/>
    <d v="2026-01-11T00:00:00"/>
    <d v="2026-01-18T00:00:00"/>
    <d v="2026-01-16T00:00:00"/>
    <n v="956"/>
    <s v="PK-229"/>
    <n v="22"/>
    <s v="Delivered"/>
    <s v="Y"/>
    <s v="Y"/>
    <s v="Y"/>
    <n v="5"/>
    <n v="1"/>
    <n v="2.3012552301255231E-2"/>
    <n v="1"/>
    <n v="0"/>
    <n v="0"/>
  </r>
  <r>
    <s v="PO-1759"/>
    <x v="8"/>
    <s v="Packaging"/>
    <n v="731"/>
    <d v="2026-04-22T00:00:00"/>
    <d v="2026-05-07T00:00:00"/>
    <d v="2026-05-05T00:00:00"/>
    <n v="732"/>
    <s v="PK-208"/>
    <n v="47"/>
    <s v="Delivered"/>
    <s v="Y"/>
    <s v="Y"/>
    <s v="Y"/>
    <n v="13"/>
    <n v="1.0013679890560876"/>
    <n v="6.4207650273224046E-2"/>
    <n v="1"/>
    <n v="0"/>
    <n v="0"/>
  </r>
  <r>
    <s v="PO-1092"/>
    <x v="8"/>
    <s v="Imported"/>
    <n v="86"/>
    <d v="2026-05-26T00:00:00"/>
    <d v="2026-06-06T00:00:00"/>
    <d v="2026-06-03T00:00:00"/>
    <n v="84"/>
    <s v="IM-281"/>
    <n v="1"/>
    <s v="Delivered"/>
    <s v="Y"/>
    <s v="N"/>
    <s v="N"/>
    <n v="8"/>
    <n v="0.97674418604651159"/>
    <n v="1.1904761904761904E-2"/>
    <n v="0"/>
    <n v="0"/>
    <n v="0"/>
  </r>
  <r>
    <s v="PO-1151"/>
    <x v="9"/>
    <s v="Raw Material"/>
    <n v="87"/>
    <d v="2026-05-08T00:00:00"/>
    <d v="2026-05-19T00:00:00"/>
    <d v="2026-05-16T00:00:00"/>
    <n v="86"/>
    <s v="RM-277"/>
    <n v="1"/>
    <s v="Delivered"/>
    <s v="Y"/>
    <s v="Y"/>
    <s v="Y"/>
    <n v="8"/>
    <n v="0.9885057471264368"/>
    <n v="1.1627906976744186E-2"/>
    <n v="1"/>
    <n v="0"/>
    <n v="0"/>
  </r>
  <r>
    <s v="PO-1996"/>
    <x v="13"/>
    <s v="Packaging"/>
    <n v="665"/>
    <d v="2026-03-12T00:00:00"/>
    <d v="2026-03-17T00:00:00"/>
    <d v="2026-03-16T00:00:00"/>
    <n v="631"/>
    <s v="PK-275"/>
    <n v="27"/>
    <s v="Delivered"/>
    <s v="Y"/>
    <s v="N"/>
    <s v="N"/>
    <n v="4"/>
    <n v="0.94887218045112787"/>
    <n v="4.2789223454833596E-2"/>
    <n v="0"/>
    <n v="0"/>
    <n v="0"/>
  </r>
  <r>
    <s v="PO-1317"/>
    <x v="18"/>
    <s v="Raw Material"/>
    <n v="271"/>
    <d v="2026-03-21T00:00:00"/>
    <d v="2026-04-01T00:00:00"/>
    <d v="2026-03-31T00:00:00"/>
    <n v="271"/>
    <s v="RM-148"/>
    <n v="7"/>
    <s v="Delivered"/>
    <s v="Y"/>
    <s v="Y"/>
    <s v="Y"/>
    <n v="10"/>
    <n v="1"/>
    <n v="2.5830258302583026E-2"/>
    <n v="1"/>
    <n v="0"/>
    <n v="0"/>
  </r>
  <r>
    <s v="PO-1448"/>
    <x v="13"/>
    <s v="Packaging"/>
    <n v="758"/>
    <d v="2026-01-24T00:00:00"/>
    <d v="2026-02-06T00:00:00"/>
    <d v="2026-02-04T00:00:00"/>
    <n v="746"/>
    <s v="PK-208"/>
    <n v="48"/>
    <s v="Delivered"/>
    <s v="Y"/>
    <s v="Y"/>
    <s v="Y"/>
    <n v="11"/>
    <n v="0.9841688654353562"/>
    <n v="6.4343163538873996E-2"/>
    <n v="1"/>
    <n v="0"/>
    <n v="0"/>
  </r>
  <r>
    <s v="PO-1803"/>
    <x v="18"/>
    <s v="Raw Material"/>
    <n v="208"/>
    <d v="2026-01-27T00:00:00"/>
    <d v="2026-02-02T00:00:00"/>
    <d v="2026-01-30T00:00:00"/>
    <n v="211"/>
    <s v="RM-283"/>
    <n v="11"/>
    <s v="Delivered"/>
    <s v="Y"/>
    <s v="Y"/>
    <s v="Y"/>
    <n v="3"/>
    <n v="1.0144230769230769"/>
    <n v="5.2132701421800945E-2"/>
    <n v="1"/>
    <n v="0"/>
    <n v="0"/>
  </r>
  <r>
    <s v="PO-1745"/>
    <x v="0"/>
    <s v="Packaging"/>
    <n v="307"/>
    <d v="2026-03-31T00:00:00"/>
    <d v="2026-04-05T00:00:00"/>
    <d v="2026-04-04T00:00:00"/>
    <n v="312"/>
    <s v="PK-294"/>
    <n v="1"/>
    <s v="Delivered"/>
    <s v="Y"/>
    <s v="Y"/>
    <s v="Y"/>
    <n v="4"/>
    <n v="1.0162866449511401"/>
    <n v="3.205128205128205E-3"/>
    <n v="1"/>
    <n v="0"/>
    <n v="0"/>
  </r>
  <r>
    <s v="PO-1522"/>
    <x v="7"/>
    <s v="Imported"/>
    <n v="122"/>
    <d v="2026-02-04T00:00:00"/>
    <d v="2026-02-10T00:00:00"/>
    <d v="2026-02-11T00:00:00"/>
    <n v="123"/>
    <s v="IM-131"/>
    <n v="7"/>
    <s v="Delivered"/>
    <s v="N"/>
    <s v="Y"/>
    <s v="N"/>
    <n v="7"/>
    <n v="1.0081967213114753"/>
    <n v="5.6910569105691054E-2"/>
    <n v="0"/>
    <n v="1"/>
    <n v="500"/>
  </r>
  <r>
    <s v="PO-1279"/>
    <x v="11"/>
    <s v="Imported"/>
    <n v="753"/>
    <d v="2026-05-31T00:00:00"/>
    <d v="2026-06-13T00:00:00"/>
    <d v="2026-06-17T00:00:00"/>
    <n v="766"/>
    <s v="IM-206"/>
    <n v="5"/>
    <s v="Delivered"/>
    <s v="N"/>
    <s v="Y"/>
    <s v="N"/>
    <n v="17"/>
    <n v="1.0172642762284196"/>
    <n v="6.5274151436031328E-3"/>
    <n v="0"/>
    <n v="4"/>
    <n v="2000"/>
  </r>
  <r>
    <s v="PO-1583"/>
    <x v="5"/>
    <s v="Raw Material"/>
    <n v="529"/>
    <d v="2026-04-17T00:00:00"/>
    <d v="2026-04-23T00:00:00"/>
    <d v="2026-04-21T00:00:00"/>
    <n v="535"/>
    <s v="RM-239"/>
    <n v="3"/>
    <s v="Delivered"/>
    <s v="Y"/>
    <s v="Y"/>
    <s v="Y"/>
    <n v="4"/>
    <n v="1.0113421550094519"/>
    <n v="5.6074766355140183E-3"/>
    <n v="1"/>
    <n v="0"/>
    <n v="0"/>
  </r>
  <r>
    <s v="PO-1764"/>
    <x v="19"/>
    <s v="Raw Material"/>
    <n v="403"/>
    <d v="2026-04-07T00:00:00"/>
    <d v="2026-04-12T00:00:00"/>
    <d v="2026-04-12T00:00:00"/>
    <n v="404"/>
    <s v="RM-205"/>
    <n v="0"/>
    <s v="Delivered"/>
    <s v="Y"/>
    <s v="Y"/>
    <s v="Y"/>
    <n v="5"/>
    <n v="1.0024813895781637"/>
    <n v="0"/>
    <n v="1"/>
    <n v="0"/>
    <n v="0"/>
  </r>
  <r>
    <s v="PO-1604"/>
    <x v="11"/>
    <s v="Raw Material"/>
    <n v="911"/>
    <d v="2026-05-01T00:00:00"/>
    <d v="2026-05-12T00:00:00"/>
    <d v="2026-05-20T00:00:00"/>
    <n v="923"/>
    <s v="RM-196"/>
    <n v="11"/>
    <s v="Delivered"/>
    <s v="N"/>
    <s v="Y"/>
    <s v="N"/>
    <n v="19"/>
    <n v="1.0131723380900111"/>
    <n v="1.1917659804983749E-2"/>
    <n v="0"/>
    <n v="8"/>
    <n v="4000"/>
  </r>
  <r>
    <s v="PO-1995"/>
    <x v="15"/>
    <s v="Raw Material"/>
    <n v="819"/>
    <d v="2026-04-03T00:00:00"/>
    <d v="2026-04-11T00:00:00"/>
    <d v="2026-04-09T00:00:00"/>
    <n v="830"/>
    <s v="RM-100"/>
    <n v="2"/>
    <s v="Delivered"/>
    <s v="Y"/>
    <s v="Y"/>
    <s v="Y"/>
    <n v="6"/>
    <n v="1.0134310134310134"/>
    <n v="2.4096385542168677E-3"/>
    <n v="1"/>
    <n v="0"/>
    <n v="0"/>
  </r>
  <r>
    <s v="PO-1349"/>
    <x v="7"/>
    <s v="Raw Material"/>
    <n v="348"/>
    <d v="2026-01-21T00:00:00"/>
    <d v="2026-02-01T00:00:00"/>
    <d v="2026-01-29T00:00:00"/>
    <n v="352"/>
    <s v="RM-125"/>
    <n v="22"/>
    <s v="Delivered"/>
    <s v="Y"/>
    <s v="Y"/>
    <s v="Y"/>
    <n v="8"/>
    <n v="1.0114942528735633"/>
    <n v="6.25E-2"/>
    <n v="1"/>
    <n v="0"/>
    <n v="0"/>
  </r>
  <r>
    <s v="PO-1927"/>
    <x v="14"/>
    <s v="Raw Material"/>
    <n v="321"/>
    <d v="2026-01-06T00:00:00"/>
    <d v="2026-01-13T00:00:00"/>
    <d v="2026-01-18T00:00:00"/>
    <n v="276"/>
    <s v="RM-231"/>
    <n v="1"/>
    <s v="Delivered"/>
    <s v="N"/>
    <s v="N"/>
    <s v="N"/>
    <n v="12"/>
    <n v="0.85981308411214952"/>
    <n v="3.6231884057971015E-3"/>
    <n v="0"/>
    <n v="5"/>
    <n v="2500"/>
  </r>
  <r>
    <s v="PO-1374"/>
    <x v="0"/>
    <s v="Raw Material"/>
    <n v="518"/>
    <d v="2026-03-29T00:00:00"/>
    <d v="2026-04-06T00:00:00"/>
    <m/>
    <m/>
    <s v="RM-227"/>
    <m/>
    <s v="Pending"/>
    <s v="N/A"/>
    <s v="N/A"/>
    <s v="N/A"/>
    <s v="N/A"/>
    <s v="N/A"/>
    <s v="N/A"/>
    <s v=""/>
    <s v="N/A"/>
    <n v="0"/>
  </r>
  <r>
    <s v="PO-1400"/>
    <x v="5"/>
    <s v="Imported"/>
    <n v="290"/>
    <d v="2026-04-18T00:00:00"/>
    <d v="2026-05-02T00:00:00"/>
    <d v="2026-04-29T00:00:00"/>
    <n v="278"/>
    <s v="IM-247"/>
    <n v="3"/>
    <s v="Delivered"/>
    <s v="Y"/>
    <s v="N"/>
    <s v="N"/>
    <n v="11"/>
    <n v="0.95862068965517244"/>
    <n v="1.0791366906474821E-2"/>
    <n v="0"/>
    <n v="0"/>
    <n v="0"/>
  </r>
  <r>
    <s v="PO-1704"/>
    <x v="11"/>
    <s v="Imported"/>
    <n v="694"/>
    <d v="2026-01-30T00:00:00"/>
    <d v="2026-02-10T00:00:00"/>
    <d v="2026-02-09T00:00:00"/>
    <n v="693"/>
    <s v="IM-160"/>
    <n v="7"/>
    <s v="Delivered"/>
    <s v="Y"/>
    <s v="Y"/>
    <s v="Y"/>
    <n v="10"/>
    <n v="0.99855907780979825"/>
    <n v="1.0101010101010102E-2"/>
    <n v="1"/>
    <n v="0"/>
    <n v="0"/>
  </r>
  <r>
    <s v="PO-1257"/>
    <x v="10"/>
    <s v="Raw Material"/>
    <n v="522"/>
    <d v="2026-05-04T00:00:00"/>
    <d v="2026-05-16T00:00:00"/>
    <d v="2026-05-13T00:00:00"/>
    <n v="512"/>
    <s v="RM-168"/>
    <n v="2"/>
    <s v="Delivered"/>
    <s v="Y"/>
    <s v="Y"/>
    <s v="Y"/>
    <n v="9"/>
    <n v="0.98084291187739459"/>
    <n v="3.90625E-3"/>
    <n v="1"/>
    <n v="0"/>
    <n v="0"/>
  </r>
  <r>
    <s v="PO-1944"/>
    <x v="13"/>
    <s v="Imported"/>
    <n v="835"/>
    <d v="2026-05-05T00:00:00"/>
    <d v="2026-05-10T00:00:00"/>
    <d v="2026-05-18T00:00:00"/>
    <n v="835"/>
    <s v="IM-150"/>
    <n v="68"/>
    <s v="Delivered"/>
    <s v="N"/>
    <s v="Y"/>
    <s v="N"/>
    <n v="13"/>
    <n v="1"/>
    <n v="8.1437125748502995E-2"/>
    <n v="0"/>
    <n v="8"/>
    <n v="4000"/>
  </r>
  <r>
    <s v="PO-1851"/>
    <x v="13"/>
    <s v="Raw Material"/>
    <n v="961"/>
    <d v="2026-04-22T00:00:00"/>
    <d v="2026-05-06T00:00:00"/>
    <d v="2026-05-15T00:00:00"/>
    <n v="906"/>
    <s v="RM-131"/>
    <n v="2"/>
    <s v="Delivered"/>
    <s v="N"/>
    <s v="N"/>
    <s v="N"/>
    <n v="23"/>
    <n v="0.94276795005202918"/>
    <n v="2.2075055187637969E-3"/>
    <n v="0"/>
    <n v="9"/>
    <n v="4500"/>
  </r>
  <r>
    <s v="PO-1072"/>
    <x v="1"/>
    <s v="Raw Material"/>
    <n v="399"/>
    <d v="2026-01-05T00:00:00"/>
    <d v="2026-01-17T00:00:00"/>
    <d v="2026-01-17T00:00:00"/>
    <n v="404"/>
    <s v="RM-134"/>
    <n v="7"/>
    <s v="Delivered"/>
    <s v="Y"/>
    <s v="Y"/>
    <s v="Y"/>
    <n v="12"/>
    <n v="1.0125313283208019"/>
    <n v="1.7326732673267328E-2"/>
    <n v="1"/>
    <n v="0"/>
    <n v="0"/>
  </r>
  <r>
    <s v="PO-1195"/>
    <x v="10"/>
    <s v="Imported"/>
    <n v="705"/>
    <d v="2026-03-04T00:00:00"/>
    <d v="2026-03-18T00:00:00"/>
    <d v="2026-03-16T00:00:00"/>
    <n v="710"/>
    <s v="IM-282"/>
    <n v="34"/>
    <s v="Delivered"/>
    <s v="Y"/>
    <s v="Y"/>
    <s v="Y"/>
    <n v="12"/>
    <n v="1.0070921985815602"/>
    <n v="4.788732394366197E-2"/>
    <n v="1"/>
    <n v="0"/>
    <n v="0"/>
  </r>
  <r>
    <s v="PO-1483"/>
    <x v="19"/>
    <s v="Raw Material"/>
    <n v="304"/>
    <d v="2026-05-01T00:00:00"/>
    <d v="2026-05-08T00:00:00"/>
    <d v="2026-05-10T00:00:00"/>
    <n v="302"/>
    <s v="RM-102"/>
    <n v="2"/>
    <s v="Delivered"/>
    <s v="N"/>
    <s v="Y"/>
    <s v="N"/>
    <n v="9"/>
    <n v="0.99342105263157898"/>
    <n v="6.6225165562913907E-3"/>
    <n v="0"/>
    <n v="2"/>
    <n v="1000"/>
  </r>
  <r>
    <s v="PO-1855"/>
    <x v="9"/>
    <s v="Packaging"/>
    <n v="927"/>
    <d v="2026-04-07T00:00:00"/>
    <d v="2026-04-19T00:00:00"/>
    <d v="2026-04-18T00:00:00"/>
    <n v="869"/>
    <s v="PK-292"/>
    <n v="42"/>
    <s v="Delivered"/>
    <s v="Y"/>
    <s v="N"/>
    <s v="N"/>
    <n v="11"/>
    <n v="0.93743257820927728"/>
    <n v="4.8331415420023012E-2"/>
    <n v="0"/>
    <n v="0"/>
    <n v="0"/>
  </r>
  <r>
    <s v="PO-1494"/>
    <x v="8"/>
    <s v="Raw Material"/>
    <n v="311"/>
    <d v="2026-05-28T00:00:00"/>
    <d v="2026-06-07T00:00:00"/>
    <d v="2026-06-05T00:00:00"/>
    <n v="315"/>
    <s v="RM-148"/>
    <n v="27"/>
    <s v="Delivered"/>
    <s v="Y"/>
    <s v="Y"/>
    <s v="Y"/>
    <n v="8"/>
    <n v="1.0128617363344052"/>
    <n v="8.5714285714285715E-2"/>
    <n v="1"/>
    <n v="0"/>
    <n v="0"/>
  </r>
  <r>
    <s v="PO-1772"/>
    <x v="1"/>
    <s v="Imported"/>
    <n v="175"/>
    <d v="2026-01-19T00:00:00"/>
    <d v="2026-01-31T00:00:00"/>
    <d v="2026-02-05T00:00:00"/>
    <n v="177"/>
    <s v="IM-262"/>
    <n v="0"/>
    <s v="Delivered"/>
    <s v="N"/>
    <s v="Y"/>
    <s v="N"/>
    <n v="17"/>
    <n v="1.0114285714285713"/>
    <n v="0"/>
    <n v="0"/>
    <n v="5"/>
    <n v="2500"/>
  </r>
  <r>
    <s v="PO-1550"/>
    <x v="16"/>
    <s v="Packaging"/>
    <n v="358"/>
    <d v="2026-01-23T00:00:00"/>
    <d v="2026-02-06T00:00:00"/>
    <d v="2026-02-07T00:00:00"/>
    <n v="312"/>
    <s v="PK-193"/>
    <n v="1"/>
    <s v="Delivered"/>
    <s v="N"/>
    <s v="N"/>
    <s v="N"/>
    <n v="15"/>
    <n v="0.87150837988826813"/>
    <n v="3.205128205128205E-3"/>
    <n v="0"/>
    <n v="1"/>
    <n v="500"/>
  </r>
  <r>
    <s v="PO-1462"/>
    <x v="7"/>
    <s v="Packaging"/>
    <n v="169"/>
    <d v="2026-04-04T00:00:00"/>
    <d v="2026-04-15T00:00:00"/>
    <d v="2026-04-21T00:00:00"/>
    <n v="171"/>
    <s v="PK-226"/>
    <n v="5"/>
    <s v="Delivered"/>
    <s v="N"/>
    <s v="Y"/>
    <s v="N"/>
    <n v="17"/>
    <n v="1.0118343195266273"/>
    <n v="2.9239766081871343E-2"/>
    <n v="0"/>
    <n v="6"/>
    <n v="3000"/>
  </r>
  <r>
    <s v="PO-1201"/>
    <x v="7"/>
    <s v="Packaging"/>
    <n v="579"/>
    <d v="2026-04-26T00:00:00"/>
    <d v="2026-05-09T00:00:00"/>
    <d v="2026-05-07T00:00:00"/>
    <n v="568"/>
    <s v="PK-165"/>
    <n v="28"/>
    <s v="Delivered"/>
    <s v="Y"/>
    <s v="Y"/>
    <s v="Y"/>
    <n v="11"/>
    <n v="0.98100172711571676"/>
    <n v="4.9295774647887321E-2"/>
    <n v="1"/>
    <n v="0"/>
    <n v="0"/>
  </r>
  <r>
    <s v="PO-1312"/>
    <x v="3"/>
    <s v="Imported"/>
    <n v="285"/>
    <d v="2026-01-29T00:00:00"/>
    <d v="2026-02-13T00:00:00"/>
    <d v="2026-02-19T00:00:00"/>
    <n v="239"/>
    <s v="IM-200"/>
    <n v="16"/>
    <s v="Delivered"/>
    <s v="N"/>
    <s v="N"/>
    <s v="N"/>
    <n v="21"/>
    <n v="0.83859649122807023"/>
    <n v="6.6945606694560664E-2"/>
    <n v="0"/>
    <n v="6"/>
    <n v="3000"/>
  </r>
  <r>
    <s v="PO-1290"/>
    <x v="12"/>
    <s v="Packaging"/>
    <n v="138"/>
    <d v="2026-02-18T00:00:00"/>
    <d v="2026-02-28T00:00:00"/>
    <d v="2026-02-27T00:00:00"/>
    <n v="140"/>
    <s v="PK-107"/>
    <n v="2"/>
    <s v="Delivered"/>
    <s v="Y"/>
    <s v="Y"/>
    <s v="Y"/>
    <n v="9"/>
    <n v="1.0144927536231885"/>
    <n v="1.4285714285714285E-2"/>
    <n v="1"/>
    <n v="0"/>
    <n v="0"/>
  </r>
  <r>
    <s v="PO-1960"/>
    <x v="3"/>
    <s v="Imported"/>
    <n v="468"/>
    <d v="2026-03-21T00:00:00"/>
    <d v="2026-03-27T00:00:00"/>
    <d v="2026-03-25T00:00:00"/>
    <n v="382"/>
    <s v="IM-176"/>
    <n v="12"/>
    <s v="Delivered"/>
    <s v="Y"/>
    <s v="N"/>
    <s v="N"/>
    <n v="4"/>
    <n v="0.81623931623931623"/>
    <n v="3.1413612565445025E-2"/>
    <n v="0"/>
    <n v="0"/>
    <n v="0"/>
  </r>
  <r>
    <s v="PO-1189"/>
    <x v="0"/>
    <s v="Raw Material"/>
    <n v="252"/>
    <d v="2026-04-01T00:00:00"/>
    <d v="2026-04-13T00:00:00"/>
    <d v="2026-04-13T00:00:00"/>
    <n v="251"/>
    <s v="RM-244"/>
    <n v="1"/>
    <s v="Delivered"/>
    <s v="Y"/>
    <s v="Y"/>
    <s v="Y"/>
    <n v="12"/>
    <n v="0.99603174603174605"/>
    <n v="3.9840637450199202E-3"/>
    <n v="1"/>
    <n v="0"/>
    <n v="0"/>
  </r>
  <r>
    <s v="PO-1763"/>
    <x v="4"/>
    <s v="Packaging"/>
    <n v="977"/>
    <d v="2026-03-17T00:00:00"/>
    <d v="2026-03-23T00:00:00"/>
    <d v="2026-03-22T00:00:00"/>
    <n v="958"/>
    <s v="PK-182"/>
    <n v="1"/>
    <s v="Delivered"/>
    <s v="Y"/>
    <s v="Y"/>
    <s v="Y"/>
    <n v="5"/>
    <n v="0.98055271238485153"/>
    <n v="1.0438413361169101E-3"/>
    <n v="1"/>
    <n v="0"/>
    <n v="0"/>
  </r>
  <r>
    <s v="PO-1112"/>
    <x v="19"/>
    <s v="Packaging"/>
    <n v="232"/>
    <d v="2026-03-22T00:00:00"/>
    <d v="2026-03-28T00:00:00"/>
    <d v="2026-03-28T00:00:00"/>
    <n v="236"/>
    <s v="PK-161"/>
    <n v="8"/>
    <s v="Delivered"/>
    <s v="Y"/>
    <s v="Y"/>
    <s v="Y"/>
    <n v="6"/>
    <n v="1.0172413793103448"/>
    <n v="3.3898305084745763E-2"/>
    <n v="1"/>
    <n v="0"/>
    <n v="0"/>
  </r>
  <r>
    <s v="PO-1949"/>
    <x v="12"/>
    <s v="Raw Material"/>
    <n v="603"/>
    <d v="2026-02-27T00:00:00"/>
    <d v="2026-03-09T00:00:00"/>
    <d v="2026-03-07T00:00:00"/>
    <n v="582"/>
    <s v="RM-158"/>
    <n v="4"/>
    <s v="Delivered"/>
    <s v="Y"/>
    <s v="N"/>
    <s v="N"/>
    <n v="8"/>
    <n v="0.96517412935323388"/>
    <n v="6.8728522336769758E-3"/>
    <n v="0"/>
    <n v="0"/>
    <n v="0"/>
  </r>
  <r>
    <s v="PO-1183"/>
    <x v="15"/>
    <s v="Packaging"/>
    <n v="203"/>
    <d v="2026-02-25T00:00:00"/>
    <d v="2026-03-05T00:00:00"/>
    <d v="2026-03-03T00:00:00"/>
    <n v="193"/>
    <s v="PK-151"/>
    <n v="2"/>
    <s v="Delivered"/>
    <s v="Y"/>
    <s v="N"/>
    <s v="N"/>
    <n v="6"/>
    <n v="0.95073891625615758"/>
    <n v="1.0362694300518135E-2"/>
    <n v="0"/>
    <n v="0"/>
    <n v="0"/>
  </r>
  <r>
    <s v="PO-1152"/>
    <x v="4"/>
    <s v="Raw Material"/>
    <n v="297"/>
    <d v="2026-02-28T00:00:00"/>
    <d v="2026-03-11T00:00:00"/>
    <d v="2026-03-09T00:00:00"/>
    <n v="298"/>
    <s v="RM-133"/>
    <n v="9"/>
    <s v="Delivered"/>
    <s v="Y"/>
    <s v="Y"/>
    <s v="Y"/>
    <n v="9"/>
    <n v="1.0033670033670035"/>
    <n v="3.0201342281879196E-2"/>
    <n v="1"/>
    <n v="0"/>
    <n v="0"/>
  </r>
  <r>
    <s v="PO-1824"/>
    <x v="14"/>
    <s v="Raw Material"/>
    <n v="820"/>
    <d v="2026-03-21T00:00:00"/>
    <d v="2026-03-26T00:00:00"/>
    <d v="2026-03-23T00:00:00"/>
    <n v="826"/>
    <s v="RM-243"/>
    <n v="4"/>
    <s v="Delivered"/>
    <s v="Y"/>
    <s v="Y"/>
    <s v="Y"/>
    <n v="2"/>
    <n v="1.0073170731707317"/>
    <n v="4.8426150121065378E-3"/>
    <n v="1"/>
    <n v="0"/>
    <n v="0"/>
  </r>
  <r>
    <s v="PO-1325"/>
    <x v="3"/>
    <s v="Imported"/>
    <n v="297"/>
    <d v="2026-03-02T00:00:00"/>
    <d v="2026-03-14T00:00:00"/>
    <d v="2026-03-12T00:00:00"/>
    <n v="287"/>
    <s v="IM-204"/>
    <n v="3"/>
    <s v="Delivered"/>
    <s v="Y"/>
    <s v="N"/>
    <s v="N"/>
    <n v="10"/>
    <n v="0.96632996632996637"/>
    <n v="1.0452961672473868E-2"/>
    <n v="0"/>
    <n v="0"/>
    <n v="0"/>
  </r>
  <r>
    <s v="PO-1703"/>
    <x v="14"/>
    <s v="Packaging"/>
    <n v="715"/>
    <d v="2026-03-26T00:00:00"/>
    <d v="2026-04-04T00:00:00"/>
    <d v="2026-04-02T00:00:00"/>
    <n v="725"/>
    <s v="PK-136"/>
    <n v="10"/>
    <s v="Delivered"/>
    <s v="Y"/>
    <s v="Y"/>
    <s v="Y"/>
    <n v="7"/>
    <n v="1.013986013986014"/>
    <n v="1.3793103448275862E-2"/>
    <n v="1"/>
    <n v="0"/>
    <n v="0"/>
  </r>
  <r>
    <s v="PO-1044"/>
    <x v="10"/>
    <s v="Raw Material"/>
    <n v="137"/>
    <d v="2026-05-01T00:00:00"/>
    <d v="2026-05-11T00:00:00"/>
    <d v="2026-05-16T00:00:00"/>
    <n v="131"/>
    <s v="RM-260"/>
    <n v="12"/>
    <s v="Delivered"/>
    <s v="N"/>
    <s v="N"/>
    <s v="N"/>
    <n v="15"/>
    <n v="0.95620437956204385"/>
    <n v="9.1603053435114504E-2"/>
    <n v="0"/>
    <n v="5"/>
    <n v="2500"/>
  </r>
  <r>
    <s v="PO-1444"/>
    <x v="18"/>
    <s v="Raw Material"/>
    <n v="269"/>
    <d v="2026-04-24T00:00:00"/>
    <d v="2026-05-04T00:00:00"/>
    <d v="2026-05-04T00:00:00"/>
    <n v="272"/>
    <s v="RM-182"/>
    <n v="16"/>
    <s v="Delivered"/>
    <s v="Y"/>
    <s v="Y"/>
    <s v="Y"/>
    <n v="10"/>
    <n v="1.0111524163568772"/>
    <n v="5.8823529411764705E-2"/>
    <n v="1"/>
    <n v="0"/>
    <n v="0"/>
  </r>
  <r>
    <s v="PO-1787"/>
    <x v="2"/>
    <s v="Raw Material"/>
    <n v="237"/>
    <d v="2026-04-15T00:00:00"/>
    <d v="2026-04-28T00:00:00"/>
    <d v="2026-04-28T00:00:00"/>
    <n v="241"/>
    <s v="RM-158"/>
    <n v="12"/>
    <s v="Delivered"/>
    <s v="Y"/>
    <s v="Y"/>
    <s v="Y"/>
    <n v="13"/>
    <n v="1.0168776371308017"/>
    <n v="4.9792531120331947E-2"/>
    <n v="1"/>
    <n v="0"/>
    <n v="0"/>
  </r>
  <r>
    <s v="PO-1006"/>
    <x v="2"/>
    <s v="Packaging"/>
    <n v="877"/>
    <d v="2026-02-17T00:00:00"/>
    <d v="2026-02-25T00:00:00"/>
    <m/>
    <m/>
    <s v="PK-207"/>
    <m/>
    <s v="Pending"/>
    <s v="N/A"/>
    <s v="N/A"/>
    <s v="N/A"/>
    <s v="N/A"/>
    <s v="N/A"/>
    <s v="N/A"/>
    <s v=""/>
    <s v="N/A"/>
    <n v="0"/>
  </r>
  <r>
    <s v="PO-1250"/>
    <x v="11"/>
    <s v="Packaging"/>
    <n v="792"/>
    <d v="2026-02-24T00:00:00"/>
    <d v="2026-03-06T00:00:00"/>
    <d v="2026-03-06T00:00:00"/>
    <n v="796"/>
    <s v="PK-241"/>
    <n v="9"/>
    <s v="Delivered"/>
    <s v="Y"/>
    <s v="Y"/>
    <s v="Y"/>
    <n v="10"/>
    <n v="1.005050505050505"/>
    <n v="1.1306532663316583E-2"/>
    <n v="1"/>
    <n v="0"/>
    <n v="0"/>
  </r>
  <r>
    <s v="PO-1823"/>
    <x v="7"/>
    <s v="Raw Material"/>
    <n v="726"/>
    <d v="2026-02-11T00:00:00"/>
    <d v="2026-02-24T00:00:00"/>
    <d v="2026-02-21T00:00:00"/>
    <n v="738"/>
    <s v="RM-179"/>
    <n v="19"/>
    <s v="Delivered"/>
    <s v="Y"/>
    <s v="Y"/>
    <s v="Y"/>
    <n v="10"/>
    <n v="1.0165289256198347"/>
    <n v="2.5745257452574527E-2"/>
    <n v="1"/>
    <n v="0"/>
    <n v="0"/>
  </r>
  <r>
    <s v="PO-1075"/>
    <x v="4"/>
    <s v="Raw Material"/>
    <n v="118"/>
    <d v="2026-04-18T00:00:00"/>
    <d v="2026-04-30T00:00:00"/>
    <d v="2026-04-28T00:00:00"/>
    <n v="109"/>
    <s v="RM-152"/>
    <n v="3"/>
    <s v="Delivered"/>
    <s v="Y"/>
    <s v="N"/>
    <s v="N"/>
    <n v="10"/>
    <n v="0.92372881355932202"/>
    <n v="2.7522935779816515E-2"/>
    <n v="0"/>
    <n v="0"/>
    <n v="0"/>
  </r>
  <r>
    <s v="PO-1512"/>
    <x v="19"/>
    <s v="Imported"/>
    <n v="514"/>
    <d v="2026-03-21T00:00:00"/>
    <d v="2026-04-04T00:00:00"/>
    <d v="2026-04-10T00:00:00"/>
    <n v="521"/>
    <s v="IM-274"/>
    <n v="0"/>
    <s v="Delivered"/>
    <s v="N"/>
    <s v="Y"/>
    <s v="N"/>
    <n v="20"/>
    <n v="1.0136186770428015"/>
    <n v="0"/>
    <n v="0"/>
    <n v="6"/>
    <n v="3000"/>
  </r>
  <r>
    <s v="PO-1940"/>
    <x v="15"/>
    <s v="Packaging"/>
    <n v="375"/>
    <d v="2026-02-17T00:00:00"/>
    <d v="2026-03-03T00:00:00"/>
    <d v="2026-03-01T00:00:00"/>
    <n v="333"/>
    <s v="PK-196"/>
    <n v="5"/>
    <s v="Delivered"/>
    <s v="Y"/>
    <s v="N"/>
    <s v="N"/>
    <n v="12"/>
    <n v="0.88800000000000001"/>
    <n v="1.5015015015015015E-2"/>
    <n v="0"/>
    <n v="0"/>
    <n v="0"/>
  </r>
  <r>
    <s v="PO-1391"/>
    <x v="19"/>
    <s v="Imported"/>
    <n v="703"/>
    <d v="2026-04-08T00:00:00"/>
    <d v="2026-04-17T00:00:00"/>
    <d v="2026-04-17T00:00:00"/>
    <n v="708"/>
    <s v="IM-112"/>
    <n v="18"/>
    <s v="Delivered"/>
    <s v="Y"/>
    <s v="Y"/>
    <s v="Y"/>
    <n v="9"/>
    <n v="1.0071123755334281"/>
    <n v="2.5423728813559324E-2"/>
    <n v="1"/>
    <n v="0"/>
    <n v="0"/>
  </r>
  <r>
    <s v="PO-1895"/>
    <x v="7"/>
    <s v="Raw Material"/>
    <n v="767"/>
    <d v="2026-03-18T00:00:00"/>
    <d v="2026-03-26T00:00:00"/>
    <d v="2026-04-03T00:00:00"/>
    <n v="764"/>
    <s v="RM-192"/>
    <n v="1"/>
    <s v="Delivered"/>
    <s v="N"/>
    <s v="Y"/>
    <s v="N"/>
    <n v="16"/>
    <n v="0.99608865710560623"/>
    <n v="1.3089005235602095E-3"/>
    <n v="0"/>
    <n v="8"/>
    <n v="4000"/>
  </r>
  <r>
    <s v="PO-1432"/>
    <x v="17"/>
    <s v="Raw Material"/>
    <n v="864"/>
    <d v="2026-03-05T00:00:00"/>
    <d v="2026-03-17T00:00:00"/>
    <d v="2026-03-17T00:00:00"/>
    <n v="879"/>
    <s v="RM-293"/>
    <n v="24"/>
    <s v="Delivered"/>
    <s v="Y"/>
    <s v="Y"/>
    <s v="Y"/>
    <n v="12"/>
    <n v="1.0173611111111112"/>
    <n v="2.7303754266211604E-2"/>
    <n v="1"/>
    <n v="0"/>
    <n v="0"/>
  </r>
  <r>
    <s v="PO-1068"/>
    <x v="11"/>
    <s v="Packaging"/>
    <n v="405"/>
    <d v="2026-02-17T00:00:00"/>
    <d v="2026-02-26T00:00:00"/>
    <d v="2026-02-26T00:00:00"/>
    <n v="405"/>
    <s v="PK-278"/>
    <n v="2"/>
    <s v="Delivered"/>
    <s v="Y"/>
    <s v="Y"/>
    <s v="Y"/>
    <n v="9"/>
    <n v="1"/>
    <n v="4.9382716049382715E-3"/>
    <n v="1"/>
    <n v="0"/>
    <n v="0"/>
  </r>
  <r>
    <s v="PO-1998"/>
    <x v="18"/>
    <s v="Packaging"/>
    <n v="930"/>
    <d v="2026-01-28T00:00:00"/>
    <d v="2026-02-04T00:00:00"/>
    <d v="2026-02-02T00:00:00"/>
    <n v="759"/>
    <s v="PK-211"/>
    <n v="29"/>
    <s v="Delivered"/>
    <s v="Y"/>
    <s v="N"/>
    <s v="N"/>
    <n v="5"/>
    <n v="0.81612903225806455"/>
    <n v="3.8208168642951248E-2"/>
    <n v="0"/>
    <n v="0"/>
    <n v="0"/>
  </r>
  <r>
    <s v="PO-1167"/>
    <x v="19"/>
    <s v="Packaging"/>
    <n v="342"/>
    <d v="2026-01-06T00:00:00"/>
    <d v="2026-01-13T00:00:00"/>
    <d v="2026-01-12T00:00:00"/>
    <n v="341"/>
    <s v="PK-284"/>
    <n v="13"/>
    <s v="Delivered"/>
    <s v="Y"/>
    <s v="Y"/>
    <s v="Y"/>
    <n v="6"/>
    <n v="0.99707602339181289"/>
    <n v="3.8123167155425221E-2"/>
    <n v="1"/>
    <n v="0"/>
    <n v="0"/>
  </r>
  <r>
    <s v="PO-1904"/>
    <x v="12"/>
    <s v="Packaging"/>
    <n v="994"/>
    <d v="2026-01-16T00:00:00"/>
    <d v="2026-01-26T00:00:00"/>
    <d v="2026-01-23T00:00:00"/>
    <n v="995"/>
    <s v="PK-180"/>
    <n v="28"/>
    <s v="Delivered"/>
    <s v="Y"/>
    <s v="Y"/>
    <s v="Y"/>
    <n v="7"/>
    <n v="1.0010060362173039"/>
    <n v="2.8140703517587941E-2"/>
    <n v="1"/>
    <n v="0"/>
    <n v="0"/>
  </r>
  <r>
    <s v="PO-1730"/>
    <x v="8"/>
    <s v="Packaging"/>
    <n v="505"/>
    <d v="2026-04-18T00:00:00"/>
    <d v="2026-04-28T00:00:00"/>
    <d v="2026-04-30T00:00:00"/>
    <n v="498"/>
    <s v="PK-150"/>
    <n v="21"/>
    <s v="Delivered"/>
    <s v="N"/>
    <s v="Y"/>
    <s v="N"/>
    <n v="12"/>
    <n v="0.98613861386138613"/>
    <n v="4.2168674698795178E-2"/>
    <n v="0"/>
    <n v="2"/>
    <n v="1000"/>
  </r>
  <r>
    <s v="PO-1554"/>
    <x v="4"/>
    <s v="Raw Material"/>
    <n v="495"/>
    <d v="2026-01-11T00:00:00"/>
    <d v="2026-01-23T00:00:00"/>
    <d v="2026-01-22T00:00:00"/>
    <n v="460"/>
    <s v="RM-226"/>
    <n v="7"/>
    <s v="Delivered"/>
    <s v="Y"/>
    <s v="N"/>
    <s v="N"/>
    <n v="11"/>
    <n v="0.92929292929292928"/>
    <n v="1.5217391304347827E-2"/>
    <n v="0"/>
    <n v="0"/>
    <n v="0"/>
  </r>
  <r>
    <s v="PO-1366"/>
    <x v="14"/>
    <s v="Raw Material"/>
    <n v="435"/>
    <d v="2026-04-28T00:00:00"/>
    <d v="2026-05-03T00:00:00"/>
    <d v="2026-05-06T00:00:00"/>
    <n v="434"/>
    <s v="RM-185"/>
    <n v="10"/>
    <s v="Delivered"/>
    <s v="N"/>
    <s v="Y"/>
    <s v="N"/>
    <n v="8"/>
    <n v="0.99770114942528731"/>
    <n v="2.3041474654377881E-2"/>
    <n v="0"/>
    <n v="3"/>
    <n v="1500"/>
  </r>
  <r>
    <s v="PO-1345"/>
    <x v="0"/>
    <s v="Imported"/>
    <n v="685"/>
    <d v="2026-04-22T00:00:00"/>
    <d v="2026-04-28T00:00:00"/>
    <m/>
    <m/>
    <s v="IM-233"/>
    <m/>
    <s v="Pending"/>
    <s v="N/A"/>
    <s v="N/A"/>
    <s v="N/A"/>
    <s v="N/A"/>
    <s v="N/A"/>
    <s v="N/A"/>
    <s v=""/>
    <s v="N/A"/>
    <n v="0"/>
  </r>
  <r>
    <s v="PO-1584"/>
    <x v="12"/>
    <s v="Packaging"/>
    <n v="258"/>
    <d v="2026-02-18T00:00:00"/>
    <d v="2026-03-04T00:00:00"/>
    <d v="2026-03-10T00:00:00"/>
    <n v="258"/>
    <s v="PK-218"/>
    <n v="2"/>
    <s v="Delivered"/>
    <s v="N"/>
    <s v="Y"/>
    <s v="N"/>
    <n v="20"/>
    <n v="1"/>
    <n v="7.7519379844961239E-3"/>
    <n v="0"/>
    <n v="6"/>
    <n v="3000"/>
  </r>
  <r>
    <s v="PO-1535"/>
    <x v="5"/>
    <s v="Imported"/>
    <n v="333"/>
    <d v="2026-01-27T00:00:00"/>
    <d v="2026-02-01T00:00:00"/>
    <d v="2026-02-03T00:00:00"/>
    <n v="308"/>
    <s v="IM-178"/>
    <n v="3"/>
    <s v="Delivered"/>
    <s v="N"/>
    <s v="N"/>
    <s v="N"/>
    <n v="7"/>
    <n v="0.92492492492492495"/>
    <n v="9.74025974025974E-3"/>
    <n v="0"/>
    <n v="2"/>
    <n v="1000"/>
  </r>
  <r>
    <s v="PO-1398"/>
    <x v="6"/>
    <s v="Raw Material"/>
    <n v="526"/>
    <d v="2026-02-13T00:00:00"/>
    <d v="2026-02-18T00:00:00"/>
    <d v="2026-02-18T00:00:00"/>
    <n v="504"/>
    <s v="RM-147"/>
    <n v="2"/>
    <s v="Delivered"/>
    <s v="Y"/>
    <s v="N"/>
    <s v="N"/>
    <n v="5"/>
    <n v="0.95817490494296575"/>
    <n v="3.968253968253968E-3"/>
    <n v="0"/>
    <n v="0"/>
    <n v="0"/>
  </r>
  <r>
    <s v="PO-1185"/>
    <x v="2"/>
    <s v="Raw Material"/>
    <n v="502"/>
    <d v="2026-03-03T00:00:00"/>
    <d v="2026-03-15T00:00:00"/>
    <d v="2026-03-12T00:00:00"/>
    <n v="422"/>
    <s v="RM-237"/>
    <n v="24"/>
    <s v="Delivered"/>
    <s v="Y"/>
    <s v="N"/>
    <s v="N"/>
    <n v="9"/>
    <n v="0.84063745019920322"/>
    <n v="5.6872037914691941E-2"/>
    <n v="0"/>
    <n v="0"/>
    <n v="0"/>
  </r>
  <r>
    <s v="PO-1348"/>
    <x v="4"/>
    <s v="Packaging"/>
    <n v="220"/>
    <d v="2026-04-12T00:00:00"/>
    <d v="2026-04-19T00:00:00"/>
    <d v="2026-04-17T00:00:00"/>
    <n v="211"/>
    <s v="PK-256"/>
    <n v="5"/>
    <s v="Delivered"/>
    <s v="Y"/>
    <s v="N"/>
    <s v="N"/>
    <n v="5"/>
    <n v="0.95909090909090911"/>
    <n v="2.3696682464454975E-2"/>
    <n v="0"/>
    <n v="0"/>
    <n v="0"/>
  </r>
  <r>
    <s v="PO-1615"/>
    <x v="9"/>
    <s v="Raw Material"/>
    <n v="115"/>
    <d v="2026-02-08T00:00:00"/>
    <d v="2026-02-18T00:00:00"/>
    <d v="2026-02-27T00:00:00"/>
    <n v="115"/>
    <s v="RM-155"/>
    <n v="1"/>
    <s v="Delivered"/>
    <s v="N"/>
    <s v="Y"/>
    <s v="N"/>
    <n v="19"/>
    <n v="1"/>
    <n v="8.6956521739130436E-3"/>
    <n v="0"/>
    <n v="9"/>
    <n v="4500"/>
  </r>
  <r>
    <s v="PO-1919"/>
    <x v="17"/>
    <s v="Packaging"/>
    <n v="336"/>
    <d v="2026-05-10T00:00:00"/>
    <d v="2026-05-25T00:00:00"/>
    <d v="2026-05-25T00:00:00"/>
    <n v="331"/>
    <s v="PK-267"/>
    <n v="0"/>
    <s v="Delivered"/>
    <s v="Y"/>
    <s v="Y"/>
    <s v="Y"/>
    <n v="15"/>
    <n v="0.98511904761904767"/>
    <n v="0"/>
    <n v="1"/>
    <n v="0"/>
    <n v="0"/>
  </r>
  <r>
    <s v="PO-1211"/>
    <x v="3"/>
    <s v="Imported"/>
    <n v="917"/>
    <d v="2026-03-02T00:00:00"/>
    <d v="2026-03-10T00:00:00"/>
    <d v="2026-03-19T00:00:00"/>
    <n v="923"/>
    <s v="unknown_SKU"/>
    <n v="80"/>
    <s v="Delivered"/>
    <s v="N"/>
    <s v="Y"/>
    <s v="N"/>
    <n v="17"/>
    <n v="1.0065430752453652"/>
    <n v="8.6673889490790898E-2"/>
    <n v="0"/>
    <n v="9"/>
    <n v="4500"/>
  </r>
  <r>
    <s v="PO-1579"/>
    <x v="7"/>
    <s v="Packaging"/>
    <n v="811"/>
    <d v="2026-04-26T00:00:00"/>
    <d v="2026-05-11T00:00:00"/>
    <d v="2026-05-10T00:00:00"/>
    <n v="803"/>
    <s v="PK-245"/>
    <n v="24"/>
    <s v="Delivered"/>
    <s v="Y"/>
    <s v="Y"/>
    <s v="Y"/>
    <n v="14"/>
    <n v="0.99013563501849566"/>
    <n v="2.9887920298879204E-2"/>
    <n v="1"/>
    <n v="0"/>
    <n v="0"/>
  </r>
  <r>
    <s v="PO-1502"/>
    <x v="0"/>
    <s v="Packaging"/>
    <n v="945"/>
    <d v="2026-02-20T00:00:00"/>
    <d v="2026-03-05T00:00:00"/>
    <m/>
    <m/>
    <s v="PK-289"/>
    <m/>
    <s v="Pending"/>
    <s v="N/A"/>
    <s v="N/A"/>
    <s v="N/A"/>
    <s v="N/A"/>
    <s v="N/A"/>
    <s v="N/A"/>
    <s v=""/>
    <s v="N/A"/>
    <n v="0"/>
  </r>
  <r>
    <s v="PO-1537"/>
    <x v="13"/>
    <s v="Imported"/>
    <n v="150"/>
    <d v="2026-02-24T00:00:00"/>
    <d v="2026-03-08T00:00:00"/>
    <d v="2026-03-07T00:00:00"/>
    <n v="142"/>
    <s v="IM-216"/>
    <n v="1"/>
    <s v="Delivered"/>
    <s v="Y"/>
    <s v="N"/>
    <s v="N"/>
    <n v="11"/>
    <n v="0.94666666666666666"/>
    <n v="7.0422535211267607E-3"/>
    <n v="0"/>
    <n v="0"/>
    <n v="0"/>
  </r>
  <r>
    <s v="PO-1196"/>
    <x v="10"/>
    <s v="Packaging"/>
    <n v="118"/>
    <d v="2026-02-05T00:00:00"/>
    <d v="2026-02-16T00:00:00"/>
    <d v="2026-02-13T00:00:00"/>
    <n v="119"/>
    <s v="PK-221"/>
    <n v="3"/>
    <s v="Delivered"/>
    <s v="Y"/>
    <s v="Y"/>
    <s v="Y"/>
    <n v="8"/>
    <n v="1.0084745762711864"/>
    <n v="2.5210084033613446E-2"/>
    <n v="1"/>
    <n v="0"/>
    <n v="0"/>
  </r>
  <r>
    <s v="PO-1175"/>
    <x v="3"/>
    <s v="Raw Material"/>
    <n v="840"/>
    <d v="2026-03-30T00:00:00"/>
    <d v="2026-04-05T00:00:00"/>
    <d v="2026-04-04T00:00:00"/>
    <n v="833"/>
    <s v="RM-204"/>
    <n v="71"/>
    <s v="Delivered"/>
    <s v="Y"/>
    <s v="Y"/>
    <s v="Y"/>
    <n v="5"/>
    <n v="0.9916666666666667"/>
    <n v="8.5234093637454988E-2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DE1C5-FEB9-4846-9C44-4E6E745D618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Fields count="18">
    <pivotField showAll="0"/>
    <pivotField showAll="0"/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67418-4629-440D-B0E1-A03C2356E7C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 rowPageCount="1" colPageCount="1"/>
  <pivotFields count="18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22" showAll="0"/>
    <pivotField numFmtId="22"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0" hier="-1"/>
  </pageFields>
  <dataFields count="1">
    <dataField name="OTIF %" fld="17" subtotal="average" baseField="2" baseItem="0"/>
  </dataFields>
  <formats count="1">
    <format dxfId="37">
      <pivotArea collapsedLevelsAreSubtotals="1" fieldPosition="0">
        <references count="1">
          <reference field="2" count="0"/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69DA0-A478-49D2-A3A8-419CA631BABA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24" firstHeaderRow="0" firstDataRow="1" firstDataCol="1"/>
  <pivotFields count="21">
    <pivotField showAll="0"/>
    <pivotField axis="axisRow" showAll="0">
      <items count="21">
        <item x="6"/>
        <item x="1"/>
        <item x="18"/>
        <item x="8"/>
        <item x="15"/>
        <item x="2"/>
        <item x="7"/>
        <item x="0"/>
        <item x="12"/>
        <item x="5"/>
        <item x="11"/>
        <item x="13"/>
        <item x="9"/>
        <item x="19"/>
        <item x="4"/>
        <item x="14"/>
        <item x="10"/>
        <item x="3"/>
        <item x="16"/>
        <item x="17"/>
        <item t="default"/>
      </items>
    </pivotField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ragToRow="0" dragToCol="0" dragToPage="0" showAll="0" defaultSubtota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enalty_Amount" fld="19" baseField="0" baseItem="0"/>
    <dataField name="Average Delay_Days" fld="18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23E6B-91A7-4941-8D42-C5A36A6879E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4" firstHeaderRow="1" firstDataRow="1" firstDataCol="1" rowPageCount="1" colPageCount="1"/>
  <pivotFields count="18">
    <pivotField showAll="0">
      <items count="1001">
        <item x="559"/>
        <item x="780"/>
        <item x="369"/>
        <item x="435"/>
        <item x="443"/>
        <item x="835"/>
        <item x="970"/>
        <item x="526"/>
        <item x="764"/>
        <item x="29"/>
        <item x="511"/>
        <item x="740"/>
        <item x="846"/>
        <item x="50"/>
        <item x="595"/>
        <item x="192"/>
        <item x="668"/>
        <item x="445"/>
        <item x="683"/>
        <item x="915"/>
        <item x="298"/>
        <item x="901"/>
        <item x="270"/>
        <item x="494"/>
        <item x="25"/>
        <item x="37"/>
        <item x="112"/>
        <item x="470"/>
        <item x="610"/>
        <item x="851"/>
        <item x="460"/>
        <item x="532"/>
        <item x="513"/>
        <item x="911"/>
        <item x="72"/>
        <item x="882"/>
        <item x="644"/>
        <item x="303"/>
        <item x="131"/>
        <item x="871"/>
        <item x="381"/>
        <item x="605"/>
        <item x="788"/>
        <item x="125"/>
        <item x="967"/>
        <item x="792"/>
        <item x="114"/>
        <item x="897"/>
        <item x="198"/>
        <item x="833"/>
        <item x="276"/>
        <item x="267"/>
        <item x="444"/>
        <item x="73"/>
        <item x="210"/>
        <item x="420"/>
        <item x="537"/>
        <item x="113"/>
        <item x="436"/>
        <item x="601"/>
        <item x="34"/>
        <item x="149"/>
        <item x="431"/>
        <item x="128"/>
        <item x="292"/>
        <item x="379"/>
        <item x="284"/>
        <item x="719"/>
        <item x="979"/>
        <item x="737"/>
        <item x="349"/>
        <item x="130"/>
        <item x="946"/>
        <item x="662"/>
        <item x="199"/>
        <item x="973"/>
        <item x="808"/>
        <item x="721"/>
        <item x="708"/>
        <item x="609"/>
        <item x="225"/>
        <item x="280"/>
        <item x="507"/>
        <item x="903"/>
        <item x="616"/>
        <item x="816"/>
        <item x="596"/>
        <item x="550"/>
        <item x="671"/>
        <item x="522"/>
        <item x="540"/>
        <item x="670"/>
        <item x="925"/>
        <item x="544"/>
        <item x="19"/>
        <item x="786"/>
        <item x="422"/>
        <item x="212"/>
        <item x="118"/>
        <item x="86"/>
        <item x="854"/>
        <item x="439"/>
        <item x="673"/>
        <item x="633"/>
        <item x="664"/>
        <item x="722"/>
        <item x="842"/>
        <item x="893"/>
        <item x="20"/>
        <item x="162"/>
        <item x="111"/>
        <item x="619"/>
        <item x="960"/>
        <item x="95"/>
        <item x="566"/>
        <item x="353"/>
        <item x="466"/>
        <item x="464"/>
        <item x="556"/>
        <item x="557"/>
        <item x="428"/>
        <item x="685"/>
        <item x="243"/>
        <item x="910"/>
        <item x="627"/>
        <item x="14"/>
        <item x="641"/>
        <item x="217"/>
        <item x="176"/>
        <item x="624"/>
        <item x="904"/>
        <item x="870"/>
        <item x="343"/>
        <item x="524"/>
        <item x="190"/>
        <item x="580"/>
        <item x="618"/>
        <item x="175"/>
        <item x="33"/>
        <item x="645"/>
        <item x="44"/>
        <item x="423"/>
        <item x="275"/>
        <item x="754"/>
        <item x="741"/>
        <item x="539"/>
        <item x="142"/>
        <item x="263"/>
        <item x="168"/>
        <item x="398"/>
        <item x="567"/>
        <item x="926"/>
        <item x="963"/>
        <item x="123"/>
        <item x="498"/>
        <item x="449"/>
        <item x="765"/>
        <item x="678"/>
        <item x="226"/>
        <item x="194"/>
        <item x="739"/>
        <item x="793"/>
        <item x="565"/>
        <item x="133"/>
        <item x="146"/>
        <item x="598"/>
        <item x="277"/>
        <item x="981"/>
        <item x="158"/>
        <item x="852"/>
        <item x="167"/>
        <item x="2"/>
        <item x="253"/>
        <item x="553"/>
        <item x="535"/>
        <item x="999"/>
        <item x="745"/>
        <item x="393"/>
        <item x="621"/>
        <item x="239"/>
        <item x="853"/>
        <item x="695"/>
        <item x="829"/>
        <item x="962"/>
        <item x="696"/>
        <item x="990"/>
        <item x="157"/>
        <item x="530"/>
        <item x="313"/>
        <item x="958"/>
        <item x="848"/>
        <item x="339"/>
        <item x="337"/>
        <item x="416"/>
        <item x="620"/>
        <item x="947"/>
        <item x="998"/>
        <item x="855"/>
        <item x="652"/>
        <item x="375"/>
        <item x="475"/>
        <item x="954"/>
        <item x="396"/>
        <item x="898"/>
        <item x="65"/>
        <item x="137"/>
        <item x="660"/>
        <item x="490"/>
        <item x="778"/>
        <item x="273"/>
        <item x="752"/>
        <item x="994"/>
        <item x="650"/>
        <item x="523"/>
        <item x="551"/>
        <item x="873"/>
        <item x="163"/>
        <item x="399"/>
        <item x="333"/>
        <item x="917"/>
        <item x="159"/>
        <item x="441"/>
        <item x="57"/>
        <item x="437"/>
        <item x="923"/>
        <item x="818"/>
        <item x="629"/>
        <item x="637"/>
        <item x="103"/>
        <item x="370"/>
        <item x="803"/>
        <item x="751"/>
        <item x="183"/>
        <item x="821"/>
        <item x="837"/>
        <item x="417"/>
        <item x="397"/>
        <item x="104"/>
        <item x="674"/>
        <item x="334"/>
        <item x="533"/>
        <item x="655"/>
        <item x="214"/>
        <item x="548"/>
        <item x="52"/>
        <item x="536"/>
        <item x="676"/>
        <item x="811"/>
        <item x="452"/>
        <item x="453"/>
        <item x="971"/>
        <item x="314"/>
        <item x="345"/>
        <item x="200"/>
        <item x="611"/>
        <item x="773"/>
        <item x="164"/>
        <item x="943"/>
        <item x="578"/>
        <item x="229"/>
        <item x="880"/>
        <item x="305"/>
        <item x="32"/>
        <item x="348"/>
        <item x="294"/>
        <item x="783"/>
        <item x="769"/>
        <item x="647"/>
        <item x="630"/>
        <item x="782"/>
        <item x="54"/>
        <item x="51"/>
        <item x="350"/>
        <item x="388"/>
        <item x="688"/>
        <item x="640"/>
        <item x="885"/>
        <item x="15"/>
        <item x="366"/>
        <item x="933"/>
        <item x="485"/>
        <item x="461"/>
        <item x="850"/>
        <item x="289"/>
        <item x="215"/>
        <item x="234"/>
        <item x="632"/>
        <item x="779"/>
        <item x="796"/>
        <item x="287"/>
        <item x="956"/>
        <item x="469"/>
        <item x="604"/>
        <item x="592"/>
        <item x="213"/>
        <item x="570"/>
        <item x="302"/>
        <item x="258"/>
        <item x="758"/>
        <item x="30"/>
        <item x="394"/>
        <item x="639"/>
        <item x="404"/>
        <item x="646"/>
        <item x="531"/>
        <item x="12"/>
        <item x="447"/>
        <item x="472"/>
        <item x="75"/>
        <item x="884"/>
        <item x="542"/>
        <item x="691"/>
        <item x="955"/>
        <item x="615"/>
        <item x="483"/>
        <item x="801"/>
        <item x="148"/>
        <item x="928"/>
        <item x="91"/>
        <item x="238"/>
        <item x="528"/>
        <item x="82"/>
        <item x="504"/>
        <item x="354"/>
        <item x="93"/>
        <item x="965"/>
        <item x="191"/>
        <item x="352"/>
        <item x="309"/>
        <item x="606"/>
        <item x="122"/>
        <item x="820"/>
        <item x="831"/>
        <item x="510"/>
        <item x="4"/>
        <item x="600"/>
        <item x="220"/>
        <item x="625"/>
        <item x="772"/>
        <item x="80"/>
        <item x="495"/>
        <item x="781"/>
        <item x="656"/>
        <item x="589"/>
        <item x="143"/>
        <item x="986"/>
        <item x="525"/>
        <item x="317"/>
        <item x="991"/>
        <item x="938"/>
        <item x="340"/>
        <item x="136"/>
        <item x="415"/>
        <item x="488"/>
        <item x="602"/>
        <item x="79"/>
        <item x="921"/>
        <item x="107"/>
        <item x="454"/>
        <item x="543"/>
        <item x="115"/>
        <item x="269"/>
        <item x="187"/>
        <item x="736"/>
        <item x="593"/>
        <item x="160"/>
        <item x="985"/>
        <item x="281"/>
        <item x="571"/>
        <item x="704"/>
        <item x="597"/>
        <item x="376"/>
        <item x="344"/>
        <item x="862"/>
        <item x="940"/>
        <item x="264"/>
        <item x="547"/>
        <item x="342"/>
        <item x="521"/>
        <item x="491"/>
        <item x="701"/>
        <item x="471"/>
        <item x="516"/>
        <item x="614"/>
        <item x="64"/>
        <item x="477"/>
        <item x="658"/>
        <item x="411"/>
        <item x="409"/>
        <item x="261"/>
        <item x="413"/>
        <item x="976"/>
        <item x="541"/>
        <item x="891"/>
        <item x="560"/>
        <item x="262"/>
        <item x="266"/>
        <item x="9"/>
        <item x="989"/>
        <item x="271"/>
        <item x="941"/>
        <item x="561"/>
        <item x="902"/>
        <item x="23"/>
        <item x="562"/>
        <item x="642"/>
        <item x="697"/>
        <item x="98"/>
        <item x="121"/>
        <item x="10"/>
        <item x="702"/>
        <item x="35"/>
        <item x="166"/>
        <item x="869"/>
        <item x="434"/>
        <item x="905"/>
        <item x="716"/>
        <item x="94"/>
        <item x="169"/>
        <item x="155"/>
        <item x="13"/>
        <item x="827"/>
        <item x="252"/>
        <item x="358"/>
        <item x="603"/>
        <item x="554"/>
        <item x="55"/>
        <item x="743"/>
        <item x="760"/>
        <item x="608"/>
        <item x="456"/>
        <item x="254"/>
        <item x="978"/>
        <item x="689"/>
        <item x="872"/>
        <item x="371"/>
        <item x="768"/>
        <item x="414"/>
        <item x="832"/>
        <item x="669"/>
        <item x="746"/>
        <item x="457"/>
        <item x="21"/>
        <item x="843"/>
        <item x="968"/>
        <item x="418"/>
        <item x="332"/>
        <item x="251"/>
        <item x="929"/>
        <item x="361"/>
        <item x="672"/>
        <item x="193"/>
        <item x="330"/>
        <item x="272"/>
        <item x="218"/>
        <item x="328"/>
        <item x="878"/>
        <item x="249"/>
        <item x="613"/>
        <item x="433"/>
        <item x="868"/>
        <item x="770"/>
        <item x="953"/>
        <item x="227"/>
        <item x="509"/>
        <item x="373"/>
        <item x="138"/>
        <item x="233"/>
        <item x="651"/>
        <item x="817"/>
        <item x="512"/>
        <item x="88"/>
        <item x="442"/>
        <item x="421"/>
        <item x="877"/>
        <item x="823"/>
        <item x="814"/>
        <item x="573"/>
        <item x="248"/>
        <item x="679"/>
        <item x="296"/>
        <item x="919"/>
        <item x="109"/>
        <item x="948"/>
        <item x="224"/>
        <item x="219"/>
        <item x="838"/>
        <item x="383"/>
        <item x="844"/>
        <item x="119"/>
        <item x="733"/>
        <item x="89"/>
        <item x="338"/>
        <item x="127"/>
        <item x="950"/>
        <item x="856"/>
        <item x="623"/>
        <item x="840"/>
        <item x="216"/>
        <item x="201"/>
        <item x="197"/>
        <item x="585"/>
        <item x="996"/>
        <item x="40"/>
        <item x="237"/>
        <item x="484"/>
        <item x="767"/>
        <item x="308"/>
        <item x="311"/>
        <item x="385"/>
        <item x="16"/>
        <item x="152"/>
        <item x="974"/>
        <item x="153"/>
        <item x="297"/>
        <item x="203"/>
        <item x="913"/>
        <item x="742"/>
        <item x="322"/>
        <item x="756"/>
        <item x="700"/>
        <item x="747"/>
        <item x="932"/>
        <item x="467"/>
        <item x="895"/>
        <item x="299"/>
        <item x="244"/>
        <item x="653"/>
        <item x="335"/>
        <item x="836"/>
        <item x="316"/>
        <item x="465"/>
        <item x="574"/>
        <item x="648"/>
        <item x="279"/>
        <item x="988"/>
        <item x="720"/>
        <item x="997"/>
        <item x="586"/>
        <item x="766"/>
        <item x="120"/>
        <item x="412"/>
        <item x="288"/>
        <item x="572"/>
        <item x="7"/>
        <item x="649"/>
        <item x="694"/>
        <item x="426"/>
        <item x="738"/>
        <item x="657"/>
        <item x="952"/>
        <item x="3"/>
        <item x="502"/>
        <item x="401"/>
        <item x="984"/>
        <item x="874"/>
        <item x="47"/>
        <item x="129"/>
        <item x="518"/>
        <item x="725"/>
        <item x="777"/>
        <item x="718"/>
        <item x="156"/>
        <item x="315"/>
        <item x="324"/>
        <item x="410"/>
        <item x="875"/>
        <item x="18"/>
        <item x="363"/>
        <item x="387"/>
        <item x="430"/>
        <item x="85"/>
        <item x="78"/>
        <item x="709"/>
        <item x="617"/>
        <item x="800"/>
        <item x="771"/>
        <item x="310"/>
        <item x="514"/>
        <item x="995"/>
        <item x="42"/>
        <item x="588"/>
        <item x="569"/>
        <item x="934"/>
        <item x="987"/>
        <item x="336"/>
        <item x="508"/>
        <item x="180"/>
        <item x="822"/>
        <item x="797"/>
        <item x="568"/>
        <item x="150"/>
        <item x="583"/>
        <item x="634"/>
        <item x="576"/>
        <item x="205"/>
        <item x="144"/>
        <item x="17"/>
        <item x="204"/>
        <item x="826"/>
        <item x="474"/>
        <item x="62"/>
        <item x="106"/>
        <item x="250"/>
        <item x="936"/>
        <item x="735"/>
        <item x="698"/>
        <item x="711"/>
        <item x="626"/>
        <item x="517"/>
        <item x="48"/>
        <item x="285"/>
        <item x="761"/>
        <item x="202"/>
        <item x="607"/>
        <item x="992"/>
        <item x="402"/>
        <item x="830"/>
        <item x="11"/>
        <item x="228"/>
        <item x="563"/>
        <item x="527"/>
        <item x="888"/>
        <item x="207"/>
        <item x="177"/>
        <item x="306"/>
        <item x="591"/>
        <item x="564"/>
        <item x="791"/>
        <item x="795"/>
        <item x="278"/>
        <item x="900"/>
        <item x="594"/>
        <item x="809"/>
        <item x="703"/>
        <item x="235"/>
        <item x="886"/>
        <item x="710"/>
        <item x="724"/>
        <item x="744"/>
        <item x="753"/>
        <item x="46"/>
        <item x="139"/>
        <item x="240"/>
        <item x="497"/>
        <item x="680"/>
        <item x="845"/>
        <item x="858"/>
        <item x="865"/>
        <item x="319"/>
        <item x="489"/>
        <item x="70"/>
        <item x="63"/>
        <item x="6"/>
        <item x="887"/>
        <item x="83"/>
        <item x="293"/>
        <item x="368"/>
        <item x="587"/>
        <item x="74"/>
        <item x="636"/>
        <item x="922"/>
        <item x="326"/>
        <item x="90"/>
        <item x="77"/>
        <item x="776"/>
        <item x="68"/>
        <item x="479"/>
        <item x="1"/>
        <item x="448"/>
        <item x="815"/>
        <item x="468"/>
        <item x="356"/>
        <item x="5"/>
        <item x="232"/>
        <item x="102"/>
        <item x="407"/>
        <item x="185"/>
        <item x="863"/>
        <item x="590"/>
        <item x="346"/>
        <item x="462"/>
        <item x="87"/>
        <item x="161"/>
        <item x="66"/>
        <item x="84"/>
        <item x="329"/>
        <item x="828"/>
        <item x="750"/>
        <item x="256"/>
        <item x="727"/>
        <item x="380"/>
        <item x="699"/>
        <item x="325"/>
        <item x="242"/>
        <item x="61"/>
        <item x="545"/>
        <item x="909"/>
        <item x="805"/>
        <item x="236"/>
        <item x="496"/>
        <item x="290"/>
        <item x="241"/>
        <item x="966"/>
        <item x="942"/>
        <item x="301"/>
        <item x="473"/>
        <item x="43"/>
        <item x="687"/>
        <item x="684"/>
        <item x="861"/>
        <item x="807"/>
        <item x="291"/>
        <item x="666"/>
        <item x="400"/>
        <item x="391"/>
        <item x="206"/>
        <item x="677"/>
        <item x="178"/>
        <item x="478"/>
        <item x="96"/>
        <item x="857"/>
        <item x="318"/>
        <item x="0"/>
        <item x="69"/>
        <item x="675"/>
        <item x="222"/>
        <item x="794"/>
        <item x="81"/>
        <item x="49"/>
        <item x="983"/>
        <item x="534"/>
        <item x="172"/>
        <item x="501"/>
        <item x="67"/>
        <item x="731"/>
        <item x="274"/>
        <item x="174"/>
        <item x="847"/>
        <item x="108"/>
        <item x="151"/>
        <item x="908"/>
        <item x="60"/>
        <item x="76"/>
        <item x="31"/>
        <item x="931"/>
        <item x="717"/>
        <item x="357"/>
        <item x="117"/>
        <item x="663"/>
        <item x="446"/>
        <item x="382"/>
        <item x="101"/>
        <item x="755"/>
        <item x="546"/>
        <item x="538"/>
        <item x="179"/>
        <item x="707"/>
        <item x="582"/>
        <item x="924"/>
        <item x="59"/>
        <item x="41"/>
        <item x="876"/>
        <item x="959"/>
        <item x="935"/>
        <item x="432"/>
        <item x="759"/>
        <item x="558"/>
        <item x="105"/>
        <item x="612"/>
        <item x="347"/>
        <item x="492"/>
        <item x="951"/>
        <item x="392"/>
        <item x="819"/>
        <item x="170"/>
        <item x="455"/>
        <item x="246"/>
        <item x="300"/>
        <item x="555"/>
        <item x="304"/>
        <item x="208"/>
        <item x="732"/>
        <item x="360"/>
        <item x="896"/>
        <item x="165"/>
        <item x="24"/>
        <item x="969"/>
        <item x="36"/>
        <item x="331"/>
        <item x="286"/>
        <item x="500"/>
        <item x="53"/>
        <item x="503"/>
        <item x="124"/>
        <item x="367"/>
        <item x="196"/>
        <item x="866"/>
        <item x="712"/>
        <item x="493"/>
        <item x="38"/>
        <item x="584"/>
        <item x="481"/>
        <item x="930"/>
        <item x="211"/>
        <item x="245"/>
        <item x="427"/>
        <item x="789"/>
        <item x="774"/>
        <item x="804"/>
        <item x="359"/>
        <item x="879"/>
        <item x="506"/>
        <item x="147"/>
        <item x="705"/>
        <item x="476"/>
        <item x="881"/>
        <item x="195"/>
        <item x="784"/>
        <item x="812"/>
        <item x="307"/>
        <item x="327"/>
        <item x="665"/>
        <item x="972"/>
        <item x="964"/>
        <item x="785"/>
        <item x="682"/>
        <item x="883"/>
        <item x="145"/>
        <item x="549"/>
        <item x="71"/>
        <item x="806"/>
        <item x="849"/>
        <item x="268"/>
        <item x="661"/>
        <item x="889"/>
        <item x="312"/>
        <item x="706"/>
        <item x="790"/>
        <item x="693"/>
        <item x="686"/>
        <item x="907"/>
        <item x="221"/>
        <item x="230"/>
        <item x="890"/>
        <item x="365"/>
        <item x="364"/>
        <item x="867"/>
        <item x="734"/>
        <item x="28"/>
        <item x="681"/>
        <item x="945"/>
        <item x="579"/>
        <item x="450"/>
        <item x="265"/>
        <item x="949"/>
        <item x="438"/>
        <item x="459"/>
        <item x="635"/>
        <item x="184"/>
        <item x="451"/>
        <item x="260"/>
        <item x="26"/>
        <item x="440"/>
        <item x="659"/>
        <item x="726"/>
        <item x="295"/>
        <item x="405"/>
        <item x="374"/>
        <item x="499"/>
        <item x="377"/>
        <item x="425"/>
        <item x="97"/>
        <item x="728"/>
        <item x="182"/>
        <item x="730"/>
        <item x="748"/>
        <item x="825"/>
        <item x="505"/>
        <item x="341"/>
        <item x="223"/>
        <item x="8"/>
        <item x="27"/>
        <item x="654"/>
        <item x="834"/>
        <item x="209"/>
        <item x="515"/>
        <item x="599"/>
        <item x="247"/>
        <item x="638"/>
        <item x="231"/>
        <item x="918"/>
        <item x="864"/>
        <item x="692"/>
        <item x="188"/>
        <item x="977"/>
        <item x="802"/>
        <item x="824"/>
        <item x="100"/>
        <item x="798"/>
        <item x="92"/>
        <item x="39"/>
        <item x="690"/>
        <item x="390"/>
        <item x="982"/>
        <item x="841"/>
        <item x="714"/>
        <item x="419"/>
        <item x="255"/>
        <item x="384"/>
        <item x="519"/>
        <item x="839"/>
        <item x="173"/>
        <item x="723"/>
        <item x="480"/>
        <item x="283"/>
        <item x="132"/>
        <item x="320"/>
        <item x="520"/>
        <item x="993"/>
        <item x="45"/>
        <item x="99"/>
        <item x="403"/>
        <item x="914"/>
        <item x="154"/>
        <item x="395"/>
        <item x="282"/>
        <item x="939"/>
        <item x="110"/>
        <item x="715"/>
        <item x="529"/>
        <item x="920"/>
        <item x="643"/>
        <item x="135"/>
        <item x="762"/>
        <item x="408"/>
        <item x="622"/>
        <item x="899"/>
        <item x="916"/>
        <item x="581"/>
        <item x="975"/>
        <item x="860"/>
        <item x="134"/>
        <item x="763"/>
        <item x="944"/>
        <item x="321"/>
        <item x="323"/>
        <item x="181"/>
        <item x="749"/>
        <item x="961"/>
        <item x="892"/>
        <item x="378"/>
        <item x="58"/>
        <item x="482"/>
        <item x="757"/>
        <item x="429"/>
        <item x="372"/>
        <item x="894"/>
        <item x="406"/>
        <item x="386"/>
        <item x="957"/>
        <item x="424"/>
        <item x="486"/>
        <item x="729"/>
        <item x="126"/>
        <item x="577"/>
        <item x="628"/>
        <item x="189"/>
        <item x="775"/>
        <item x="141"/>
        <item x="667"/>
        <item x="22"/>
        <item x="186"/>
        <item x="362"/>
        <item x="140"/>
        <item x="355"/>
        <item x="787"/>
        <item x="799"/>
        <item x="463"/>
        <item x="487"/>
        <item x="351"/>
        <item x="259"/>
        <item x="810"/>
        <item x="631"/>
        <item x="813"/>
        <item x="171"/>
        <item x="389"/>
        <item x="859"/>
        <item x="552"/>
        <item x="912"/>
        <item x="116"/>
        <item x="257"/>
        <item x="458"/>
        <item x="56"/>
        <item x="575"/>
        <item x="937"/>
        <item x="927"/>
        <item x="906"/>
        <item x="980"/>
        <item x="713"/>
        <item t="default"/>
      </items>
    </pivotField>
    <pivotField axis="axisRow" showAll="0" sortType="ascending">
      <items count="21">
        <item x="6"/>
        <item x="1"/>
        <item x="18"/>
        <item x="8"/>
        <item x="15"/>
        <item x="2"/>
        <item x="7"/>
        <item x="0"/>
        <item x="12"/>
        <item x="5"/>
        <item x="11"/>
        <item x="13"/>
        <item x="9"/>
        <item x="19"/>
        <item x="4"/>
        <item x="14"/>
        <item x="10"/>
        <item x="3"/>
        <item x="16"/>
        <item x="17"/>
        <item t="default"/>
      </items>
    </pivotField>
    <pivotField showAll="0">
      <items count="4">
        <item x="2"/>
        <item h="1" x="1"/>
        <item h="1" x="0"/>
        <item t="default"/>
      </items>
    </pivotField>
    <pivotField showAll="0"/>
    <pivotField numFmtId="22" showAll="0"/>
    <pivotField numFmtId="22"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10" hier="-1"/>
  </pageFields>
  <dataFields count="1">
    <dataField name="OTIF%" fld="17" subtotal="average" baseField="1" baseItem="4" numFmtId="165"/>
  </dataFields>
  <formats count="3">
    <format dxfId="9">
      <pivotArea collapsedLevelsAreSubtotals="1" fieldPosition="0">
        <references count="2">
          <reference field="4294967294" count="1" selected="0">
            <x v="0"/>
          </reference>
          <reference field="1" count="1">
            <x v="5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E89652-E450-4831-A9BD-E7D3F6EE8A6C}" autoFormatId="16" applyNumberFormats="0" applyBorderFormats="0" applyFontFormats="0" applyPatternFormats="0" applyAlignmentFormats="0" applyWidthHeightFormats="0">
  <queryTableRefresh nextId="12">
    <queryTableFields count="11">
      <queryTableField id="1" name="PO_Number" tableColumnId="1"/>
      <queryTableField id="2" name="Vendor_Name" tableColumnId="2"/>
      <queryTableField id="3" name="Category" tableColumnId="3"/>
      <queryTableField id="4" name="Ordered_Qty" tableColumnId="4"/>
      <queryTableField id="5" name="PO_Date" tableColumnId="5"/>
      <queryTableField id="6" name="Promised_Date" tableColumnId="6"/>
      <queryTableField id="7" name="Received_Date" tableColumnId="7"/>
      <queryTableField id="8" name="Received_Qty" tableColumnId="8"/>
      <queryTableField id="9" name="SKU" tableColumnId="9"/>
      <queryTableField id="10" name="Rejected_Qty" tableColumnId="10"/>
      <queryTableField id="11" name="PO_Statu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D85DFB5-2A5D-4F9A-84B8-C52A441E06AD}" autoFormatId="16" applyNumberFormats="0" applyBorderFormats="0" applyFontFormats="0" applyPatternFormats="0" applyAlignmentFormats="0" applyWidthHeightFormats="0">
  <queryTableRefresh nextId="21" unboundColumnsRight="9">
    <queryTableFields count="20">
      <queryTableField id="1" name="PO_Number" tableColumnId="1"/>
      <queryTableField id="2" name="Vendor_Name" tableColumnId="2"/>
      <queryTableField id="3" name="Category" tableColumnId="3"/>
      <queryTableField id="4" name="Ordered_Qty" tableColumnId="4"/>
      <queryTableField id="5" name="PO_Date" tableColumnId="5"/>
      <queryTableField id="6" name="Promised_Date" tableColumnId="6"/>
      <queryTableField id="7" name="Received_Date" tableColumnId="7"/>
      <queryTableField id="8" name="Received_Qty" tableColumnId="8"/>
      <queryTableField id="9" name="SKU" tableColumnId="9"/>
      <queryTableField id="10" name="Rejected_Qty" tableColumnId="10"/>
      <queryTableField id="11" name="PO_Status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C584DF4-45CC-4022-ABDD-5D905C21B1E5}" autoFormatId="16" applyNumberFormats="0" applyBorderFormats="0" applyFontFormats="0" applyPatternFormats="0" applyAlignmentFormats="0" applyWidthHeightFormats="0">
  <queryTableRefresh nextId="22" unboundColumnsRight="9">
    <queryTableFields count="20">
      <queryTableField id="1" name="PO_Number" tableColumnId="1"/>
      <queryTableField id="2" name="Vendor_Name" tableColumnId="2"/>
      <queryTableField id="3" name="Category" tableColumnId="3"/>
      <queryTableField id="4" name="Ordered_Qty" tableColumnId="4"/>
      <queryTableField id="5" name="PO_Date" tableColumnId="5"/>
      <queryTableField id="6" name="Promised_Date" tableColumnId="6"/>
      <queryTableField id="7" name="Received_Date" tableColumnId="7"/>
      <queryTableField id="8" name="Received_Qty" tableColumnId="8"/>
      <queryTableField id="9" name="SKU" tableColumnId="9"/>
      <queryTableField id="10" name="Rejected_Qty" tableColumnId="10"/>
      <queryTableField id="11" name="PO_Status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AF879D-D18C-438C-A8AE-9ACA456FB098}" name="Table1_1" displayName="Table1_1" ref="A1:K1001" tableType="queryTable" totalsRowShown="0">
  <autoFilter ref="A1:K1001" xr:uid="{74AF879D-D18C-438C-A8AE-9ACA456FB098}"/>
  <tableColumns count="11">
    <tableColumn id="1" xr3:uid="{85223B6B-D377-4A6D-AFA3-D04AE6430AD6}" uniqueName="1" name="PO_Number" queryTableFieldId="1" dataDxfId="56"/>
    <tableColumn id="2" xr3:uid="{10DDCD54-425C-477B-AB57-A36E0C4FBEC5}" uniqueName="2" name="Vendor_Name" queryTableFieldId="2" dataDxfId="55"/>
    <tableColumn id="3" xr3:uid="{08AAB6EC-ADE9-4FC3-91EF-12B7E6A0C3C7}" uniqueName="3" name="Category" queryTableFieldId="3" dataDxfId="54"/>
    <tableColumn id="4" xr3:uid="{98A3B1C3-A36E-49BC-B26F-50A3FE082A73}" uniqueName="4" name="Ordered_Qty" queryTableFieldId="4"/>
    <tableColumn id="5" xr3:uid="{3C458E76-E727-4FDE-A10D-E0B6B7549BF8}" uniqueName="5" name="PO_Date" queryTableFieldId="5" dataDxfId="53"/>
    <tableColumn id="6" xr3:uid="{D9686DC2-2A45-446D-8F61-6D06DB2A9D66}" uniqueName="6" name="Promised_Date" queryTableFieldId="6" dataDxfId="52"/>
    <tableColumn id="7" xr3:uid="{7D825E08-B014-40F0-A42D-88BCA35A0BB4}" uniqueName="7" name="Received_Date" queryTableFieldId="7" dataDxfId="51"/>
    <tableColumn id="8" xr3:uid="{5E21A204-5D67-48EB-8A84-F16C9438456F}" uniqueName="8" name="Received_Qty" queryTableFieldId="8"/>
    <tableColumn id="9" xr3:uid="{F433D99B-3E73-4943-A799-C19A1A3FC073}" uniqueName="9" name="SKU" queryTableFieldId="9"/>
    <tableColumn id="10" xr3:uid="{EDE6ED4C-A1AF-4EB6-9BE2-29A23C972EF4}" uniqueName="10" name="Rejected_Qty" queryTableFieldId="10"/>
    <tableColumn id="11" xr3:uid="{5AA47EC5-691A-400F-AF17-47DE0948DEFD}" uniqueName="11" name="PO_Status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85F168-189A-4177-9183-C8545F4C780A}" name="Table1_14" displayName="Table1_14" ref="A1:T1001" tableType="queryTable" totalsRowShown="0">
  <tableColumns count="20">
    <tableColumn id="1" xr3:uid="{B57961A6-D49A-4830-AF60-A06445D766DA}" uniqueName="1" name="PO_Number" queryTableFieldId="1" dataDxfId="50"/>
    <tableColumn id="2" xr3:uid="{800C4B54-01BA-44D3-9389-1E4111BCD74C}" uniqueName="2" name="Vendor_Name" queryTableFieldId="2" dataDxfId="49"/>
    <tableColumn id="3" xr3:uid="{433A885C-8EC0-4997-89E4-BEE3BF309C26}" uniqueName="3" name="Category" queryTableFieldId="3" dataDxfId="48"/>
    <tableColumn id="4" xr3:uid="{D16F95B5-C398-403F-8EE7-B911C97B6C92}" uniqueName="4" name="Ordered_Qty" queryTableFieldId="4"/>
    <tableColumn id="5" xr3:uid="{245578F2-E666-4A1B-9DAF-4E2889E6F9C5}" uniqueName="5" name="PO_Date" queryTableFieldId="5" dataDxfId="47"/>
    <tableColumn id="6" xr3:uid="{4D92F1E8-36CA-4EA0-B880-992B7EB9C657}" uniqueName="6" name="Promised_Date" queryTableFieldId="6" dataDxfId="46"/>
    <tableColumn id="7" xr3:uid="{6C4933C7-643B-49B2-AEDC-0FE01EFDF742}" uniqueName="7" name="Received_Date" queryTableFieldId="7" dataDxfId="45"/>
    <tableColumn id="8" xr3:uid="{16DDD7AF-E923-49B5-ABBC-C6FD2595D30E}" uniqueName="8" name="Received_Qty" queryTableFieldId="8"/>
    <tableColumn id="9" xr3:uid="{6FBA95CC-475B-47F0-A41A-EDEF06B49A87}" uniqueName="9" name="SKU" queryTableFieldId="9"/>
    <tableColumn id="10" xr3:uid="{22641332-11BC-4F17-BD30-D1580E3BBC96}" uniqueName="10" name="Rejected_Qty" queryTableFieldId="10"/>
    <tableColumn id="11" xr3:uid="{ED37F00E-B288-4B2E-947F-56EC42FC830E}" uniqueName="11" name="PO_Status" queryTableFieldId="11"/>
    <tableColumn id="12" xr3:uid="{F2C76ED1-AEA6-43A9-8A68-1D1DEBEE66BD}" uniqueName="12" name="On_Time_Flag" queryTableFieldId="12" dataDxfId="44">
      <calculatedColumnFormula>IF(G2="","N/A",IF(G2&lt;=F2,"Y","N"))</calculatedColumnFormula>
    </tableColumn>
    <tableColumn id="13" xr3:uid="{B5C96EAC-A414-4BFD-886A-B95FF8D990FF}" uniqueName="13" name="In_Full_Flag" queryTableFieldId="13" dataDxfId="43">
      <calculatedColumnFormula>IF(H2="","N/A",IF(H2&gt;=D2*0.98,"Y","N"))</calculatedColumnFormula>
    </tableColumn>
    <tableColumn id="14" xr3:uid="{39F59C30-8709-4839-8CB8-6262D5FB70FC}" uniqueName="14" name="OTIF" queryTableFieldId="14" dataDxfId="42">
      <calculatedColumnFormula>IF(OR(L2="N/A",M2="N/A"),"N/A",IF(AND(L2="Y",M2="Y"),"Y","N"))</calculatedColumnFormula>
    </tableColumn>
    <tableColumn id="15" xr3:uid="{ABB707EA-2A01-4A92-A896-C28546237D52}" uniqueName="15" name="Lead_Time_Days" queryTableFieldId="15" dataDxfId="41">
      <calculatedColumnFormula>IF(G2="","N/A",G2-E2)</calculatedColumnFormula>
    </tableColumn>
    <tableColumn id="16" xr3:uid="{FE42CB4E-CF1D-47D6-A0C9-349FF6FF04D3}" uniqueName="16" name="Fill_Rate_%" queryTableFieldId="16" dataCellStyle="Percent">
      <calculatedColumnFormula>IF(H2="","N/A",H2/D2)</calculatedColumnFormula>
    </tableColumn>
    <tableColumn id="17" xr3:uid="{581E340C-EE0D-45EF-B1DF-6F629D44D161}" uniqueName="17" name="Rejection_Rate_%" queryTableFieldId="17" dataCellStyle="Percent">
      <calculatedColumnFormula>IF(H2="","N/A",IF(H2=0,0,J2/H2))</calculatedColumnFormula>
    </tableColumn>
    <tableColumn id="18" xr3:uid="{C8439FFE-A8AC-46F0-902D-7287AA32BA43}" uniqueName="18" name="OTIF_Numeric" queryTableFieldId="18" dataDxfId="40">
      <calculatedColumnFormula>IF(N2="Y",1,IF(N2="N",0,""))</calculatedColumnFormula>
    </tableColumn>
    <tableColumn id="19" xr3:uid="{9B705C28-2A7A-4111-B00D-472110746AE7}" uniqueName="19" name="Delay_Days" queryTableFieldId="19" dataDxfId="39">
      <calculatedColumnFormula>IF(G2="","N/A",MAX(G2-F2,0))</calculatedColumnFormula>
    </tableColumn>
    <tableColumn id="20" xr3:uid="{38F05E50-700A-497B-9AB8-A04978269DF8}" uniqueName="20" name="Months" queryTableFieldId="20" dataDxfId="38">
      <calculatedColumnFormula>IF(G2="","N/A",TEXT(G2,"mmm-yy"))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D9E900-1B61-4568-B929-C5C17301F49C}" name="Table1_146" displayName="Table1_146" ref="A1:T1001" tableType="queryTable" totalsRowShown="0">
  <tableColumns count="20">
    <tableColumn id="1" xr3:uid="{34BC6EB1-A147-421B-9E0E-5942798B30BC}" uniqueName="1" name="PO_Number" queryTableFieldId="1" dataDxfId="36"/>
    <tableColumn id="2" xr3:uid="{FBC648D0-F936-41C6-B8AE-201BC79C4504}" uniqueName="2" name="Vendor_Name" queryTableFieldId="2" dataDxfId="35"/>
    <tableColumn id="3" xr3:uid="{CFB1505D-46EB-43C6-AC32-51BA6173D799}" uniqueName="3" name="Category" queryTableFieldId="3" dataDxfId="34"/>
    <tableColumn id="4" xr3:uid="{CB4C2728-0D41-4527-BDB0-320FA258208E}" uniqueName="4" name="Ordered_Qty" queryTableFieldId="4"/>
    <tableColumn id="5" xr3:uid="{C686FC36-D72B-41DE-8F01-D68180599C9C}" uniqueName="5" name="PO_Date" queryTableFieldId="5" dataDxfId="33"/>
    <tableColumn id="6" xr3:uid="{431EC0CB-F399-400E-8C04-2675D2C34C97}" uniqueName="6" name="Promised_Date" queryTableFieldId="6" dataDxfId="32"/>
    <tableColumn id="7" xr3:uid="{874056DC-A34D-40EE-9686-31683FE210A7}" uniqueName="7" name="Received_Date" queryTableFieldId="7" dataDxfId="31"/>
    <tableColumn id="8" xr3:uid="{C30E59BA-13EA-42DE-B2BF-ED02546CDF30}" uniqueName="8" name="Received_Qty" queryTableFieldId="8"/>
    <tableColumn id="9" xr3:uid="{78C03950-75C7-4CE0-B1C3-07A839B7DF2C}" uniqueName="9" name="SKU" queryTableFieldId="9"/>
    <tableColumn id="10" xr3:uid="{0653A667-9728-48CE-8734-FA13C80B7D7A}" uniqueName="10" name="Rejected_Qty" queryTableFieldId="10"/>
    <tableColumn id="11" xr3:uid="{0CFDC1CB-9246-4987-B590-2DC57DE7ED98}" uniqueName="11" name="PO_Status" queryTableFieldId="11"/>
    <tableColumn id="12" xr3:uid="{53066FBA-C893-4BF9-A525-F42D245842B7}" uniqueName="12" name="On_Time_Flag" queryTableFieldId="12" dataDxfId="30">
      <calculatedColumnFormula>IF(G2="","N/A",IF(G2&lt;=F2,"Y","N"))</calculatedColumnFormula>
    </tableColumn>
    <tableColumn id="13" xr3:uid="{EF5B9271-51BD-490D-83BD-A95E9D825BFE}" uniqueName="13" name="In_Full_Flag" queryTableFieldId="13" dataDxfId="29">
      <calculatedColumnFormula>IF(H2="","N/A",IF(H2&gt;=D2*0.98,"Y","N"))</calculatedColumnFormula>
    </tableColumn>
    <tableColumn id="14" xr3:uid="{58DB8914-6DB2-4B85-8508-5F5B23167994}" uniqueName="14" name="OTIF" queryTableFieldId="14" dataDxfId="28">
      <calculatedColumnFormula>IF(OR(L2="N/A",M2="N/A"),"N/A",IF(AND(L2="Y",M2="Y"),"Y","N"))</calculatedColumnFormula>
    </tableColumn>
    <tableColumn id="15" xr3:uid="{141F2DCD-8883-4323-8763-2F020761EA2A}" uniqueName="15" name="Lead_Time_Days" queryTableFieldId="15" dataDxfId="27">
      <calculatedColumnFormula>IF(G2="","N/A",G2-E2)</calculatedColumnFormula>
    </tableColumn>
    <tableColumn id="16" xr3:uid="{745D9AC8-F694-4975-8E63-26C91B11851D}" uniqueName="16" name="Fill_Rate_%" queryTableFieldId="16" dataCellStyle="Percent">
      <calculatedColumnFormula>IF(H2="","N/A",H2/D2)</calculatedColumnFormula>
    </tableColumn>
    <tableColumn id="17" xr3:uid="{416CD0B3-A5EE-41BD-B76F-D23C3EF5A899}" uniqueName="17" name="Rejection_Rate_%" queryTableFieldId="17" dataCellStyle="Percent">
      <calculatedColumnFormula>IF(H2="","N/A",IF(H2=0,0,J2/H2))</calculatedColumnFormula>
    </tableColumn>
    <tableColumn id="18" xr3:uid="{3F62E5D1-36AB-419D-8346-BF40B4191F2A}" uniqueName="18" name="OTIF_Numeric" queryTableFieldId="18" dataDxfId="26">
      <calculatedColumnFormula>IF(N2="Y",1,IF(N2="N",0,""))</calculatedColumnFormula>
    </tableColumn>
    <tableColumn id="19" xr3:uid="{D6238A8F-E3E7-48A2-9113-B4FFC11476B1}" uniqueName="19" name="Delay_Days" queryTableFieldId="19" dataDxfId="25">
      <calculatedColumnFormula>IF(G2="","N/A",MAX(G2-F2,0))</calculatedColumnFormula>
    </tableColumn>
    <tableColumn id="21" xr3:uid="{0D3869FE-8AEA-407D-A567-7F20498B84B5}" uniqueName="21" name="Penalty_Amount" queryTableFieldId="21" dataDxfId="24">
      <calculatedColumnFormula>IF(S2="N/A",0,S2*500)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76F0B4-3F15-4DEB-B0BF-EBD7CB32249F}" name="Table1" displayName="Table1" ref="A1:J1021" totalsRowShown="0" headerRowDxfId="23" dataDxfId="22">
  <autoFilter ref="A1:J1021" xr:uid="{1176F0B4-3F15-4DEB-B0BF-EBD7CB32249F}"/>
  <tableColumns count="10">
    <tableColumn id="1" xr3:uid="{621F7E1B-B31B-4CF5-A213-9F3C5629ABA7}" name="PO_Number" dataDxfId="21"/>
    <tableColumn id="2" xr3:uid="{B06D0A5E-4E9B-4803-88F8-D4A01DCEBEFB}" name="Vendor_Name" dataDxfId="20"/>
    <tableColumn id="3" xr3:uid="{52E115C6-FEDC-489C-8B19-2597E260EE0B}" name="Category" dataDxfId="19"/>
    <tableColumn id="4" xr3:uid="{3652B33B-1E24-42DF-815C-20353A8F1C88}" name="SKU" dataDxfId="18"/>
    <tableColumn id="5" xr3:uid="{178E3D8B-8FFC-4D4E-9303-8A59D6B9DC3D}" name="Ordered_Qty" dataDxfId="17"/>
    <tableColumn id="6" xr3:uid="{FAE3FB1B-E4D5-4CA2-BFD6-AC40A515C1D2}" name="PO_Date" dataDxfId="16"/>
    <tableColumn id="7" xr3:uid="{5FA788C6-02DE-4F7A-A540-309D9E526F2B}" name="Promised_Date" dataDxfId="15"/>
    <tableColumn id="8" xr3:uid="{0951630A-410C-429B-8E5F-853DEAB0E398}" name="Received_Date" dataDxfId="14"/>
    <tableColumn id="9" xr3:uid="{63B388C6-F816-460D-972B-C98A73FE4E41}" name="Received_Qty" dataDxfId="13"/>
    <tableColumn id="10" xr3:uid="{366BFD1B-5FA7-4590-A1F6-EC12A44FCD76}" name="Rejected_Qty" dataDxfId="1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6F81-648B-4EC7-9160-5DE4496BC8BF}">
  <dimension ref="A1"/>
  <sheetViews>
    <sheetView workbookViewId="0">
      <selection activeCell="J4" sqref="J4"/>
    </sheetView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7D55-AD82-4454-84D1-331D35068CB8}">
  <dimension ref="B2:H7"/>
  <sheetViews>
    <sheetView tabSelected="1" zoomScale="93" workbookViewId="0">
      <selection activeCell="J7" sqref="J7"/>
    </sheetView>
  </sheetViews>
  <sheetFormatPr defaultRowHeight="14.4"/>
  <cols>
    <col min="2" max="2" width="21.33203125" bestFit="1" customWidth="1"/>
    <col min="4" max="4" width="21.109375" bestFit="1" customWidth="1"/>
    <col min="6" max="6" width="30.77734375" bestFit="1" customWidth="1"/>
    <col min="8" max="8" width="21.88671875" bestFit="1" customWidth="1"/>
  </cols>
  <sheetData>
    <row r="2" spans="2:8">
      <c r="B2" s="25" t="s">
        <v>1587</v>
      </c>
      <c r="C2" s="26"/>
      <c r="D2" s="26"/>
      <c r="E2" s="26"/>
      <c r="F2" s="26"/>
      <c r="G2" s="26"/>
      <c r="H2" s="26"/>
    </row>
    <row r="3" spans="2:8">
      <c r="B3" s="26"/>
      <c r="C3" s="26"/>
      <c r="D3" s="26"/>
      <c r="E3" s="26"/>
      <c r="F3" s="26"/>
      <c r="G3" s="26"/>
      <c r="H3" s="26"/>
    </row>
    <row r="4" spans="2:8">
      <c r="B4" s="26"/>
      <c r="C4" s="26"/>
      <c r="D4" s="26"/>
      <c r="E4" s="26"/>
      <c r="F4" s="26"/>
      <c r="G4" s="26"/>
      <c r="H4" s="26"/>
    </row>
    <row r="6" spans="2:8" ht="23.4">
      <c r="B6" s="20" t="s">
        <v>1583</v>
      </c>
      <c r="D6" s="20" t="s">
        <v>1584</v>
      </c>
      <c r="F6" s="20" t="s">
        <v>1585</v>
      </c>
      <c r="H6" s="20" t="s">
        <v>1586</v>
      </c>
    </row>
    <row r="7" spans="2:8" ht="36.6">
      <c r="B7" s="21">
        <f>AVERAGE(Table1_14[OTIF_Numeric])</f>
        <v>0.56597938144329896</v>
      </c>
      <c r="D7" s="22">
        <f>AVERAGE(OTIF__calc!P2:P1001)</f>
        <v>0.97339794087716591</v>
      </c>
      <c r="F7" s="24">
        <f>AVERAGE(OTIF__calc!O2:O1001)</f>
        <v>10.039175257731959</v>
      </c>
      <c r="H7" s="23">
        <f>SUM(Penalty_Tracker!T2:T1001)</f>
        <v>647000</v>
      </c>
    </row>
  </sheetData>
  <mergeCells count="1">
    <mergeCell ref="B2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6EEC-50C8-40BB-B5C0-75F1E85BCBE5}">
  <dimension ref="A1:K1001"/>
  <sheetViews>
    <sheetView topLeftCell="A974" workbookViewId="0">
      <selection activeCell="D994" sqref="D994"/>
    </sheetView>
  </sheetViews>
  <sheetFormatPr defaultRowHeight="14.4"/>
  <cols>
    <col min="1" max="1" width="13.5546875" bestFit="1" customWidth="1"/>
    <col min="2" max="2" width="15.5546875" bestFit="1" customWidth="1"/>
    <col min="3" max="3" width="11.88671875" bestFit="1" customWidth="1"/>
    <col min="4" max="4" width="14.109375" bestFit="1" customWidth="1"/>
    <col min="5" max="5" width="15.44140625" bestFit="1" customWidth="1"/>
    <col min="6" max="6" width="16.109375" bestFit="1" customWidth="1"/>
    <col min="7" max="7" width="15.77734375" bestFit="1" customWidth="1"/>
    <col min="8" max="8" width="14.77734375" bestFit="1" customWidth="1"/>
    <col min="9" max="9" width="12.6640625" bestFit="1" customWidth="1"/>
    <col min="10" max="10" width="14.5546875" bestFit="1" customWidth="1"/>
    <col min="11" max="11" width="11.88671875" bestFit="1" customWidth="1"/>
  </cols>
  <sheetData>
    <row r="1" spans="1:1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3</v>
      </c>
      <c r="J1" t="s">
        <v>9</v>
      </c>
      <c r="K1" t="s">
        <v>1562</v>
      </c>
    </row>
    <row r="2" spans="1:11">
      <c r="A2" t="s">
        <v>10</v>
      </c>
      <c r="B2" t="s">
        <v>11</v>
      </c>
      <c r="C2" t="s">
        <v>12</v>
      </c>
      <c r="D2">
        <v>225</v>
      </c>
      <c r="E2" s="4">
        <v>46131</v>
      </c>
      <c r="F2" s="4">
        <v>46141</v>
      </c>
      <c r="G2" s="4">
        <v>46140</v>
      </c>
      <c r="H2">
        <v>186</v>
      </c>
      <c r="I2" t="s">
        <v>13</v>
      </c>
      <c r="J2">
        <v>6</v>
      </c>
      <c r="K2" t="s">
        <v>1563</v>
      </c>
    </row>
    <row r="3" spans="1:11">
      <c r="A3" t="s">
        <v>14</v>
      </c>
      <c r="B3" t="s">
        <v>54</v>
      </c>
      <c r="C3" t="s">
        <v>16</v>
      </c>
      <c r="D3">
        <v>875</v>
      </c>
      <c r="E3" s="4">
        <v>46142</v>
      </c>
      <c r="F3" s="4">
        <v>46156</v>
      </c>
      <c r="G3" s="4">
        <v>46154</v>
      </c>
      <c r="H3">
        <v>859</v>
      </c>
      <c r="I3" t="s">
        <v>17</v>
      </c>
      <c r="J3">
        <v>10</v>
      </c>
      <c r="K3" t="s">
        <v>1563</v>
      </c>
    </row>
    <row r="4" spans="1:11">
      <c r="A4" t="s">
        <v>18</v>
      </c>
      <c r="B4" t="s">
        <v>19</v>
      </c>
      <c r="C4" t="s">
        <v>12</v>
      </c>
      <c r="D4">
        <v>288</v>
      </c>
      <c r="E4" s="4">
        <v>46028</v>
      </c>
      <c r="F4" s="4">
        <v>46038</v>
      </c>
      <c r="G4" s="4">
        <v>46037</v>
      </c>
      <c r="H4">
        <v>283</v>
      </c>
      <c r="I4" t="s">
        <v>20</v>
      </c>
      <c r="J4">
        <v>9</v>
      </c>
      <c r="K4" t="s">
        <v>1563</v>
      </c>
    </row>
    <row r="5" spans="1:11">
      <c r="A5" t="s">
        <v>21</v>
      </c>
      <c r="B5" t="s">
        <v>22</v>
      </c>
      <c r="C5" t="s">
        <v>23</v>
      </c>
      <c r="D5">
        <v>876</v>
      </c>
      <c r="E5" s="4">
        <v>46039</v>
      </c>
      <c r="F5" s="4">
        <v>46046</v>
      </c>
      <c r="G5" s="4">
        <v>46054</v>
      </c>
      <c r="H5">
        <v>877</v>
      </c>
      <c r="I5" t="s">
        <v>24</v>
      </c>
      <c r="J5">
        <v>8</v>
      </c>
      <c r="K5" t="s">
        <v>1563</v>
      </c>
    </row>
    <row r="6" spans="1:11">
      <c r="A6" t="s">
        <v>25</v>
      </c>
      <c r="B6" t="s">
        <v>26</v>
      </c>
      <c r="C6" t="s">
        <v>16</v>
      </c>
      <c r="D6">
        <v>445</v>
      </c>
      <c r="E6" s="4">
        <v>46089</v>
      </c>
      <c r="F6" s="4">
        <v>46094</v>
      </c>
      <c r="G6" s="4">
        <v>46094</v>
      </c>
      <c r="H6">
        <v>442</v>
      </c>
      <c r="I6" t="s">
        <v>27</v>
      </c>
      <c r="J6">
        <v>6</v>
      </c>
      <c r="K6" t="s">
        <v>1563</v>
      </c>
    </row>
    <row r="7" spans="1:11">
      <c r="A7" t="s">
        <v>28</v>
      </c>
      <c r="B7" t="s">
        <v>29</v>
      </c>
      <c r="C7" t="s">
        <v>12</v>
      </c>
      <c r="D7">
        <v>482</v>
      </c>
      <c r="E7" s="4">
        <v>46134</v>
      </c>
      <c r="F7" s="4">
        <v>46147</v>
      </c>
      <c r="G7" s="4">
        <v>46146</v>
      </c>
      <c r="H7">
        <v>473</v>
      </c>
      <c r="I7" t="s">
        <v>30</v>
      </c>
      <c r="J7">
        <v>3</v>
      </c>
      <c r="K7" t="s">
        <v>1563</v>
      </c>
    </row>
    <row r="8" spans="1:11">
      <c r="A8" t="s">
        <v>31</v>
      </c>
      <c r="B8" t="s">
        <v>32</v>
      </c>
      <c r="C8" t="s">
        <v>23</v>
      </c>
      <c r="D8">
        <v>810</v>
      </c>
      <c r="E8" s="4">
        <v>46043</v>
      </c>
      <c r="F8" s="4">
        <v>46050</v>
      </c>
      <c r="G8" s="4">
        <v>46050</v>
      </c>
      <c r="H8">
        <v>805</v>
      </c>
      <c r="I8" t="s">
        <v>33</v>
      </c>
      <c r="J8">
        <v>7</v>
      </c>
      <c r="K8" t="s">
        <v>1563</v>
      </c>
    </row>
    <row r="9" spans="1:11">
      <c r="A9" t="s">
        <v>34</v>
      </c>
      <c r="B9" t="s">
        <v>35</v>
      </c>
      <c r="C9" t="s">
        <v>23</v>
      </c>
      <c r="D9">
        <v>208</v>
      </c>
      <c r="E9" s="4">
        <v>46161</v>
      </c>
      <c r="F9" s="4">
        <v>46174</v>
      </c>
      <c r="G9" s="4">
        <v>46172</v>
      </c>
      <c r="H9">
        <v>183</v>
      </c>
      <c r="I9" t="s">
        <v>36</v>
      </c>
      <c r="J9">
        <v>4</v>
      </c>
      <c r="K9" t="s">
        <v>1563</v>
      </c>
    </row>
    <row r="10" spans="1:11">
      <c r="A10" t="s">
        <v>37</v>
      </c>
      <c r="B10" t="s">
        <v>19</v>
      </c>
      <c r="C10" t="s">
        <v>12</v>
      </c>
      <c r="D10">
        <v>266</v>
      </c>
      <c r="E10" s="4">
        <v>46089</v>
      </c>
      <c r="F10" s="4">
        <v>46102</v>
      </c>
      <c r="G10" s="4">
        <v>46099</v>
      </c>
      <c r="H10">
        <v>270</v>
      </c>
      <c r="I10" t="s">
        <v>38</v>
      </c>
      <c r="J10">
        <v>2</v>
      </c>
      <c r="K10" t="s">
        <v>1563</v>
      </c>
    </row>
    <row r="11" spans="1:11">
      <c r="A11" t="s">
        <v>39</v>
      </c>
      <c r="B11" t="s">
        <v>40</v>
      </c>
      <c r="C11" t="s">
        <v>23</v>
      </c>
      <c r="D11">
        <v>184</v>
      </c>
      <c r="E11" s="4">
        <v>46084</v>
      </c>
      <c r="F11" s="4">
        <v>46089</v>
      </c>
      <c r="G11" s="4">
        <v>46092</v>
      </c>
      <c r="H11">
        <v>183</v>
      </c>
      <c r="I11" t="s">
        <v>41</v>
      </c>
      <c r="J11">
        <v>1</v>
      </c>
      <c r="K11" t="s">
        <v>1563</v>
      </c>
    </row>
    <row r="12" spans="1:11">
      <c r="A12" t="s">
        <v>42</v>
      </c>
      <c r="B12" t="s">
        <v>43</v>
      </c>
      <c r="C12" t="s">
        <v>12</v>
      </c>
      <c r="D12">
        <v>242</v>
      </c>
      <c r="E12" s="4">
        <v>46104</v>
      </c>
      <c r="F12" s="4">
        <v>46114</v>
      </c>
      <c r="G12" s="4">
        <v>46113</v>
      </c>
      <c r="H12">
        <v>243</v>
      </c>
      <c r="I12" t="s">
        <v>44</v>
      </c>
      <c r="J12">
        <v>13</v>
      </c>
      <c r="K12" t="s">
        <v>1563</v>
      </c>
    </row>
    <row r="13" spans="1:11">
      <c r="A13" t="s">
        <v>45</v>
      </c>
      <c r="B13" t="s">
        <v>46</v>
      </c>
      <c r="C13" t="s">
        <v>23</v>
      </c>
      <c r="D13">
        <v>180</v>
      </c>
      <c r="E13" s="4">
        <v>46099</v>
      </c>
      <c r="F13" s="4">
        <v>46104</v>
      </c>
      <c r="G13" s="4">
        <v>46105</v>
      </c>
      <c r="H13">
        <v>181</v>
      </c>
      <c r="I13" t="s">
        <v>47</v>
      </c>
      <c r="J13">
        <v>4</v>
      </c>
      <c r="K13" t="s">
        <v>1563</v>
      </c>
    </row>
    <row r="14" spans="1:11">
      <c r="A14" t="s">
        <v>48</v>
      </c>
      <c r="B14" t="s">
        <v>49</v>
      </c>
      <c r="C14" t="s">
        <v>16</v>
      </c>
      <c r="D14">
        <v>480</v>
      </c>
      <c r="E14" s="4">
        <v>46148</v>
      </c>
      <c r="F14" s="4">
        <v>46153</v>
      </c>
      <c r="G14" s="4">
        <v>46161</v>
      </c>
      <c r="H14">
        <v>489</v>
      </c>
      <c r="I14" t="s">
        <v>50</v>
      </c>
      <c r="J14">
        <v>5</v>
      </c>
      <c r="K14" t="s">
        <v>1563</v>
      </c>
    </row>
    <row r="15" spans="1:11">
      <c r="A15" t="s">
        <v>51</v>
      </c>
      <c r="B15" t="s">
        <v>52</v>
      </c>
      <c r="C15" t="s">
        <v>12</v>
      </c>
      <c r="D15">
        <v>126</v>
      </c>
      <c r="E15" s="4">
        <v>46151</v>
      </c>
      <c r="F15" s="4">
        <v>46160</v>
      </c>
      <c r="G15" s="4">
        <v>46159</v>
      </c>
      <c r="H15">
        <v>124</v>
      </c>
      <c r="I15" t="s">
        <v>1564</v>
      </c>
      <c r="J15">
        <v>1</v>
      </c>
      <c r="K15" t="s">
        <v>1563</v>
      </c>
    </row>
    <row r="16" spans="1:11">
      <c r="A16" t="s">
        <v>53</v>
      </c>
      <c r="B16" t="s">
        <v>54</v>
      </c>
      <c r="C16" t="s">
        <v>12</v>
      </c>
      <c r="D16">
        <v>178</v>
      </c>
      <c r="E16" s="4">
        <v>46030</v>
      </c>
      <c r="F16" s="4">
        <v>46035</v>
      </c>
      <c r="G16" s="4">
        <v>46034</v>
      </c>
      <c r="H16">
        <v>180</v>
      </c>
      <c r="I16" t="s">
        <v>55</v>
      </c>
      <c r="J16">
        <v>1</v>
      </c>
      <c r="K16" t="s">
        <v>1563</v>
      </c>
    </row>
    <row r="17" spans="1:11">
      <c r="A17" t="s">
        <v>56</v>
      </c>
      <c r="B17" t="s">
        <v>40</v>
      </c>
      <c r="C17" t="s">
        <v>12</v>
      </c>
      <c r="D17">
        <v>369</v>
      </c>
      <c r="E17" s="4">
        <v>46038</v>
      </c>
      <c r="F17" s="4">
        <v>46049</v>
      </c>
      <c r="G17" s="4">
        <v>46051</v>
      </c>
      <c r="H17">
        <v>366</v>
      </c>
      <c r="I17" t="s">
        <v>57</v>
      </c>
      <c r="J17">
        <v>14</v>
      </c>
      <c r="K17" t="s">
        <v>1563</v>
      </c>
    </row>
    <row r="18" spans="1:11">
      <c r="A18" t="s">
        <v>58</v>
      </c>
      <c r="B18" t="s">
        <v>46</v>
      </c>
      <c r="C18" t="s">
        <v>12</v>
      </c>
      <c r="D18">
        <v>998</v>
      </c>
      <c r="E18" s="4">
        <v>46105</v>
      </c>
      <c r="F18" s="4">
        <v>46111</v>
      </c>
      <c r="G18" s="4">
        <v>46109</v>
      </c>
      <c r="H18">
        <v>996</v>
      </c>
      <c r="I18" t="s">
        <v>59</v>
      </c>
      <c r="J18">
        <v>96</v>
      </c>
      <c r="K18" t="s">
        <v>1563</v>
      </c>
    </row>
    <row r="19" spans="1:11">
      <c r="A19" t="s">
        <v>60</v>
      </c>
      <c r="B19" t="s">
        <v>54</v>
      </c>
      <c r="C19" t="s">
        <v>23</v>
      </c>
      <c r="D19">
        <v>984</v>
      </c>
      <c r="E19" s="4">
        <v>46074</v>
      </c>
      <c r="F19" s="4">
        <v>46081</v>
      </c>
      <c r="G19" s="4">
        <v>46079</v>
      </c>
      <c r="H19">
        <v>978</v>
      </c>
      <c r="I19" t="s">
        <v>61</v>
      </c>
      <c r="J19">
        <v>23</v>
      </c>
      <c r="K19" t="s">
        <v>1563</v>
      </c>
    </row>
    <row r="20" spans="1:11">
      <c r="A20" t="s">
        <v>62</v>
      </c>
      <c r="B20" t="s">
        <v>43</v>
      </c>
      <c r="C20" t="s">
        <v>12</v>
      </c>
      <c r="D20">
        <v>586</v>
      </c>
      <c r="E20" s="4">
        <v>46143</v>
      </c>
      <c r="F20" s="4">
        <v>46151</v>
      </c>
      <c r="G20" s="4">
        <v>46148</v>
      </c>
      <c r="H20">
        <v>514</v>
      </c>
      <c r="I20" t="s">
        <v>20</v>
      </c>
      <c r="J20">
        <v>12</v>
      </c>
      <c r="K20" t="s">
        <v>1563</v>
      </c>
    </row>
    <row r="21" spans="1:11">
      <c r="A21" t="s">
        <v>63</v>
      </c>
      <c r="B21" t="s">
        <v>64</v>
      </c>
      <c r="C21" t="s">
        <v>23</v>
      </c>
      <c r="D21">
        <v>132</v>
      </c>
      <c r="E21" s="4">
        <v>46163</v>
      </c>
      <c r="F21" s="4">
        <v>46169</v>
      </c>
      <c r="G21" s="4">
        <v>46173</v>
      </c>
      <c r="H21">
        <v>133</v>
      </c>
      <c r="I21" t="s">
        <v>65</v>
      </c>
      <c r="J21">
        <v>1</v>
      </c>
      <c r="K21" t="s">
        <v>1563</v>
      </c>
    </row>
    <row r="22" spans="1:11">
      <c r="A22" t="s">
        <v>66</v>
      </c>
      <c r="B22" t="s">
        <v>67</v>
      </c>
      <c r="C22" t="s">
        <v>12</v>
      </c>
      <c r="D22">
        <v>390</v>
      </c>
      <c r="E22" s="4">
        <v>46152</v>
      </c>
      <c r="F22" s="4">
        <v>46158</v>
      </c>
      <c r="G22" s="4"/>
      <c r="I22" t="s">
        <v>68</v>
      </c>
      <c r="K22" t="s">
        <v>1565</v>
      </c>
    </row>
    <row r="23" spans="1:11">
      <c r="A23" t="s">
        <v>69</v>
      </c>
      <c r="B23" t="s">
        <v>70</v>
      </c>
      <c r="C23" t="s">
        <v>16</v>
      </c>
      <c r="D23">
        <v>678</v>
      </c>
      <c r="E23" s="4">
        <v>46166</v>
      </c>
      <c r="F23" s="4">
        <v>46171</v>
      </c>
      <c r="G23" s="4">
        <v>46170</v>
      </c>
      <c r="H23">
        <v>636</v>
      </c>
      <c r="I23" t="s">
        <v>71</v>
      </c>
      <c r="J23">
        <v>15</v>
      </c>
      <c r="K23" t="s">
        <v>1563</v>
      </c>
    </row>
    <row r="24" spans="1:11">
      <c r="A24" t="s">
        <v>72</v>
      </c>
      <c r="B24" t="s">
        <v>26</v>
      </c>
      <c r="C24" t="s">
        <v>12</v>
      </c>
      <c r="D24">
        <v>368</v>
      </c>
      <c r="E24" s="4">
        <v>46119</v>
      </c>
      <c r="F24" s="4">
        <v>46127</v>
      </c>
      <c r="G24" s="4"/>
      <c r="I24" t="s">
        <v>73</v>
      </c>
      <c r="K24" t="s">
        <v>1565</v>
      </c>
    </row>
    <row r="25" spans="1:11">
      <c r="A25" t="s">
        <v>74</v>
      </c>
      <c r="B25" t="s">
        <v>32</v>
      </c>
      <c r="C25" t="s">
        <v>12</v>
      </c>
      <c r="D25">
        <v>381</v>
      </c>
      <c r="E25" s="4">
        <v>46136</v>
      </c>
      <c r="F25" s="4">
        <v>46144</v>
      </c>
      <c r="G25" s="4">
        <v>46144</v>
      </c>
      <c r="H25">
        <v>340</v>
      </c>
      <c r="I25" t="s">
        <v>75</v>
      </c>
      <c r="J25">
        <v>23</v>
      </c>
      <c r="K25" t="s">
        <v>1563</v>
      </c>
    </row>
    <row r="26" spans="1:11">
      <c r="A26" t="s">
        <v>76</v>
      </c>
      <c r="B26" t="s">
        <v>54</v>
      </c>
      <c r="C26" t="s">
        <v>12</v>
      </c>
      <c r="D26">
        <v>577</v>
      </c>
      <c r="E26" s="4">
        <v>46074</v>
      </c>
      <c r="F26" s="4">
        <v>46088</v>
      </c>
      <c r="G26" s="4">
        <v>46085</v>
      </c>
      <c r="H26">
        <v>536</v>
      </c>
      <c r="I26" t="s">
        <v>77</v>
      </c>
      <c r="J26">
        <v>8</v>
      </c>
      <c r="K26" t="s">
        <v>1563</v>
      </c>
    </row>
    <row r="27" spans="1:11">
      <c r="A27" t="s">
        <v>78</v>
      </c>
      <c r="B27" t="s">
        <v>11</v>
      </c>
      <c r="C27" t="s">
        <v>16</v>
      </c>
      <c r="D27">
        <v>550</v>
      </c>
      <c r="E27" s="4">
        <v>46168</v>
      </c>
      <c r="F27" s="4">
        <v>46175</v>
      </c>
      <c r="G27" s="4">
        <v>46177</v>
      </c>
      <c r="H27">
        <v>494</v>
      </c>
      <c r="I27" t="s">
        <v>79</v>
      </c>
      <c r="J27">
        <v>1</v>
      </c>
      <c r="K27" t="s">
        <v>1563</v>
      </c>
    </row>
    <row r="28" spans="1:11">
      <c r="A28" t="s">
        <v>80</v>
      </c>
      <c r="B28" t="s">
        <v>81</v>
      </c>
      <c r="C28" t="s">
        <v>23</v>
      </c>
      <c r="D28">
        <v>201</v>
      </c>
      <c r="E28" s="4">
        <v>46029</v>
      </c>
      <c r="F28" s="4">
        <v>46044</v>
      </c>
      <c r="G28" s="4">
        <v>46041</v>
      </c>
      <c r="H28">
        <v>175</v>
      </c>
      <c r="I28" t="s">
        <v>82</v>
      </c>
      <c r="J28">
        <v>0</v>
      </c>
      <c r="K28" t="s">
        <v>1563</v>
      </c>
    </row>
    <row r="29" spans="1:11">
      <c r="A29" t="s">
        <v>83</v>
      </c>
      <c r="B29" t="s">
        <v>81</v>
      </c>
      <c r="C29" t="s">
        <v>12</v>
      </c>
      <c r="D29">
        <v>661</v>
      </c>
      <c r="E29" s="4">
        <v>46060</v>
      </c>
      <c r="F29" s="4">
        <v>46068</v>
      </c>
      <c r="G29" s="4">
        <v>46068</v>
      </c>
      <c r="H29">
        <v>660</v>
      </c>
      <c r="I29" t="s">
        <v>84</v>
      </c>
      <c r="J29">
        <v>6</v>
      </c>
      <c r="K29" t="s">
        <v>1563</v>
      </c>
    </row>
    <row r="30" spans="1:11">
      <c r="A30" t="s">
        <v>85</v>
      </c>
      <c r="B30" t="s">
        <v>81</v>
      </c>
      <c r="C30" t="s">
        <v>23</v>
      </c>
      <c r="D30">
        <v>248</v>
      </c>
      <c r="E30" s="4">
        <v>46161</v>
      </c>
      <c r="F30" s="4">
        <v>46169</v>
      </c>
      <c r="G30" s="4">
        <v>46178</v>
      </c>
      <c r="H30">
        <v>234</v>
      </c>
      <c r="I30" t="s">
        <v>86</v>
      </c>
      <c r="J30">
        <v>2</v>
      </c>
      <c r="K30" t="s">
        <v>1563</v>
      </c>
    </row>
    <row r="31" spans="1:11">
      <c r="A31" t="s">
        <v>87</v>
      </c>
      <c r="B31" t="s">
        <v>64</v>
      </c>
      <c r="C31" t="s">
        <v>12</v>
      </c>
      <c r="D31">
        <v>692</v>
      </c>
      <c r="E31" s="4">
        <v>46157</v>
      </c>
      <c r="F31" s="4">
        <v>46162</v>
      </c>
      <c r="G31" s="4">
        <v>46163</v>
      </c>
      <c r="H31">
        <v>668</v>
      </c>
      <c r="I31" t="s">
        <v>88</v>
      </c>
      <c r="J31">
        <v>23</v>
      </c>
      <c r="K31" t="s">
        <v>1563</v>
      </c>
    </row>
    <row r="32" spans="1:11">
      <c r="A32" t="s">
        <v>89</v>
      </c>
      <c r="B32" t="s">
        <v>54</v>
      </c>
      <c r="C32" t="s">
        <v>16</v>
      </c>
      <c r="D32">
        <v>326</v>
      </c>
      <c r="E32" s="4">
        <v>46106</v>
      </c>
      <c r="F32" s="4">
        <v>46112</v>
      </c>
      <c r="G32" s="4">
        <v>46110</v>
      </c>
      <c r="H32">
        <v>329</v>
      </c>
      <c r="I32" t="s">
        <v>90</v>
      </c>
      <c r="J32">
        <v>2</v>
      </c>
      <c r="K32" t="s">
        <v>1563</v>
      </c>
    </row>
    <row r="33" spans="1:11">
      <c r="A33" t="s">
        <v>91</v>
      </c>
      <c r="B33" t="s">
        <v>54</v>
      </c>
      <c r="C33" t="s">
        <v>16</v>
      </c>
      <c r="D33">
        <v>761</v>
      </c>
      <c r="E33" s="4">
        <v>46084</v>
      </c>
      <c r="F33" s="4">
        <v>46096</v>
      </c>
      <c r="G33" s="4">
        <v>46094</v>
      </c>
      <c r="H33">
        <v>753</v>
      </c>
      <c r="I33" t="s">
        <v>92</v>
      </c>
      <c r="J33">
        <v>4</v>
      </c>
      <c r="K33" t="s">
        <v>1563</v>
      </c>
    </row>
    <row r="34" spans="1:11">
      <c r="A34" t="s">
        <v>93</v>
      </c>
      <c r="B34" t="s">
        <v>26</v>
      </c>
      <c r="C34" t="s">
        <v>23</v>
      </c>
      <c r="D34">
        <v>843</v>
      </c>
      <c r="E34" s="4">
        <v>46043</v>
      </c>
      <c r="F34" s="4">
        <v>46050</v>
      </c>
      <c r="G34" s="4"/>
      <c r="I34" t="s">
        <v>94</v>
      </c>
      <c r="K34" t="s">
        <v>1565</v>
      </c>
    </row>
    <row r="35" spans="1:11">
      <c r="A35" t="s">
        <v>95</v>
      </c>
      <c r="B35" t="s">
        <v>64</v>
      </c>
      <c r="C35" t="s">
        <v>12</v>
      </c>
      <c r="D35">
        <v>201</v>
      </c>
      <c r="E35" s="4">
        <v>46051</v>
      </c>
      <c r="F35" s="4">
        <v>46058</v>
      </c>
      <c r="G35" s="4">
        <v>46062</v>
      </c>
      <c r="H35">
        <v>204</v>
      </c>
      <c r="I35" t="s">
        <v>96</v>
      </c>
      <c r="J35">
        <v>7</v>
      </c>
      <c r="K35" t="s">
        <v>1563</v>
      </c>
    </row>
    <row r="36" spans="1:11">
      <c r="A36" t="s">
        <v>97</v>
      </c>
      <c r="B36" t="s">
        <v>67</v>
      </c>
      <c r="C36" t="s">
        <v>12</v>
      </c>
      <c r="D36">
        <v>87</v>
      </c>
      <c r="E36" s="4">
        <v>46062</v>
      </c>
      <c r="F36" s="4">
        <v>46067</v>
      </c>
      <c r="G36" s="4">
        <v>46064</v>
      </c>
      <c r="H36">
        <v>87</v>
      </c>
      <c r="I36" t="s">
        <v>98</v>
      </c>
      <c r="J36">
        <v>5</v>
      </c>
      <c r="K36" t="s">
        <v>1563</v>
      </c>
    </row>
    <row r="37" spans="1:11">
      <c r="A37" t="s">
        <v>99</v>
      </c>
      <c r="B37" t="s">
        <v>100</v>
      </c>
      <c r="C37" t="s">
        <v>12</v>
      </c>
      <c r="D37">
        <v>864</v>
      </c>
      <c r="E37" s="4">
        <v>46172</v>
      </c>
      <c r="F37" s="4">
        <v>46180</v>
      </c>
      <c r="G37" s="4">
        <v>46178</v>
      </c>
      <c r="H37">
        <v>861</v>
      </c>
      <c r="I37" t="s">
        <v>101</v>
      </c>
      <c r="J37">
        <v>4</v>
      </c>
      <c r="K37" t="s">
        <v>1563</v>
      </c>
    </row>
    <row r="38" spans="1:11">
      <c r="A38" t="s">
        <v>102</v>
      </c>
      <c r="B38" t="s">
        <v>70</v>
      </c>
      <c r="C38" t="s">
        <v>23</v>
      </c>
      <c r="D38">
        <v>872</v>
      </c>
      <c r="E38" s="4">
        <v>46115</v>
      </c>
      <c r="F38" s="4">
        <v>46120</v>
      </c>
      <c r="G38" s="4">
        <v>46118</v>
      </c>
      <c r="H38">
        <v>860</v>
      </c>
      <c r="I38" t="s">
        <v>103</v>
      </c>
      <c r="J38">
        <v>11</v>
      </c>
      <c r="K38" t="s">
        <v>1563</v>
      </c>
    </row>
    <row r="39" spans="1:11">
      <c r="A39" t="s">
        <v>104</v>
      </c>
      <c r="B39" t="s">
        <v>46</v>
      </c>
      <c r="C39" t="s">
        <v>12</v>
      </c>
      <c r="D39">
        <v>523</v>
      </c>
      <c r="E39" s="4">
        <v>46041</v>
      </c>
      <c r="F39" s="4">
        <v>46051</v>
      </c>
      <c r="G39" s="4">
        <v>46051</v>
      </c>
      <c r="H39">
        <v>517</v>
      </c>
      <c r="I39" t="s">
        <v>105</v>
      </c>
      <c r="J39">
        <v>31</v>
      </c>
      <c r="K39" t="s">
        <v>1563</v>
      </c>
    </row>
    <row r="40" spans="1:11">
      <c r="A40" t="s">
        <v>106</v>
      </c>
      <c r="B40" t="s">
        <v>22</v>
      </c>
      <c r="C40" t="s">
        <v>16</v>
      </c>
      <c r="D40">
        <v>965</v>
      </c>
      <c r="E40" s="4">
        <v>46049</v>
      </c>
      <c r="F40" s="4">
        <v>46059</v>
      </c>
      <c r="G40" s="4">
        <v>46058</v>
      </c>
      <c r="H40">
        <v>882</v>
      </c>
      <c r="I40" t="s">
        <v>107</v>
      </c>
      <c r="J40">
        <v>78</v>
      </c>
      <c r="K40" t="s">
        <v>1563</v>
      </c>
    </row>
    <row r="41" spans="1:11">
      <c r="A41" t="s">
        <v>108</v>
      </c>
      <c r="B41" t="s">
        <v>81</v>
      </c>
      <c r="C41" t="s">
        <v>16</v>
      </c>
      <c r="D41">
        <v>119</v>
      </c>
      <c r="E41" s="4">
        <v>46175</v>
      </c>
      <c r="F41" s="4">
        <v>46183</v>
      </c>
      <c r="G41" s="4">
        <v>46181</v>
      </c>
      <c r="H41">
        <v>104</v>
      </c>
      <c r="I41" t="s">
        <v>109</v>
      </c>
      <c r="J41">
        <v>0</v>
      </c>
      <c r="K41" t="s">
        <v>1563</v>
      </c>
    </row>
    <row r="42" spans="1:11">
      <c r="A42" t="s">
        <v>110</v>
      </c>
      <c r="B42" t="s">
        <v>43</v>
      </c>
      <c r="C42" t="s">
        <v>23</v>
      </c>
      <c r="D42">
        <v>428</v>
      </c>
      <c r="E42" s="4">
        <v>46105</v>
      </c>
      <c r="F42" s="4">
        <v>46118</v>
      </c>
      <c r="G42" s="4">
        <v>46116</v>
      </c>
      <c r="H42">
        <v>420</v>
      </c>
      <c r="I42" t="s">
        <v>111</v>
      </c>
      <c r="J42">
        <v>4</v>
      </c>
      <c r="K42" t="s">
        <v>1563</v>
      </c>
    </row>
    <row r="43" spans="1:11">
      <c r="A43" t="s">
        <v>112</v>
      </c>
      <c r="B43" t="s">
        <v>32</v>
      </c>
      <c r="C43" t="s">
        <v>12</v>
      </c>
      <c r="D43">
        <v>468</v>
      </c>
      <c r="E43" s="4">
        <v>46098</v>
      </c>
      <c r="F43" s="4">
        <v>46107</v>
      </c>
      <c r="G43" s="4">
        <v>46106</v>
      </c>
      <c r="H43">
        <v>468</v>
      </c>
      <c r="I43" t="s">
        <v>113</v>
      </c>
      <c r="J43">
        <v>4</v>
      </c>
      <c r="K43" t="s">
        <v>1563</v>
      </c>
    </row>
    <row r="44" spans="1:11">
      <c r="A44" t="s">
        <v>114</v>
      </c>
      <c r="B44" t="s">
        <v>54</v>
      </c>
      <c r="C44" t="s">
        <v>12</v>
      </c>
      <c r="D44">
        <v>590</v>
      </c>
      <c r="E44" s="4">
        <v>46064</v>
      </c>
      <c r="F44" s="4">
        <v>46079</v>
      </c>
      <c r="G44" s="4">
        <v>46076</v>
      </c>
      <c r="H44">
        <v>601</v>
      </c>
      <c r="I44" t="s">
        <v>115</v>
      </c>
      <c r="J44">
        <v>14</v>
      </c>
      <c r="K44" t="s">
        <v>1563</v>
      </c>
    </row>
    <row r="45" spans="1:11">
      <c r="A45" t="s">
        <v>116</v>
      </c>
      <c r="B45" t="s">
        <v>40</v>
      </c>
      <c r="C45" t="s">
        <v>23</v>
      </c>
      <c r="D45">
        <v>588</v>
      </c>
      <c r="E45" s="4">
        <v>46171</v>
      </c>
      <c r="F45" s="4">
        <v>46181</v>
      </c>
      <c r="G45" s="4">
        <v>46188</v>
      </c>
      <c r="H45">
        <v>581</v>
      </c>
      <c r="I45" t="s">
        <v>118</v>
      </c>
      <c r="J45">
        <v>46</v>
      </c>
      <c r="K45" t="s">
        <v>1563</v>
      </c>
    </row>
    <row r="46" spans="1:11">
      <c r="A46" t="s">
        <v>119</v>
      </c>
      <c r="B46" t="s">
        <v>120</v>
      </c>
      <c r="C46" t="s">
        <v>12</v>
      </c>
      <c r="D46">
        <v>411</v>
      </c>
      <c r="E46" s="4">
        <v>46123</v>
      </c>
      <c r="F46" s="4">
        <v>46134</v>
      </c>
      <c r="G46" s="4">
        <v>46131</v>
      </c>
      <c r="H46">
        <v>415</v>
      </c>
      <c r="I46" t="s">
        <v>121</v>
      </c>
      <c r="J46">
        <v>11</v>
      </c>
      <c r="K46" t="s">
        <v>1563</v>
      </c>
    </row>
    <row r="47" spans="1:11">
      <c r="A47" t="s">
        <v>122</v>
      </c>
      <c r="B47" t="s">
        <v>120</v>
      </c>
      <c r="C47" t="s">
        <v>12</v>
      </c>
      <c r="D47">
        <v>543</v>
      </c>
      <c r="E47" s="4">
        <v>46121</v>
      </c>
      <c r="F47" s="4">
        <v>46131</v>
      </c>
      <c r="G47" s="4">
        <v>46128</v>
      </c>
      <c r="H47">
        <v>549</v>
      </c>
      <c r="I47" t="s">
        <v>123</v>
      </c>
      <c r="J47">
        <v>4</v>
      </c>
      <c r="K47" t="s">
        <v>1563</v>
      </c>
    </row>
    <row r="48" spans="1:11">
      <c r="A48" t="s">
        <v>124</v>
      </c>
      <c r="B48" t="s">
        <v>54</v>
      </c>
      <c r="C48" t="s">
        <v>16</v>
      </c>
      <c r="D48">
        <v>585</v>
      </c>
      <c r="E48" s="4">
        <v>46052</v>
      </c>
      <c r="F48" s="4">
        <v>46059</v>
      </c>
      <c r="G48" s="4">
        <v>46056</v>
      </c>
      <c r="H48">
        <v>480</v>
      </c>
      <c r="I48" t="s">
        <v>125</v>
      </c>
      <c r="J48">
        <v>7</v>
      </c>
      <c r="K48" t="s">
        <v>1563</v>
      </c>
    </row>
    <row r="49" spans="1:11">
      <c r="A49" t="s">
        <v>126</v>
      </c>
      <c r="B49" t="s">
        <v>40</v>
      </c>
      <c r="C49" t="s">
        <v>23</v>
      </c>
      <c r="D49">
        <v>488</v>
      </c>
      <c r="E49" s="4">
        <v>46079</v>
      </c>
      <c r="F49" s="4">
        <v>46093</v>
      </c>
      <c r="G49" s="4">
        <v>46098</v>
      </c>
      <c r="H49">
        <v>479</v>
      </c>
      <c r="I49" t="s">
        <v>47</v>
      </c>
      <c r="J49">
        <v>24</v>
      </c>
      <c r="K49" t="s">
        <v>1563</v>
      </c>
    </row>
    <row r="50" spans="1:11">
      <c r="A50" t="s">
        <v>128</v>
      </c>
      <c r="B50" t="s">
        <v>54</v>
      </c>
      <c r="C50" t="s">
        <v>12</v>
      </c>
      <c r="D50">
        <v>615</v>
      </c>
      <c r="E50" s="4">
        <v>46174</v>
      </c>
      <c r="F50" s="4">
        <v>46185</v>
      </c>
      <c r="G50" s="4">
        <v>46186</v>
      </c>
      <c r="H50">
        <v>537</v>
      </c>
      <c r="I50" t="s">
        <v>129</v>
      </c>
      <c r="J50">
        <v>0</v>
      </c>
      <c r="K50" t="s">
        <v>1563</v>
      </c>
    </row>
    <row r="51" spans="1:11">
      <c r="A51" t="s">
        <v>130</v>
      </c>
      <c r="B51" t="s">
        <v>70</v>
      </c>
      <c r="C51" t="s">
        <v>12</v>
      </c>
      <c r="D51">
        <v>93</v>
      </c>
      <c r="E51" s="4">
        <v>46088</v>
      </c>
      <c r="F51" s="4">
        <v>46102</v>
      </c>
      <c r="G51" s="4">
        <v>46099</v>
      </c>
      <c r="H51">
        <v>92</v>
      </c>
      <c r="I51" t="s">
        <v>131</v>
      </c>
      <c r="J51">
        <v>0</v>
      </c>
      <c r="K51" t="s">
        <v>1563</v>
      </c>
    </row>
    <row r="52" spans="1:11">
      <c r="A52" t="s">
        <v>132</v>
      </c>
      <c r="B52" t="s">
        <v>32</v>
      </c>
      <c r="C52" t="s">
        <v>12</v>
      </c>
      <c r="D52">
        <v>720</v>
      </c>
      <c r="E52" s="4">
        <v>46108</v>
      </c>
      <c r="F52" s="4">
        <v>46120</v>
      </c>
      <c r="G52" s="4">
        <v>46117</v>
      </c>
      <c r="H52">
        <v>689</v>
      </c>
      <c r="I52" t="s">
        <v>59</v>
      </c>
      <c r="J52">
        <v>46</v>
      </c>
      <c r="K52" t="s">
        <v>1563</v>
      </c>
    </row>
    <row r="53" spans="1:11">
      <c r="A53" t="s">
        <v>133</v>
      </c>
      <c r="B53" t="s">
        <v>52</v>
      </c>
      <c r="C53" t="s">
        <v>16</v>
      </c>
      <c r="D53">
        <v>782</v>
      </c>
      <c r="E53" s="4">
        <v>46061</v>
      </c>
      <c r="F53" s="4">
        <v>46067</v>
      </c>
      <c r="G53" s="4">
        <v>46076</v>
      </c>
      <c r="H53">
        <v>775</v>
      </c>
      <c r="I53" t="s">
        <v>134</v>
      </c>
      <c r="J53">
        <v>15</v>
      </c>
      <c r="K53" t="s">
        <v>1563</v>
      </c>
    </row>
    <row r="54" spans="1:11">
      <c r="A54" t="s">
        <v>135</v>
      </c>
      <c r="B54" t="s">
        <v>46</v>
      </c>
      <c r="C54" t="s">
        <v>12</v>
      </c>
      <c r="D54">
        <v>483</v>
      </c>
      <c r="E54" s="4">
        <v>46162</v>
      </c>
      <c r="F54" s="4">
        <v>46177</v>
      </c>
      <c r="G54" s="4">
        <v>46184</v>
      </c>
      <c r="H54">
        <v>484</v>
      </c>
      <c r="I54" t="s">
        <v>136</v>
      </c>
      <c r="J54">
        <v>24</v>
      </c>
      <c r="K54" t="s">
        <v>1563</v>
      </c>
    </row>
    <row r="55" spans="1:11">
      <c r="A55" t="s">
        <v>137</v>
      </c>
      <c r="B55" t="s">
        <v>81</v>
      </c>
      <c r="C55" t="s">
        <v>12</v>
      </c>
      <c r="D55">
        <v>622</v>
      </c>
      <c r="E55" s="4">
        <v>46087</v>
      </c>
      <c r="F55" s="4">
        <v>46101</v>
      </c>
      <c r="G55" s="4">
        <v>46110</v>
      </c>
      <c r="H55">
        <v>504</v>
      </c>
      <c r="I55" t="s">
        <v>84</v>
      </c>
      <c r="J55">
        <v>1</v>
      </c>
      <c r="K55" t="s">
        <v>1563</v>
      </c>
    </row>
    <row r="56" spans="1:11">
      <c r="A56" t="s">
        <v>138</v>
      </c>
      <c r="B56" t="s">
        <v>11</v>
      </c>
      <c r="C56" t="s">
        <v>12</v>
      </c>
      <c r="D56">
        <v>371</v>
      </c>
      <c r="E56" s="4">
        <v>46093</v>
      </c>
      <c r="F56" s="4">
        <v>46098</v>
      </c>
      <c r="G56" s="4">
        <v>46095</v>
      </c>
      <c r="H56">
        <v>297</v>
      </c>
      <c r="I56" t="s">
        <v>140</v>
      </c>
      <c r="J56">
        <v>12</v>
      </c>
      <c r="K56" t="s">
        <v>1563</v>
      </c>
    </row>
    <row r="57" spans="1:11">
      <c r="A57" t="s">
        <v>141</v>
      </c>
      <c r="B57" t="s">
        <v>43</v>
      </c>
      <c r="C57" t="s">
        <v>23</v>
      </c>
      <c r="D57">
        <v>990</v>
      </c>
      <c r="E57" s="4">
        <v>46063</v>
      </c>
      <c r="F57" s="4">
        <v>46070</v>
      </c>
      <c r="G57" s="4">
        <v>46068</v>
      </c>
      <c r="H57">
        <v>979</v>
      </c>
      <c r="I57" t="s">
        <v>142</v>
      </c>
      <c r="J57">
        <v>15</v>
      </c>
      <c r="K57" t="s">
        <v>1563</v>
      </c>
    </row>
    <row r="58" spans="1:11">
      <c r="A58" t="s">
        <v>143</v>
      </c>
      <c r="B58" t="s">
        <v>35</v>
      </c>
      <c r="C58" t="s">
        <v>12</v>
      </c>
      <c r="D58">
        <v>352</v>
      </c>
      <c r="E58" s="4">
        <v>46054</v>
      </c>
      <c r="F58" s="4">
        <v>46069</v>
      </c>
      <c r="G58" s="4">
        <v>46068</v>
      </c>
      <c r="H58">
        <v>353</v>
      </c>
      <c r="I58" t="s">
        <v>144</v>
      </c>
      <c r="J58">
        <v>21</v>
      </c>
      <c r="K58" t="s">
        <v>1563</v>
      </c>
    </row>
    <row r="59" spans="1:11">
      <c r="A59" t="s">
        <v>145</v>
      </c>
      <c r="B59" t="s">
        <v>29</v>
      </c>
      <c r="C59" t="s">
        <v>16</v>
      </c>
      <c r="D59">
        <v>458</v>
      </c>
      <c r="E59" s="4">
        <v>46049</v>
      </c>
      <c r="F59" s="4">
        <v>46062</v>
      </c>
      <c r="G59" s="4">
        <v>46061</v>
      </c>
      <c r="H59">
        <v>452</v>
      </c>
      <c r="I59" t="s">
        <v>146</v>
      </c>
      <c r="J59">
        <v>1</v>
      </c>
      <c r="K59" t="s">
        <v>1563</v>
      </c>
    </row>
    <row r="60" spans="1:11">
      <c r="A60" t="s">
        <v>147</v>
      </c>
      <c r="B60" t="s">
        <v>67</v>
      </c>
      <c r="C60" t="s">
        <v>12</v>
      </c>
      <c r="D60">
        <v>172</v>
      </c>
      <c r="E60" s="4">
        <v>46027</v>
      </c>
      <c r="F60" s="4">
        <v>46041</v>
      </c>
      <c r="G60" s="4">
        <v>46041</v>
      </c>
      <c r="H60">
        <v>172</v>
      </c>
      <c r="I60" t="s">
        <v>148</v>
      </c>
      <c r="J60">
        <v>10</v>
      </c>
      <c r="K60" t="s">
        <v>1563</v>
      </c>
    </row>
    <row r="61" spans="1:11">
      <c r="A61" t="s">
        <v>149</v>
      </c>
      <c r="B61" t="s">
        <v>64</v>
      </c>
      <c r="C61" t="s">
        <v>16</v>
      </c>
      <c r="D61">
        <v>205</v>
      </c>
      <c r="E61" s="4">
        <v>46090</v>
      </c>
      <c r="F61" s="4">
        <v>46103</v>
      </c>
      <c r="G61" s="4">
        <v>46102</v>
      </c>
      <c r="H61">
        <v>189</v>
      </c>
      <c r="I61" t="s">
        <v>150</v>
      </c>
      <c r="J61">
        <v>0</v>
      </c>
      <c r="K61" t="s">
        <v>1563</v>
      </c>
    </row>
    <row r="62" spans="1:11">
      <c r="A62" t="s">
        <v>151</v>
      </c>
      <c r="B62" t="s">
        <v>67</v>
      </c>
      <c r="C62" t="s">
        <v>12</v>
      </c>
      <c r="D62">
        <v>184</v>
      </c>
      <c r="E62" s="4">
        <v>46148</v>
      </c>
      <c r="F62" s="4">
        <v>46157</v>
      </c>
      <c r="G62" s="4">
        <v>46164</v>
      </c>
      <c r="H62">
        <v>187</v>
      </c>
      <c r="I62" t="s">
        <v>152</v>
      </c>
      <c r="J62">
        <v>0</v>
      </c>
      <c r="K62" t="s">
        <v>1563</v>
      </c>
    </row>
    <row r="63" spans="1:11">
      <c r="A63" t="s">
        <v>153</v>
      </c>
      <c r="B63" t="s">
        <v>32</v>
      </c>
      <c r="C63" t="s">
        <v>12</v>
      </c>
      <c r="D63">
        <v>969</v>
      </c>
      <c r="E63" s="4">
        <v>46060</v>
      </c>
      <c r="F63" s="4">
        <v>46066</v>
      </c>
      <c r="G63" s="4">
        <v>46064</v>
      </c>
      <c r="H63">
        <v>973</v>
      </c>
      <c r="I63" t="s">
        <v>154</v>
      </c>
      <c r="J63">
        <v>5</v>
      </c>
      <c r="K63" t="s">
        <v>1563</v>
      </c>
    </row>
    <row r="64" spans="1:11">
      <c r="A64" t="s">
        <v>155</v>
      </c>
      <c r="B64" t="s">
        <v>29</v>
      </c>
      <c r="C64" t="s">
        <v>12</v>
      </c>
      <c r="D64">
        <v>574</v>
      </c>
      <c r="E64" s="4">
        <v>46111</v>
      </c>
      <c r="F64" s="4">
        <v>46116</v>
      </c>
      <c r="G64" s="4">
        <v>46113</v>
      </c>
      <c r="H64">
        <v>578</v>
      </c>
      <c r="I64" t="s">
        <v>156</v>
      </c>
      <c r="J64">
        <v>7</v>
      </c>
      <c r="K64" t="s">
        <v>1563</v>
      </c>
    </row>
    <row r="65" spans="1:11">
      <c r="A65" t="s">
        <v>157</v>
      </c>
      <c r="B65" t="s">
        <v>100</v>
      </c>
      <c r="C65" t="s">
        <v>16</v>
      </c>
      <c r="D65">
        <v>668</v>
      </c>
      <c r="E65" s="4">
        <v>46129</v>
      </c>
      <c r="F65" s="4">
        <v>46141</v>
      </c>
      <c r="G65" s="4">
        <v>46139</v>
      </c>
      <c r="H65">
        <v>677</v>
      </c>
      <c r="I65" t="s">
        <v>158</v>
      </c>
      <c r="J65">
        <v>11</v>
      </c>
      <c r="K65" t="s">
        <v>1563</v>
      </c>
    </row>
    <row r="66" spans="1:11">
      <c r="A66" t="s">
        <v>159</v>
      </c>
      <c r="B66" t="s">
        <v>40</v>
      </c>
      <c r="C66" t="s">
        <v>12</v>
      </c>
      <c r="D66">
        <v>308</v>
      </c>
      <c r="E66" s="4">
        <v>46167</v>
      </c>
      <c r="F66" s="4">
        <v>46172</v>
      </c>
      <c r="G66" s="4">
        <v>46169</v>
      </c>
      <c r="H66">
        <v>308</v>
      </c>
      <c r="I66" t="s">
        <v>160</v>
      </c>
      <c r="J66">
        <v>19</v>
      </c>
      <c r="K66" t="s">
        <v>1563</v>
      </c>
    </row>
    <row r="67" spans="1:11">
      <c r="A67" t="s">
        <v>161</v>
      </c>
      <c r="B67" t="s">
        <v>29</v>
      </c>
      <c r="C67" t="s">
        <v>16</v>
      </c>
      <c r="D67">
        <v>352</v>
      </c>
      <c r="E67" s="4">
        <v>46083</v>
      </c>
      <c r="F67" s="4">
        <v>46091</v>
      </c>
      <c r="G67" s="4">
        <v>46091</v>
      </c>
      <c r="H67">
        <v>355</v>
      </c>
      <c r="I67" t="s">
        <v>162</v>
      </c>
      <c r="J67">
        <v>1</v>
      </c>
      <c r="K67" t="s">
        <v>1563</v>
      </c>
    </row>
    <row r="68" spans="1:11">
      <c r="A68" t="s">
        <v>163</v>
      </c>
      <c r="B68" t="s">
        <v>49</v>
      </c>
      <c r="C68" t="s">
        <v>16</v>
      </c>
      <c r="D68">
        <v>182</v>
      </c>
      <c r="E68" s="4">
        <v>46119</v>
      </c>
      <c r="F68" s="4">
        <v>46134</v>
      </c>
      <c r="G68" s="4">
        <v>46134</v>
      </c>
      <c r="H68">
        <v>184</v>
      </c>
      <c r="I68" t="s">
        <v>164</v>
      </c>
      <c r="J68">
        <v>1</v>
      </c>
      <c r="K68" t="s">
        <v>1563</v>
      </c>
    </row>
    <row r="69" spans="1:11">
      <c r="A69" t="s">
        <v>165</v>
      </c>
      <c r="B69" t="s">
        <v>52</v>
      </c>
      <c r="C69" t="s">
        <v>12</v>
      </c>
      <c r="D69">
        <v>788</v>
      </c>
      <c r="E69" s="4">
        <v>46085</v>
      </c>
      <c r="F69" s="4">
        <v>46091</v>
      </c>
      <c r="G69" s="4">
        <v>46092</v>
      </c>
      <c r="H69">
        <v>798</v>
      </c>
      <c r="I69" t="s">
        <v>167</v>
      </c>
      <c r="J69">
        <v>11</v>
      </c>
      <c r="K69" t="s">
        <v>1563</v>
      </c>
    </row>
    <row r="70" spans="1:11">
      <c r="A70" t="s">
        <v>168</v>
      </c>
      <c r="B70" t="s">
        <v>26</v>
      </c>
      <c r="C70" t="s">
        <v>16</v>
      </c>
      <c r="D70">
        <v>495</v>
      </c>
      <c r="E70" s="4">
        <v>46161</v>
      </c>
      <c r="F70" s="4">
        <v>46166</v>
      </c>
      <c r="G70" s="4">
        <v>46165</v>
      </c>
      <c r="H70">
        <v>418</v>
      </c>
      <c r="I70" t="s">
        <v>169</v>
      </c>
      <c r="J70">
        <v>1</v>
      </c>
      <c r="K70" t="s">
        <v>1563</v>
      </c>
    </row>
    <row r="71" spans="1:11">
      <c r="A71" t="s">
        <v>170</v>
      </c>
      <c r="B71" t="s">
        <v>26</v>
      </c>
      <c r="C71" t="s">
        <v>12</v>
      </c>
      <c r="D71">
        <v>450</v>
      </c>
      <c r="E71" s="4">
        <v>46042</v>
      </c>
      <c r="F71" s="4">
        <v>46047</v>
      </c>
      <c r="G71" s="4">
        <v>46046</v>
      </c>
      <c r="H71">
        <v>442</v>
      </c>
      <c r="I71" t="s">
        <v>171</v>
      </c>
      <c r="J71">
        <v>8</v>
      </c>
      <c r="K71" t="s">
        <v>1563</v>
      </c>
    </row>
    <row r="72" spans="1:11">
      <c r="A72" t="s">
        <v>172</v>
      </c>
      <c r="B72" t="s">
        <v>22</v>
      </c>
      <c r="C72" t="s">
        <v>16</v>
      </c>
      <c r="D72">
        <v>880</v>
      </c>
      <c r="E72" s="4">
        <v>46105</v>
      </c>
      <c r="F72" s="4">
        <v>46110</v>
      </c>
      <c r="G72" s="4">
        <v>46107</v>
      </c>
      <c r="H72">
        <v>875</v>
      </c>
      <c r="I72" t="s">
        <v>173</v>
      </c>
      <c r="J72">
        <v>28</v>
      </c>
      <c r="K72" t="s">
        <v>1563</v>
      </c>
    </row>
    <row r="73" spans="1:11">
      <c r="A73" t="s">
        <v>174</v>
      </c>
      <c r="B73" t="s">
        <v>67</v>
      </c>
      <c r="C73" t="s">
        <v>12</v>
      </c>
      <c r="D73">
        <v>506</v>
      </c>
      <c r="E73" s="4">
        <v>46103</v>
      </c>
      <c r="F73" s="4">
        <v>46115</v>
      </c>
      <c r="G73" s="4">
        <v>46115</v>
      </c>
      <c r="H73">
        <v>511</v>
      </c>
      <c r="I73" t="s">
        <v>175</v>
      </c>
      <c r="J73">
        <v>28</v>
      </c>
      <c r="K73" t="s">
        <v>1563</v>
      </c>
    </row>
    <row r="74" spans="1:11">
      <c r="A74" t="s">
        <v>176</v>
      </c>
      <c r="B74" t="s">
        <v>177</v>
      </c>
      <c r="C74" t="s">
        <v>12</v>
      </c>
      <c r="D74">
        <v>855</v>
      </c>
      <c r="E74" s="4">
        <v>46107</v>
      </c>
      <c r="F74" s="4">
        <v>46121</v>
      </c>
      <c r="G74" s="4">
        <v>46119</v>
      </c>
      <c r="H74">
        <v>802</v>
      </c>
      <c r="I74" t="s">
        <v>178</v>
      </c>
      <c r="J74">
        <v>12</v>
      </c>
      <c r="K74" t="s">
        <v>1563</v>
      </c>
    </row>
    <row r="75" spans="1:11">
      <c r="A75" t="s">
        <v>179</v>
      </c>
      <c r="B75" t="s">
        <v>32</v>
      </c>
      <c r="C75" t="s">
        <v>16</v>
      </c>
      <c r="D75">
        <v>703</v>
      </c>
      <c r="E75" s="4">
        <v>46083</v>
      </c>
      <c r="F75" s="4">
        <v>46088</v>
      </c>
      <c r="G75" s="4">
        <v>46087</v>
      </c>
      <c r="H75">
        <v>706</v>
      </c>
      <c r="I75" t="s">
        <v>50</v>
      </c>
      <c r="J75">
        <v>38</v>
      </c>
      <c r="K75" t="s">
        <v>1563</v>
      </c>
    </row>
    <row r="76" spans="1:11">
      <c r="A76" t="s">
        <v>180</v>
      </c>
      <c r="B76" t="s">
        <v>52</v>
      </c>
      <c r="C76" t="s">
        <v>16</v>
      </c>
      <c r="D76">
        <v>261</v>
      </c>
      <c r="E76" s="4">
        <v>46098</v>
      </c>
      <c r="F76" s="4">
        <v>46106</v>
      </c>
      <c r="G76" s="4">
        <v>46105</v>
      </c>
      <c r="H76">
        <v>214</v>
      </c>
      <c r="I76" t="s">
        <v>181</v>
      </c>
      <c r="J76">
        <v>2</v>
      </c>
      <c r="K76" t="s">
        <v>1563</v>
      </c>
    </row>
    <row r="77" spans="1:11">
      <c r="A77" t="s">
        <v>182</v>
      </c>
      <c r="B77" t="s">
        <v>177</v>
      </c>
      <c r="C77" t="s">
        <v>12</v>
      </c>
      <c r="D77">
        <v>500</v>
      </c>
      <c r="E77" s="4">
        <v>46148</v>
      </c>
      <c r="F77" s="4">
        <v>46155</v>
      </c>
      <c r="G77" s="4">
        <v>46154</v>
      </c>
      <c r="H77">
        <v>507</v>
      </c>
      <c r="I77" t="s">
        <v>183</v>
      </c>
      <c r="J77">
        <v>9</v>
      </c>
      <c r="K77" t="s">
        <v>1563</v>
      </c>
    </row>
    <row r="78" spans="1:11">
      <c r="A78" t="s">
        <v>184</v>
      </c>
      <c r="B78" t="s">
        <v>177</v>
      </c>
      <c r="C78" t="s">
        <v>12</v>
      </c>
      <c r="D78">
        <v>529</v>
      </c>
      <c r="E78" s="4">
        <v>46171</v>
      </c>
      <c r="F78" s="4">
        <v>46178</v>
      </c>
      <c r="G78" s="4">
        <v>46175</v>
      </c>
      <c r="H78">
        <v>538</v>
      </c>
      <c r="I78" t="s">
        <v>185</v>
      </c>
      <c r="J78">
        <v>11</v>
      </c>
      <c r="K78" t="s">
        <v>1563</v>
      </c>
    </row>
    <row r="79" spans="1:11">
      <c r="A79" t="s">
        <v>186</v>
      </c>
      <c r="B79" t="s">
        <v>100</v>
      </c>
      <c r="C79" t="s">
        <v>12</v>
      </c>
      <c r="D79">
        <v>339</v>
      </c>
      <c r="E79" s="4">
        <v>46167</v>
      </c>
      <c r="F79" s="4">
        <v>46176</v>
      </c>
      <c r="G79" s="4">
        <v>46184</v>
      </c>
      <c r="H79">
        <v>346</v>
      </c>
      <c r="I79" t="s">
        <v>187</v>
      </c>
      <c r="J79">
        <v>1</v>
      </c>
      <c r="K79" t="s">
        <v>1563</v>
      </c>
    </row>
    <row r="80" spans="1:11">
      <c r="A80" t="s">
        <v>188</v>
      </c>
      <c r="B80" t="s">
        <v>81</v>
      </c>
      <c r="C80" t="s">
        <v>12</v>
      </c>
      <c r="D80">
        <v>356</v>
      </c>
      <c r="E80" s="4">
        <v>46157</v>
      </c>
      <c r="F80" s="4">
        <v>46171</v>
      </c>
      <c r="G80" s="4">
        <v>46171</v>
      </c>
      <c r="H80">
        <v>311</v>
      </c>
      <c r="I80" t="s">
        <v>189</v>
      </c>
      <c r="J80">
        <v>3</v>
      </c>
      <c r="K80" t="s">
        <v>1563</v>
      </c>
    </row>
    <row r="81" spans="1:11">
      <c r="A81" t="s">
        <v>190</v>
      </c>
      <c r="B81" t="s">
        <v>100</v>
      </c>
      <c r="C81" t="s">
        <v>12</v>
      </c>
      <c r="D81">
        <v>493</v>
      </c>
      <c r="E81" s="4">
        <v>46122</v>
      </c>
      <c r="F81" s="4">
        <v>46137</v>
      </c>
      <c r="G81" s="4">
        <v>46135</v>
      </c>
      <c r="H81">
        <v>491</v>
      </c>
      <c r="I81" t="s">
        <v>191</v>
      </c>
      <c r="J81">
        <v>12</v>
      </c>
      <c r="K81" t="s">
        <v>1563</v>
      </c>
    </row>
    <row r="82" spans="1:11">
      <c r="A82" t="s">
        <v>192</v>
      </c>
      <c r="B82" t="s">
        <v>43</v>
      </c>
      <c r="C82" t="s">
        <v>12</v>
      </c>
      <c r="D82">
        <v>901</v>
      </c>
      <c r="E82" s="4">
        <v>46087</v>
      </c>
      <c r="F82" s="4">
        <v>46102</v>
      </c>
      <c r="G82" s="4">
        <v>46103</v>
      </c>
      <c r="H82">
        <v>898</v>
      </c>
      <c r="I82" t="s">
        <v>140</v>
      </c>
      <c r="J82">
        <v>42</v>
      </c>
      <c r="K82" t="s">
        <v>1563</v>
      </c>
    </row>
    <row r="83" spans="1:11">
      <c r="A83" t="s">
        <v>194</v>
      </c>
      <c r="B83" t="s">
        <v>64</v>
      </c>
      <c r="C83" t="s">
        <v>12</v>
      </c>
      <c r="D83">
        <v>241</v>
      </c>
      <c r="E83" s="4">
        <v>46160</v>
      </c>
      <c r="F83" s="4">
        <v>46171</v>
      </c>
      <c r="G83" s="4">
        <v>46171</v>
      </c>
      <c r="H83">
        <v>217</v>
      </c>
      <c r="I83" t="s">
        <v>195</v>
      </c>
      <c r="J83">
        <v>11</v>
      </c>
      <c r="K83" t="s">
        <v>1563</v>
      </c>
    </row>
    <row r="84" spans="1:11">
      <c r="A84" t="s">
        <v>196</v>
      </c>
      <c r="B84" t="s">
        <v>70</v>
      </c>
      <c r="C84" t="s">
        <v>12</v>
      </c>
      <c r="D84">
        <v>705</v>
      </c>
      <c r="E84" s="4">
        <v>46145</v>
      </c>
      <c r="F84" s="4">
        <v>46152</v>
      </c>
      <c r="G84" s="4">
        <v>46151</v>
      </c>
      <c r="H84">
        <v>698</v>
      </c>
      <c r="I84" t="s">
        <v>38</v>
      </c>
      <c r="J84">
        <v>3</v>
      </c>
      <c r="K84" t="s">
        <v>1563</v>
      </c>
    </row>
    <row r="85" spans="1:11">
      <c r="A85" t="s">
        <v>197</v>
      </c>
      <c r="B85" t="s">
        <v>67</v>
      </c>
      <c r="C85" t="s">
        <v>16</v>
      </c>
      <c r="D85">
        <v>100</v>
      </c>
      <c r="E85" s="4">
        <v>46061</v>
      </c>
      <c r="F85" s="4">
        <v>46066</v>
      </c>
      <c r="G85" s="4">
        <v>46066</v>
      </c>
      <c r="H85">
        <v>99</v>
      </c>
      <c r="I85" t="s">
        <v>107</v>
      </c>
      <c r="J85">
        <v>3</v>
      </c>
      <c r="K85" t="s">
        <v>1563</v>
      </c>
    </row>
    <row r="86" spans="1:11">
      <c r="A86" t="s">
        <v>198</v>
      </c>
      <c r="B86" t="s">
        <v>11</v>
      </c>
      <c r="C86" t="s">
        <v>23</v>
      </c>
      <c r="D86">
        <v>454</v>
      </c>
      <c r="E86" s="4">
        <v>46103</v>
      </c>
      <c r="F86" s="4">
        <v>46114</v>
      </c>
      <c r="G86" s="4">
        <v>46122</v>
      </c>
      <c r="H86">
        <v>455</v>
      </c>
      <c r="I86" t="s">
        <v>199</v>
      </c>
      <c r="J86">
        <v>12</v>
      </c>
      <c r="K86" t="s">
        <v>1563</v>
      </c>
    </row>
    <row r="87" spans="1:11">
      <c r="A87" t="s">
        <v>200</v>
      </c>
      <c r="B87" t="s">
        <v>67</v>
      </c>
      <c r="C87" t="s">
        <v>23</v>
      </c>
      <c r="D87">
        <v>773</v>
      </c>
      <c r="E87" s="4">
        <v>46174</v>
      </c>
      <c r="F87" s="4">
        <v>46184</v>
      </c>
      <c r="G87" s="4">
        <v>46181</v>
      </c>
      <c r="H87">
        <v>695</v>
      </c>
      <c r="I87" t="s">
        <v>201</v>
      </c>
      <c r="J87">
        <v>11</v>
      </c>
      <c r="K87" t="s">
        <v>1563</v>
      </c>
    </row>
    <row r="88" spans="1:11">
      <c r="A88" t="s">
        <v>202</v>
      </c>
      <c r="B88" t="s">
        <v>81</v>
      </c>
      <c r="C88" t="s">
        <v>12</v>
      </c>
      <c r="D88">
        <v>858</v>
      </c>
      <c r="E88" s="4">
        <v>46052</v>
      </c>
      <c r="F88" s="4">
        <v>46061</v>
      </c>
      <c r="G88" s="4">
        <v>46065</v>
      </c>
      <c r="H88">
        <v>851</v>
      </c>
      <c r="I88" t="s">
        <v>204</v>
      </c>
      <c r="J88">
        <v>9</v>
      </c>
      <c r="K88" t="s">
        <v>1563</v>
      </c>
    </row>
    <row r="89" spans="1:11">
      <c r="A89" t="s">
        <v>205</v>
      </c>
      <c r="B89" t="s">
        <v>49</v>
      </c>
      <c r="C89" t="s">
        <v>16</v>
      </c>
      <c r="D89">
        <v>243</v>
      </c>
      <c r="E89" s="4">
        <v>46037</v>
      </c>
      <c r="F89" s="4">
        <v>46047</v>
      </c>
      <c r="G89" s="4">
        <v>46045</v>
      </c>
      <c r="H89">
        <v>200</v>
      </c>
      <c r="I89" t="s">
        <v>207</v>
      </c>
      <c r="J89">
        <v>1</v>
      </c>
      <c r="K89" t="s">
        <v>1563</v>
      </c>
    </row>
    <row r="90" spans="1:11">
      <c r="A90" t="s">
        <v>208</v>
      </c>
      <c r="B90" t="s">
        <v>49</v>
      </c>
      <c r="C90" t="s">
        <v>16</v>
      </c>
      <c r="D90">
        <v>385</v>
      </c>
      <c r="E90" s="4">
        <v>46139</v>
      </c>
      <c r="F90" s="4">
        <v>46152</v>
      </c>
      <c r="G90" s="4">
        <v>46153</v>
      </c>
      <c r="H90">
        <v>389</v>
      </c>
      <c r="I90" t="s">
        <v>209</v>
      </c>
      <c r="J90">
        <v>4</v>
      </c>
      <c r="K90" t="s">
        <v>1563</v>
      </c>
    </row>
    <row r="91" spans="1:11">
      <c r="A91" t="s">
        <v>210</v>
      </c>
      <c r="B91" t="s">
        <v>177</v>
      </c>
      <c r="C91" t="s">
        <v>12</v>
      </c>
      <c r="D91">
        <v>867</v>
      </c>
      <c r="E91" s="4">
        <v>46115</v>
      </c>
      <c r="F91" s="4">
        <v>46121</v>
      </c>
      <c r="G91" s="4">
        <v>46118</v>
      </c>
      <c r="H91">
        <v>883</v>
      </c>
      <c r="I91" t="s">
        <v>171</v>
      </c>
      <c r="J91">
        <v>21</v>
      </c>
      <c r="K91" t="s">
        <v>1563</v>
      </c>
    </row>
    <row r="92" spans="1:11">
      <c r="A92" t="s">
        <v>211</v>
      </c>
      <c r="B92" t="s">
        <v>35</v>
      </c>
      <c r="C92" t="s">
        <v>12</v>
      </c>
      <c r="D92">
        <v>872</v>
      </c>
      <c r="E92" s="4">
        <v>46101</v>
      </c>
      <c r="F92" s="4">
        <v>46112</v>
      </c>
      <c r="G92" s="4">
        <v>46111</v>
      </c>
      <c r="H92">
        <v>878</v>
      </c>
      <c r="I92" t="s">
        <v>212</v>
      </c>
      <c r="J92">
        <v>28</v>
      </c>
      <c r="K92" t="s">
        <v>1563</v>
      </c>
    </row>
    <row r="93" spans="1:11">
      <c r="A93" t="s">
        <v>213</v>
      </c>
      <c r="B93" t="s">
        <v>40</v>
      </c>
      <c r="C93" t="s">
        <v>12</v>
      </c>
      <c r="D93">
        <v>498</v>
      </c>
      <c r="E93" s="4">
        <v>46069</v>
      </c>
      <c r="F93" s="4">
        <v>46077</v>
      </c>
      <c r="G93" s="4"/>
      <c r="I93" t="s">
        <v>214</v>
      </c>
      <c r="K93" t="s">
        <v>1565</v>
      </c>
    </row>
    <row r="94" spans="1:11">
      <c r="A94" t="s">
        <v>215</v>
      </c>
      <c r="B94" t="s">
        <v>120</v>
      </c>
      <c r="C94" t="s">
        <v>23</v>
      </c>
      <c r="D94">
        <v>899</v>
      </c>
      <c r="E94" s="4">
        <v>46089</v>
      </c>
      <c r="F94" s="4">
        <v>46104</v>
      </c>
      <c r="G94" s="4">
        <v>46102</v>
      </c>
      <c r="H94">
        <v>802</v>
      </c>
      <c r="I94" t="s">
        <v>216</v>
      </c>
      <c r="J94">
        <v>37</v>
      </c>
      <c r="K94" t="s">
        <v>1563</v>
      </c>
    </row>
    <row r="95" spans="1:11">
      <c r="A95" t="s">
        <v>217</v>
      </c>
      <c r="B95" t="s">
        <v>40</v>
      </c>
      <c r="C95" t="s">
        <v>23</v>
      </c>
      <c r="D95">
        <v>605</v>
      </c>
      <c r="E95" s="4">
        <v>46161</v>
      </c>
      <c r="F95" s="4">
        <v>46172</v>
      </c>
      <c r="G95" s="4">
        <v>46172</v>
      </c>
      <c r="H95">
        <v>595</v>
      </c>
      <c r="I95" t="s">
        <v>219</v>
      </c>
      <c r="J95">
        <v>16</v>
      </c>
      <c r="K95" t="s">
        <v>1563</v>
      </c>
    </row>
    <row r="96" spans="1:11">
      <c r="A96" t="s">
        <v>220</v>
      </c>
      <c r="B96" t="s">
        <v>177</v>
      </c>
      <c r="C96" t="s">
        <v>12</v>
      </c>
      <c r="D96">
        <v>225</v>
      </c>
      <c r="E96" s="4">
        <v>46032</v>
      </c>
      <c r="F96" s="4">
        <v>46046</v>
      </c>
      <c r="G96" s="4">
        <v>46055</v>
      </c>
      <c r="H96">
        <v>226</v>
      </c>
      <c r="I96" t="s">
        <v>221</v>
      </c>
      <c r="J96">
        <v>4</v>
      </c>
      <c r="K96" t="s">
        <v>1563</v>
      </c>
    </row>
    <row r="97" spans="1:11">
      <c r="A97" t="s">
        <v>222</v>
      </c>
      <c r="B97" t="s">
        <v>81</v>
      </c>
      <c r="C97" t="s">
        <v>16</v>
      </c>
      <c r="D97">
        <v>904</v>
      </c>
      <c r="E97" s="4">
        <v>46133</v>
      </c>
      <c r="F97" s="4">
        <v>46139</v>
      </c>
      <c r="G97" s="4">
        <v>46140</v>
      </c>
      <c r="H97">
        <v>916</v>
      </c>
      <c r="I97" t="s">
        <v>223</v>
      </c>
      <c r="J97">
        <v>13</v>
      </c>
      <c r="K97" t="s">
        <v>1563</v>
      </c>
    </row>
    <row r="98" spans="1:11">
      <c r="A98" t="s">
        <v>224</v>
      </c>
      <c r="B98" t="s">
        <v>177</v>
      </c>
      <c r="C98" t="s">
        <v>23</v>
      </c>
      <c r="D98">
        <v>928</v>
      </c>
      <c r="E98" s="4">
        <v>46069</v>
      </c>
      <c r="F98" s="4">
        <v>46078</v>
      </c>
      <c r="G98" s="4">
        <v>46085</v>
      </c>
      <c r="H98">
        <v>935</v>
      </c>
      <c r="I98" t="s">
        <v>225</v>
      </c>
      <c r="J98">
        <v>11</v>
      </c>
      <c r="K98" t="s">
        <v>1563</v>
      </c>
    </row>
    <row r="99" spans="1:11">
      <c r="A99" t="s">
        <v>226</v>
      </c>
      <c r="B99" t="s">
        <v>100</v>
      </c>
      <c r="C99" t="s">
        <v>12</v>
      </c>
      <c r="D99">
        <v>184</v>
      </c>
      <c r="E99" s="4">
        <v>46047</v>
      </c>
      <c r="F99" s="4">
        <v>46056</v>
      </c>
      <c r="G99" s="4">
        <v>46063</v>
      </c>
      <c r="H99">
        <v>184</v>
      </c>
      <c r="I99" t="s">
        <v>227</v>
      </c>
      <c r="J99">
        <v>4</v>
      </c>
      <c r="K99" t="s">
        <v>1563</v>
      </c>
    </row>
    <row r="100" spans="1:11">
      <c r="A100" t="s">
        <v>228</v>
      </c>
      <c r="B100" t="s">
        <v>52</v>
      </c>
      <c r="C100" t="s">
        <v>12</v>
      </c>
      <c r="D100">
        <v>936</v>
      </c>
      <c r="E100" s="4">
        <v>46057</v>
      </c>
      <c r="F100" s="4">
        <v>46065</v>
      </c>
      <c r="G100" s="4">
        <v>46064</v>
      </c>
      <c r="H100">
        <v>906</v>
      </c>
      <c r="I100" t="s">
        <v>229</v>
      </c>
      <c r="J100">
        <v>15</v>
      </c>
      <c r="K100" t="s">
        <v>1563</v>
      </c>
    </row>
    <row r="101" spans="1:11">
      <c r="A101" t="s">
        <v>230</v>
      </c>
      <c r="B101" t="s">
        <v>46</v>
      </c>
      <c r="C101" t="s">
        <v>12</v>
      </c>
      <c r="D101">
        <v>918</v>
      </c>
      <c r="E101" s="4">
        <v>46165</v>
      </c>
      <c r="F101" s="4">
        <v>46177</v>
      </c>
      <c r="G101" s="4">
        <v>46174</v>
      </c>
      <c r="H101">
        <v>915</v>
      </c>
      <c r="I101" t="s">
        <v>231</v>
      </c>
      <c r="J101">
        <v>43</v>
      </c>
      <c r="K101" t="s">
        <v>1563</v>
      </c>
    </row>
    <row r="102" spans="1:11">
      <c r="A102" t="s">
        <v>232</v>
      </c>
      <c r="B102" t="s">
        <v>11</v>
      </c>
      <c r="C102" t="s">
        <v>16</v>
      </c>
      <c r="D102">
        <v>697</v>
      </c>
      <c r="E102" s="4">
        <v>46067</v>
      </c>
      <c r="F102" s="4">
        <v>46078</v>
      </c>
      <c r="G102" s="4">
        <v>46078</v>
      </c>
      <c r="H102">
        <v>687</v>
      </c>
      <c r="I102" t="s">
        <v>233</v>
      </c>
      <c r="J102">
        <v>17</v>
      </c>
      <c r="K102" t="s">
        <v>1563</v>
      </c>
    </row>
    <row r="103" spans="1:11">
      <c r="A103" t="s">
        <v>234</v>
      </c>
      <c r="B103" t="s">
        <v>43</v>
      </c>
      <c r="C103" t="s">
        <v>16</v>
      </c>
      <c r="D103">
        <v>825</v>
      </c>
      <c r="E103" s="4">
        <v>46041</v>
      </c>
      <c r="F103" s="4">
        <v>46049</v>
      </c>
      <c r="G103" s="4">
        <v>46047</v>
      </c>
      <c r="H103">
        <v>837</v>
      </c>
      <c r="I103" t="s">
        <v>235</v>
      </c>
      <c r="J103">
        <v>18</v>
      </c>
      <c r="K103" t="s">
        <v>1563</v>
      </c>
    </row>
    <row r="104" spans="1:11">
      <c r="A104" t="s">
        <v>236</v>
      </c>
      <c r="B104" t="s">
        <v>54</v>
      </c>
      <c r="C104" t="s">
        <v>12</v>
      </c>
      <c r="D104">
        <v>300</v>
      </c>
      <c r="E104" s="4">
        <v>46133</v>
      </c>
      <c r="F104" s="4">
        <v>46148</v>
      </c>
      <c r="G104" s="4">
        <v>46146</v>
      </c>
      <c r="H104">
        <v>295</v>
      </c>
      <c r="I104" t="s">
        <v>1564</v>
      </c>
      <c r="J104">
        <v>4</v>
      </c>
      <c r="K104" t="s">
        <v>1563</v>
      </c>
    </row>
    <row r="105" spans="1:11">
      <c r="A105" t="s">
        <v>237</v>
      </c>
      <c r="B105" t="s">
        <v>19</v>
      </c>
      <c r="C105" t="s">
        <v>16</v>
      </c>
      <c r="D105">
        <v>529</v>
      </c>
      <c r="E105" s="4">
        <v>46147</v>
      </c>
      <c r="F105" s="4">
        <v>46162</v>
      </c>
      <c r="G105" s="4">
        <v>46162</v>
      </c>
      <c r="H105">
        <v>524</v>
      </c>
      <c r="I105" t="s">
        <v>238</v>
      </c>
      <c r="J105">
        <v>25</v>
      </c>
      <c r="K105" t="s">
        <v>1563</v>
      </c>
    </row>
    <row r="106" spans="1:11">
      <c r="A106" t="s">
        <v>239</v>
      </c>
      <c r="B106" t="s">
        <v>100</v>
      </c>
      <c r="C106" t="s">
        <v>12</v>
      </c>
      <c r="D106">
        <v>787</v>
      </c>
      <c r="E106" s="4">
        <v>46104</v>
      </c>
      <c r="F106" s="4">
        <v>46117</v>
      </c>
      <c r="G106" s="4">
        <v>46125</v>
      </c>
      <c r="H106">
        <v>782</v>
      </c>
      <c r="I106" t="s">
        <v>240</v>
      </c>
      <c r="J106">
        <v>10</v>
      </c>
      <c r="K106" t="s">
        <v>1563</v>
      </c>
    </row>
    <row r="107" spans="1:11">
      <c r="A107" t="s">
        <v>241</v>
      </c>
      <c r="B107" t="s">
        <v>35</v>
      </c>
      <c r="C107" t="s">
        <v>16</v>
      </c>
      <c r="D107">
        <v>833</v>
      </c>
      <c r="E107" s="4">
        <v>46145</v>
      </c>
      <c r="F107" s="4">
        <v>46152</v>
      </c>
      <c r="G107" s="4">
        <v>46149</v>
      </c>
      <c r="H107">
        <v>847</v>
      </c>
      <c r="I107" t="s">
        <v>242</v>
      </c>
      <c r="J107">
        <v>44</v>
      </c>
      <c r="K107" t="s">
        <v>1563</v>
      </c>
    </row>
    <row r="108" spans="1:11">
      <c r="A108" t="s">
        <v>243</v>
      </c>
      <c r="B108" t="s">
        <v>43</v>
      </c>
      <c r="C108" t="s">
        <v>16</v>
      </c>
      <c r="D108">
        <v>845</v>
      </c>
      <c r="E108" s="4">
        <v>46098</v>
      </c>
      <c r="F108" s="4">
        <v>46107</v>
      </c>
      <c r="G108" s="4">
        <v>46107</v>
      </c>
      <c r="H108">
        <v>762</v>
      </c>
      <c r="I108" t="s">
        <v>244</v>
      </c>
      <c r="J108">
        <v>47</v>
      </c>
      <c r="K108" t="s">
        <v>1563</v>
      </c>
    </row>
    <row r="109" spans="1:11">
      <c r="A109" t="s">
        <v>245</v>
      </c>
      <c r="B109" t="s">
        <v>46</v>
      </c>
      <c r="C109" t="s">
        <v>12</v>
      </c>
      <c r="D109">
        <v>662</v>
      </c>
      <c r="E109" s="4">
        <v>46070</v>
      </c>
      <c r="F109" s="4">
        <v>46085</v>
      </c>
      <c r="G109" s="4">
        <v>46084</v>
      </c>
      <c r="H109">
        <v>669</v>
      </c>
      <c r="I109" t="s">
        <v>246</v>
      </c>
      <c r="J109">
        <v>59</v>
      </c>
      <c r="K109" t="s">
        <v>1563</v>
      </c>
    </row>
    <row r="110" spans="1:11">
      <c r="A110" t="s">
        <v>247</v>
      </c>
      <c r="B110" t="s">
        <v>26</v>
      </c>
      <c r="C110" t="s">
        <v>23</v>
      </c>
      <c r="D110">
        <v>832</v>
      </c>
      <c r="E110" s="4">
        <v>46045</v>
      </c>
      <c r="F110" s="4">
        <v>46052</v>
      </c>
      <c r="G110" s="4">
        <v>46049</v>
      </c>
      <c r="H110">
        <v>825</v>
      </c>
      <c r="I110" t="s">
        <v>248</v>
      </c>
      <c r="J110">
        <v>25</v>
      </c>
      <c r="K110" t="s">
        <v>1563</v>
      </c>
    </row>
    <row r="111" spans="1:11">
      <c r="A111" t="s">
        <v>249</v>
      </c>
      <c r="B111" t="s">
        <v>46</v>
      </c>
      <c r="C111" t="s">
        <v>16</v>
      </c>
      <c r="D111">
        <v>577</v>
      </c>
      <c r="E111" s="4">
        <v>46051</v>
      </c>
      <c r="F111" s="4">
        <v>46065</v>
      </c>
      <c r="G111" s="4">
        <v>46064</v>
      </c>
      <c r="H111">
        <v>582</v>
      </c>
      <c r="I111" t="s">
        <v>250</v>
      </c>
      <c r="J111">
        <v>1</v>
      </c>
      <c r="K111" t="s">
        <v>1563</v>
      </c>
    </row>
    <row r="112" spans="1:11">
      <c r="A112" t="s">
        <v>251</v>
      </c>
      <c r="B112" t="s">
        <v>22</v>
      </c>
      <c r="C112" t="s">
        <v>16</v>
      </c>
      <c r="D112">
        <v>992</v>
      </c>
      <c r="E112" s="4">
        <v>46126</v>
      </c>
      <c r="F112" s="4">
        <v>46131</v>
      </c>
      <c r="G112" s="4">
        <v>46130</v>
      </c>
      <c r="H112">
        <v>1004</v>
      </c>
      <c r="I112" t="s">
        <v>253</v>
      </c>
      <c r="J112">
        <v>49</v>
      </c>
      <c r="K112" t="s">
        <v>1563</v>
      </c>
    </row>
    <row r="113" spans="1:11">
      <c r="A113" t="s">
        <v>254</v>
      </c>
      <c r="B113" t="s">
        <v>35</v>
      </c>
      <c r="C113" t="s">
        <v>16</v>
      </c>
      <c r="D113">
        <v>749</v>
      </c>
      <c r="E113" s="4">
        <v>46029</v>
      </c>
      <c r="F113" s="4">
        <v>46041</v>
      </c>
      <c r="G113" s="4">
        <v>46039</v>
      </c>
      <c r="H113">
        <v>735</v>
      </c>
      <c r="I113" t="s">
        <v>255</v>
      </c>
      <c r="J113">
        <v>1</v>
      </c>
      <c r="K113" t="s">
        <v>1563</v>
      </c>
    </row>
    <row r="114" spans="1:11">
      <c r="A114" t="s">
        <v>256</v>
      </c>
      <c r="B114" t="s">
        <v>40</v>
      </c>
      <c r="C114" t="s">
        <v>23</v>
      </c>
      <c r="D114">
        <v>902</v>
      </c>
      <c r="E114" s="4">
        <v>46120</v>
      </c>
      <c r="F114" s="4">
        <v>46127</v>
      </c>
      <c r="G114" s="4">
        <v>46129</v>
      </c>
      <c r="H114">
        <v>896</v>
      </c>
      <c r="I114" t="s">
        <v>201</v>
      </c>
      <c r="J114">
        <v>69</v>
      </c>
      <c r="K114" t="s">
        <v>1563</v>
      </c>
    </row>
    <row r="115" spans="1:11">
      <c r="A115" t="s">
        <v>257</v>
      </c>
      <c r="B115" t="s">
        <v>67</v>
      </c>
      <c r="C115" t="s">
        <v>12</v>
      </c>
      <c r="D115">
        <v>979</v>
      </c>
      <c r="E115" s="4">
        <v>46170</v>
      </c>
      <c r="F115" s="4">
        <v>46182</v>
      </c>
      <c r="G115" s="4">
        <v>46190</v>
      </c>
      <c r="H115">
        <v>994</v>
      </c>
      <c r="I115" t="s">
        <v>258</v>
      </c>
      <c r="J115">
        <v>29</v>
      </c>
      <c r="K115" t="s">
        <v>1563</v>
      </c>
    </row>
    <row r="116" spans="1:11">
      <c r="A116" t="s">
        <v>259</v>
      </c>
      <c r="B116" t="s">
        <v>49</v>
      </c>
      <c r="C116" t="s">
        <v>12</v>
      </c>
      <c r="D116">
        <v>747</v>
      </c>
      <c r="E116" s="4">
        <v>46128</v>
      </c>
      <c r="F116" s="4">
        <v>46140</v>
      </c>
      <c r="G116" s="4">
        <v>46144</v>
      </c>
      <c r="H116">
        <v>743</v>
      </c>
      <c r="I116" t="s">
        <v>260</v>
      </c>
      <c r="J116">
        <v>7</v>
      </c>
      <c r="K116" t="s">
        <v>1563</v>
      </c>
    </row>
    <row r="117" spans="1:11">
      <c r="A117" t="s">
        <v>261</v>
      </c>
      <c r="B117" t="s">
        <v>22</v>
      </c>
      <c r="C117" t="s">
        <v>23</v>
      </c>
      <c r="D117">
        <v>584</v>
      </c>
      <c r="E117" s="4">
        <v>46154</v>
      </c>
      <c r="F117" s="4">
        <v>46164</v>
      </c>
      <c r="G117" s="4">
        <v>46170</v>
      </c>
      <c r="H117">
        <v>578</v>
      </c>
      <c r="I117" t="s">
        <v>262</v>
      </c>
      <c r="J117">
        <v>28</v>
      </c>
      <c r="K117" t="s">
        <v>1563</v>
      </c>
    </row>
    <row r="118" spans="1:11">
      <c r="A118" t="s">
        <v>263</v>
      </c>
      <c r="B118" t="s">
        <v>19</v>
      </c>
      <c r="C118" t="s">
        <v>12</v>
      </c>
      <c r="D118">
        <v>204</v>
      </c>
      <c r="E118" s="4">
        <v>46131</v>
      </c>
      <c r="F118" s="4">
        <v>46140</v>
      </c>
      <c r="G118" s="4">
        <v>46139</v>
      </c>
      <c r="H118">
        <v>204</v>
      </c>
      <c r="I118" t="s">
        <v>264</v>
      </c>
      <c r="J118">
        <v>2</v>
      </c>
      <c r="K118" t="s">
        <v>1563</v>
      </c>
    </row>
    <row r="119" spans="1:11">
      <c r="A119" t="s">
        <v>265</v>
      </c>
      <c r="B119" t="s">
        <v>19</v>
      </c>
      <c r="C119" t="s">
        <v>16</v>
      </c>
      <c r="D119">
        <v>167</v>
      </c>
      <c r="E119" s="4">
        <v>46084</v>
      </c>
      <c r="F119" s="4">
        <v>46091</v>
      </c>
      <c r="G119" s="4">
        <v>46088</v>
      </c>
      <c r="H119">
        <v>150</v>
      </c>
      <c r="I119" t="s">
        <v>266</v>
      </c>
      <c r="J119">
        <v>3</v>
      </c>
      <c r="K119" t="s">
        <v>1563</v>
      </c>
    </row>
    <row r="120" spans="1:11">
      <c r="A120" t="s">
        <v>267</v>
      </c>
      <c r="B120" t="s">
        <v>54</v>
      </c>
      <c r="C120" t="s">
        <v>16</v>
      </c>
      <c r="D120">
        <v>555</v>
      </c>
      <c r="E120" s="4">
        <v>46164</v>
      </c>
      <c r="F120" s="4">
        <v>46169</v>
      </c>
      <c r="G120" s="4">
        <v>46167</v>
      </c>
      <c r="H120">
        <v>460</v>
      </c>
      <c r="I120" t="s">
        <v>268</v>
      </c>
      <c r="J120">
        <v>8</v>
      </c>
      <c r="K120" t="s">
        <v>1563</v>
      </c>
    </row>
    <row r="121" spans="1:11">
      <c r="A121" t="s">
        <v>269</v>
      </c>
      <c r="B121" t="s">
        <v>120</v>
      </c>
      <c r="C121" t="s">
        <v>12</v>
      </c>
      <c r="D121">
        <v>346</v>
      </c>
      <c r="E121" s="4">
        <v>46035</v>
      </c>
      <c r="F121" s="4">
        <v>46044</v>
      </c>
      <c r="G121" s="4">
        <v>46041</v>
      </c>
      <c r="H121">
        <v>289</v>
      </c>
      <c r="I121" t="s">
        <v>270</v>
      </c>
      <c r="J121">
        <v>8</v>
      </c>
      <c r="K121" t="s">
        <v>1563</v>
      </c>
    </row>
    <row r="122" spans="1:11">
      <c r="A122" t="s">
        <v>271</v>
      </c>
      <c r="B122" t="s">
        <v>177</v>
      </c>
      <c r="C122" t="s">
        <v>16</v>
      </c>
      <c r="D122">
        <v>317</v>
      </c>
      <c r="E122" s="4">
        <v>46134</v>
      </c>
      <c r="F122" s="4">
        <v>46145</v>
      </c>
      <c r="G122" s="4">
        <v>46143</v>
      </c>
      <c r="H122">
        <v>312</v>
      </c>
      <c r="I122" t="s">
        <v>272</v>
      </c>
      <c r="J122">
        <v>5</v>
      </c>
      <c r="K122" t="s">
        <v>1563</v>
      </c>
    </row>
    <row r="123" spans="1:11">
      <c r="A123" t="s">
        <v>273</v>
      </c>
      <c r="B123" t="s">
        <v>29</v>
      </c>
      <c r="C123" t="s">
        <v>12</v>
      </c>
      <c r="D123">
        <v>101</v>
      </c>
      <c r="E123" s="4">
        <v>46105</v>
      </c>
      <c r="F123" s="4">
        <v>46110</v>
      </c>
      <c r="G123" s="4">
        <v>46107</v>
      </c>
      <c r="H123">
        <v>100</v>
      </c>
      <c r="I123" t="s">
        <v>167</v>
      </c>
      <c r="J123">
        <v>0</v>
      </c>
      <c r="K123" t="s">
        <v>1563</v>
      </c>
    </row>
    <row r="124" spans="1:11">
      <c r="A124" t="s">
        <v>274</v>
      </c>
      <c r="B124" t="s">
        <v>81</v>
      </c>
      <c r="C124" t="s">
        <v>23</v>
      </c>
      <c r="D124">
        <v>689</v>
      </c>
      <c r="E124" s="4">
        <v>46048</v>
      </c>
      <c r="F124" s="4">
        <v>46056</v>
      </c>
      <c r="G124" s="4">
        <v>46053</v>
      </c>
      <c r="H124">
        <v>553</v>
      </c>
      <c r="I124" t="s">
        <v>275</v>
      </c>
      <c r="J124">
        <v>6</v>
      </c>
      <c r="K124" t="s">
        <v>1563</v>
      </c>
    </row>
    <row r="125" spans="1:11">
      <c r="A125" t="s">
        <v>276</v>
      </c>
      <c r="B125" t="s">
        <v>11</v>
      </c>
      <c r="C125" t="s">
        <v>16</v>
      </c>
      <c r="D125">
        <v>880</v>
      </c>
      <c r="E125" s="4">
        <v>46115</v>
      </c>
      <c r="F125" s="4">
        <v>46123</v>
      </c>
      <c r="G125" s="4">
        <v>46122</v>
      </c>
      <c r="H125">
        <v>876</v>
      </c>
      <c r="I125" t="s">
        <v>277</v>
      </c>
      <c r="J125">
        <v>25</v>
      </c>
      <c r="K125" t="s">
        <v>1563</v>
      </c>
    </row>
    <row r="126" spans="1:11">
      <c r="A126" t="s">
        <v>278</v>
      </c>
      <c r="B126" t="s">
        <v>46</v>
      </c>
      <c r="C126" t="s">
        <v>16</v>
      </c>
      <c r="D126">
        <v>485</v>
      </c>
      <c r="E126" s="4">
        <v>46131</v>
      </c>
      <c r="F126" s="4">
        <v>46141</v>
      </c>
      <c r="G126" s="4">
        <v>46141</v>
      </c>
      <c r="H126">
        <v>482</v>
      </c>
      <c r="I126" t="s">
        <v>279</v>
      </c>
      <c r="J126">
        <v>2</v>
      </c>
      <c r="K126" t="s">
        <v>1563</v>
      </c>
    </row>
    <row r="127" spans="1:11">
      <c r="A127" t="s">
        <v>280</v>
      </c>
      <c r="B127" t="s">
        <v>120</v>
      </c>
      <c r="C127" t="s">
        <v>12</v>
      </c>
      <c r="D127">
        <v>555</v>
      </c>
      <c r="E127" s="4">
        <v>46084</v>
      </c>
      <c r="F127" s="4">
        <v>46092</v>
      </c>
      <c r="G127" s="4">
        <v>46091</v>
      </c>
      <c r="H127">
        <v>560</v>
      </c>
      <c r="I127" t="s">
        <v>281</v>
      </c>
      <c r="J127">
        <v>21</v>
      </c>
      <c r="K127" t="s">
        <v>1563</v>
      </c>
    </row>
    <row r="128" spans="1:11">
      <c r="A128" t="s">
        <v>282</v>
      </c>
      <c r="B128" t="s">
        <v>81</v>
      </c>
      <c r="C128" t="s">
        <v>16</v>
      </c>
      <c r="D128">
        <v>219</v>
      </c>
      <c r="E128" s="4">
        <v>46056</v>
      </c>
      <c r="F128" s="4">
        <v>46068</v>
      </c>
      <c r="G128" s="4">
        <v>46066</v>
      </c>
      <c r="H128">
        <v>216</v>
      </c>
      <c r="I128" t="s">
        <v>283</v>
      </c>
      <c r="J128">
        <v>0</v>
      </c>
      <c r="K128" t="s">
        <v>1563</v>
      </c>
    </row>
    <row r="129" spans="1:11">
      <c r="A129" t="s">
        <v>284</v>
      </c>
      <c r="B129" t="s">
        <v>26</v>
      </c>
      <c r="C129" t="s">
        <v>23</v>
      </c>
      <c r="D129">
        <v>94</v>
      </c>
      <c r="E129" s="4">
        <v>46131</v>
      </c>
      <c r="F129" s="4">
        <v>46139</v>
      </c>
      <c r="G129" s="4">
        <v>46138</v>
      </c>
      <c r="H129">
        <v>93</v>
      </c>
      <c r="I129" t="s">
        <v>285</v>
      </c>
      <c r="J129">
        <v>2</v>
      </c>
      <c r="K129" t="s">
        <v>1563</v>
      </c>
    </row>
    <row r="130" spans="1:11">
      <c r="A130" t="s">
        <v>286</v>
      </c>
      <c r="B130" t="s">
        <v>46</v>
      </c>
      <c r="C130" t="s">
        <v>12</v>
      </c>
      <c r="D130">
        <v>224</v>
      </c>
      <c r="E130" s="4">
        <v>46070</v>
      </c>
      <c r="F130" s="4">
        <v>46083</v>
      </c>
      <c r="G130" s="4">
        <v>46080</v>
      </c>
      <c r="H130">
        <v>227</v>
      </c>
      <c r="I130" t="s">
        <v>281</v>
      </c>
      <c r="J130">
        <v>11</v>
      </c>
      <c r="K130" t="s">
        <v>1563</v>
      </c>
    </row>
    <row r="131" spans="1:11">
      <c r="A131" t="s">
        <v>287</v>
      </c>
      <c r="B131" t="s">
        <v>70</v>
      </c>
      <c r="C131" t="s">
        <v>23</v>
      </c>
      <c r="D131">
        <v>178</v>
      </c>
      <c r="E131" s="4">
        <v>46054</v>
      </c>
      <c r="F131" s="4">
        <v>46066</v>
      </c>
      <c r="G131" s="4">
        <v>46068</v>
      </c>
      <c r="H131">
        <v>181</v>
      </c>
      <c r="I131" t="s">
        <v>33</v>
      </c>
      <c r="J131">
        <v>3</v>
      </c>
      <c r="K131" t="s">
        <v>1563</v>
      </c>
    </row>
    <row r="132" spans="1:11">
      <c r="A132" t="s">
        <v>288</v>
      </c>
      <c r="B132" t="s">
        <v>49</v>
      </c>
      <c r="C132" t="s">
        <v>16</v>
      </c>
      <c r="D132">
        <v>660</v>
      </c>
      <c r="E132" s="4">
        <v>46120</v>
      </c>
      <c r="F132" s="4">
        <v>46125</v>
      </c>
      <c r="G132" s="4">
        <v>46125</v>
      </c>
      <c r="H132">
        <v>671</v>
      </c>
      <c r="I132" t="s">
        <v>272</v>
      </c>
      <c r="J132">
        <v>11</v>
      </c>
      <c r="K132" t="s">
        <v>1563</v>
      </c>
    </row>
    <row r="133" spans="1:11">
      <c r="A133" t="s">
        <v>290</v>
      </c>
      <c r="B133" t="s">
        <v>52</v>
      </c>
      <c r="C133" t="s">
        <v>23</v>
      </c>
      <c r="D133">
        <v>930</v>
      </c>
      <c r="E133" s="4">
        <v>46054</v>
      </c>
      <c r="F133" s="4">
        <v>46062</v>
      </c>
      <c r="G133" s="4">
        <v>46062</v>
      </c>
      <c r="H133">
        <v>922</v>
      </c>
      <c r="I133" t="s">
        <v>291</v>
      </c>
      <c r="J133">
        <v>8</v>
      </c>
      <c r="K133" t="s">
        <v>1563</v>
      </c>
    </row>
    <row r="134" spans="1:11">
      <c r="A134" t="s">
        <v>292</v>
      </c>
      <c r="B134" t="s">
        <v>177</v>
      </c>
      <c r="C134" t="s">
        <v>23</v>
      </c>
      <c r="D134">
        <v>254</v>
      </c>
      <c r="E134" s="4">
        <v>46153</v>
      </c>
      <c r="F134" s="4">
        <v>46168</v>
      </c>
      <c r="G134" s="4">
        <v>46166</v>
      </c>
      <c r="H134">
        <v>204</v>
      </c>
      <c r="I134" t="s">
        <v>118</v>
      </c>
      <c r="J134">
        <v>1</v>
      </c>
      <c r="K134" t="s">
        <v>1563</v>
      </c>
    </row>
    <row r="135" spans="1:11">
      <c r="A135" t="s">
        <v>293</v>
      </c>
      <c r="B135" t="s">
        <v>100</v>
      </c>
      <c r="C135" t="s">
        <v>16</v>
      </c>
      <c r="D135">
        <v>251</v>
      </c>
      <c r="E135" s="4">
        <v>46080</v>
      </c>
      <c r="F135" s="4">
        <v>46085</v>
      </c>
      <c r="G135" s="4">
        <v>46092</v>
      </c>
      <c r="H135">
        <v>251</v>
      </c>
      <c r="I135" t="s">
        <v>294</v>
      </c>
      <c r="J135">
        <v>6</v>
      </c>
      <c r="K135" t="s">
        <v>1563</v>
      </c>
    </row>
    <row r="136" spans="1:11">
      <c r="A136" t="s">
        <v>295</v>
      </c>
      <c r="B136" t="s">
        <v>70</v>
      </c>
      <c r="C136" t="s">
        <v>23</v>
      </c>
      <c r="D136">
        <v>813</v>
      </c>
      <c r="E136" s="4">
        <v>46105</v>
      </c>
      <c r="F136" s="4">
        <v>46115</v>
      </c>
      <c r="G136" s="4">
        <v>46120</v>
      </c>
      <c r="H136">
        <v>806</v>
      </c>
      <c r="I136" t="s">
        <v>296</v>
      </c>
      <c r="J136">
        <v>14</v>
      </c>
      <c r="K136" t="s">
        <v>1563</v>
      </c>
    </row>
    <row r="137" spans="1:11">
      <c r="A137" t="s">
        <v>297</v>
      </c>
      <c r="B137" t="s">
        <v>54</v>
      </c>
      <c r="C137" t="s">
        <v>16</v>
      </c>
      <c r="D137">
        <v>310</v>
      </c>
      <c r="E137" s="4">
        <v>46086</v>
      </c>
      <c r="F137" s="4">
        <v>46100</v>
      </c>
      <c r="G137" s="4">
        <v>46098</v>
      </c>
      <c r="H137">
        <v>307</v>
      </c>
      <c r="I137" t="s">
        <v>298</v>
      </c>
      <c r="J137">
        <v>0</v>
      </c>
      <c r="K137" t="s">
        <v>1563</v>
      </c>
    </row>
    <row r="138" spans="1:11">
      <c r="A138" t="s">
        <v>299</v>
      </c>
      <c r="B138" t="s">
        <v>52</v>
      </c>
      <c r="C138" t="s">
        <v>16</v>
      </c>
      <c r="D138">
        <v>677</v>
      </c>
      <c r="E138" s="4">
        <v>46119</v>
      </c>
      <c r="F138" s="4">
        <v>46132</v>
      </c>
      <c r="G138" s="4">
        <v>46131</v>
      </c>
      <c r="H138">
        <v>574</v>
      </c>
      <c r="I138" t="s">
        <v>255</v>
      </c>
      <c r="J138">
        <v>9</v>
      </c>
      <c r="K138" t="s">
        <v>1563</v>
      </c>
    </row>
    <row r="139" spans="1:11">
      <c r="A139" t="s">
        <v>300</v>
      </c>
      <c r="B139" t="s">
        <v>100</v>
      </c>
      <c r="C139" t="s">
        <v>16</v>
      </c>
      <c r="D139">
        <v>238</v>
      </c>
      <c r="E139" s="4">
        <v>46108</v>
      </c>
      <c r="F139" s="4">
        <v>46115</v>
      </c>
      <c r="G139" s="4">
        <v>46118</v>
      </c>
      <c r="H139">
        <v>234</v>
      </c>
      <c r="I139" t="s">
        <v>301</v>
      </c>
      <c r="J139">
        <v>1</v>
      </c>
      <c r="K139" t="s">
        <v>1563</v>
      </c>
    </row>
    <row r="140" spans="1:11">
      <c r="A140" t="s">
        <v>302</v>
      </c>
      <c r="B140" t="s">
        <v>54</v>
      </c>
      <c r="C140" t="s">
        <v>23</v>
      </c>
      <c r="D140">
        <v>264</v>
      </c>
      <c r="E140" s="4">
        <v>46051</v>
      </c>
      <c r="F140" s="4">
        <v>46062</v>
      </c>
      <c r="G140" s="4">
        <v>46069</v>
      </c>
      <c r="H140">
        <v>261</v>
      </c>
      <c r="I140" t="s">
        <v>103</v>
      </c>
      <c r="J140">
        <v>4</v>
      </c>
      <c r="K140" t="s">
        <v>1563</v>
      </c>
    </row>
    <row r="141" spans="1:11">
      <c r="A141" t="s">
        <v>304</v>
      </c>
      <c r="B141" t="s">
        <v>22</v>
      </c>
      <c r="C141" t="s">
        <v>12</v>
      </c>
      <c r="D141">
        <v>912</v>
      </c>
      <c r="E141" s="4">
        <v>46175</v>
      </c>
      <c r="F141" s="4">
        <v>46188</v>
      </c>
      <c r="G141" s="4">
        <v>46194</v>
      </c>
      <c r="H141">
        <v>895</v>
      </c>
      <c r="I141" t="s">
        <v>305</v>
      </c>
      <c r="J141">
        <v>7</v>
      </c>
      <c r="K141" t="s">
        <v>1563</v>
      </c>
    </row>
    <row r="142" spans="1:11">
      <c r="A142" t="s">
        <v>306</v>
      </c>
      <c r="B142" t="s">
        <v>70</v>
      </c>
      <c r="C142" t="s">
        <v>12</v>
      </c>
      <c r="D142">
        <v>798</v>
      </c>
      <c r="E142" s="4">
        <v>46139</v>
      </c>
      <c r="F142" s="4">
        <v>46152</v>
      </c>
      <c r="G142" s="4">
        <v>46149</v>
      </c>
      <c r="H142">
        <v>795</v>
      </c>
      <c r="I142" t="s">
        <v>307</v>
      </c>
      <c r="J142">
        <v>3</v>
      </c>
      <c r="K142" t="s">
        <v>1563</v>
      </c>
    </row>
    <row r="143" spans="1:11">
      <c r="A143" t="s">
        <v>308</v>
      </c>
      <c r="B143" t="s">
        <v>54</v>
      </c>
      <c r="C143" t="s">
        <v>16</v>
      </c>
      <c r="D143">
        <v>249</v>
      </c>
      <c r="E143" s="4">
        <v>46094</v>
      </c>
      <c r="F143" s="4">
        <v>46100</v>
      </c>
      <c r="G143" s="4">
        <v>46100</v>
      </c>
      <c r="H143">
        <v>253</v>
      </c>
      <c r="I143" t="s">
        <v>242</v>
      </c>
      <c r="J143">
        <v>2</v>
      </c>
      <c r="K143" t="s">
        <v>1563</v>
      </c>
    </row>
    <row r="144" spans="1:11">
      <c r="A144" t="s">
        <v>309</v>
      </c>
      <c r="B144" t="s">
        <v>26</v>
      </c>
      <c r="C144" t="s">
        <v>12</v>
      </c>
      <c r="D144">
        <v>684</v>
      </c>
      <c r="E144" s="4">
        <v>46144</v>
      </c>
      <c r="F144" s="4">
        <v>46158</v>
      </c>
      <c r="G144" s="4">
        <v>46156</v>
      </c>
      <c r="H144">
        <v>599</v>
      </c>
      <c r="I144" t="s">
        <v>310</v>
      </c>
      <c r="J144">
        <v>12</v>
      </c>
      <c r="K144" t="s">
        <v>1563</v>
      </c>
    </row>
    <row r="145" spans="1:11">
      <c r="A145" t="s">
        <v>311</v>
      </c>
      <c r="B145" t="s">
        <v>120</v>
      </c>
      <c r="C145" t="s">
        <v>12</v>
      </c>
      <c r="D145">
        <v>678</v>
      </c>
      <c r="E145" s="4">
        <v>46055</v>
      </c>
      <c r="F145" s="4">
        <v>46064</v>
      </c>
      <c r="G145" s="4">
        <v>46062</v>
      </c>
      <c r="H145">
        <v>599</v>
      </c>
      <c r="I145" t="s">
        <v>312</v>
      </c>
      <c r="J145">
        <v>16</v>
      </c>
      <c r="K145" t="s">
        <v>1563</v>
      </c>
    </row>
    <row r="146" spans="1:11">
      <c r="A146" t="s">
        <v>313</v>
      </c>
      <c r="B146" t="s">
        <v>35</v>
      </c>
      <c r="C146" t="s">
        <v>23</v>
      </c>
      <c r="D146">
        <v>572</v>
      </c>
      <c r="E146" s="4">
        <v>46117</v>
      </c>
      <c r="F146" s="4">
        <v>46131</v>
      </c>
      <c r="G146" s="4">
        <v>46138</v>
      </c>
      <c r="H146">
        <v>483</v>
      </c>
      <c r="I146" t="s">
        <v>314</v>
      </c>
      <c r="J146">
        <v>12</v>
      </c>
      <c r="K146" t="s">
        <v>1563</v>
      </c>
    </row>
    <row r="147" spans="1:11">
      <c r="A147" t="s">
        <v>315</v>
      </c>
      <c r="B147" t="s">
        <v>52</v>
      </c>
      <c r="C147" t="s">
        <v>16</v>
      </c>
      <c r="D147">
        <v>250</v>
      </c>
      <c r="E147" s="4">
        <v>46149</v>
      </c>
      <c r="F147" s="4">
        <v>46159</v>
      </c>
      <c r="G147" s="4">
        <v>46158</v>
      </c>
      <c r="H147">
        <v>247</v>
      </c>
      <c r="I147" t="s">
        <v>316</v>
      </c>
      <c r="J147">
        <v>1</v>
      </c>
      <c r="K147" t="s">
        <v>1563</v>
      </c>
    </row>
    <row r="148" spans="1:11">
      <c r="A148" t="s">
        <v>317</v>
      </c>
      <c r="B148" t="s">
        <v>52</v>
      </c>
      <c r="C148" t="s">
        <v>16</v>
      </c>
      <c r="D148">
        <v>663</v>
      </c>
      <c r="E148" s="4">
        <v>46147</v>
      </c>
      <c r="F148" s="4">
        <v>46161</v>
      </c>
      <c r="G148" s="4">
        <v>46158</v>
      </c>
      <c r="H148">
        <v>618</v>
      </c>
      <c r="I148" t="s">
        <v>318</v>
      </c>
      <c r="J148">
        <v>5</v>
      </c>
      <c r="K148" t="s">
        <v>1563</v>
      </c>
    </row>
    <row r="149" spans="1:11">
      <c r="A149" t="s">
        <v>319</v>
      </c>
      <c r="B149" t="s">
        <v>32</v>
      </c>
      <c r="C149" t="s">
        <v>16</v>
      </c>
      <c r="D149">
        <v>728</v>
      </c>
      <c r="E149" s="4">
        <v>46141</v>
      </c>
      <c r="F149" s="4">
        <v>46155</v>
      </c>
      <c r="G149" s="4">
        <v>46155</v>
      </c>
      <c r="H149">
        <v>724</v>
      </c>
      <c r="I149" t="s">
        <v>320</v>
      </c>
      <c r="J149">
        <v>34</v>
      </c>
      <c r="K149" t="s">
        <v>1563</v>
      </c>
    </row>
    <row r="150" spans="1:11">
      <c r="A150" t="s">
        <v>321</v>
      </c>
      <c r="B150" t="s">
        <v>35</v>
      </c>
      <c r="C150" t="s">
        <v>23</v>
      </c>
      <c r="D150">
        <v>842</v>
      </c>
      <c r="E150" s="4">
        <v>46107</v>
      </c>
      <c r="F150" s="4">
        <v>46113</v>
      </c>
      <c r="G150" s="4">
        <v>46122</v>
      </c>
      <c r="H150">
        <v>836</v>
      </c>
      <c r="I150" t="s">
        <v>323</v>
      </c>
      <c r="J150">
        <v>53</v>
      </c>
      <c r="K150" t="s">
        <v>1563</v>
      </c>
    </row>
    <row r="151" spans="1:11">
      <c r="A151" t="s">
        <v>324</v>
      </c>
      <c r="B151" t="s">
        <v>177</v>
      </c>
      <c r="C151" t="s">
        <v>16</v>
      </c>
      <c r="D151">
        <v>605</v>
      </c>
      <c r="E151" s="4">
        <v>46156</v>
      </c>
      <c r="F151" s="4">
        <v>46170</v>
      </c>
      <c r="G151" s="4">
        <v>46173</v>
      </c>
      <c r="H151">
        <v>615</v>
      </c>
      <c r="I151" t="s">
        <v>283</v>
      </c>
      <c r="J151">
        <v>17</v>
      </c>
      <c r="K151" t="s">
        <v>1563</v>
      </c>
    </row>
    <row r="152" spans="1:11">
      <c r="A152" t="s">
        <v>326</v>
      </c>
      <c r="B152" t="s">
        <v>100</v>
      </c>
      <c r="C152" t="s">
        <v>16</v>
      </c>
      <c r="D152">
        <v>316</v>
      </c>
      <c r="E152" s="4">
        <v>46057</v>
      </c>
      <c r="F152" s="4">
        <v>46072</v>
      </c>
      <c r="G152" s="4">
        <v>46070</v>
      </c>
      <c r="H152">
        <v>311</v>
      </c>
      <c r="I152" t="s">
        <v>209</v>
      </c>
      <c r="J152">
        <v>8</v>
      </c>
      <c r="K152" t="s">
        <v>1563</v>
      </c>
    </row>
    <row r="153" spans="1:11">
      <c r="A153" t="s">
        <v>328</v>
      </c>
      <c r="B153" t="s">
        <v>35</v>
      </c>
      <c r="C153" t="s">
        <v>12</v>
      </c>
      <c r="D153">
        <v>238</v>
      </c>
      <c r="E153" s="4">
        <v>46115</v>
      </c>
      <c r="F153" s="4">
        <v>46122</v>
      </c>
      <c r="G153" s="4">
        <v>46131</v>
      </c>
      <c r="H153">
        <v>240</v>
      </c>
      <c r="I153" t="s">
        <v>330</v>
      </c>
      <c r="J153">
        <v>5</v>
      </c>
      <c r="K153" t="s">
        <v>1563</v>
      </c>
    </row>
    <row r="154" spans="1:11">
      <c r="A154" t="s">
        <v>331</v>
      </c>
      <c r="B154" t="s">
        <v>22</v>
      </c>
      <c r="C154" t="s">
        <v>23</v>
      </c>
      <c r="D154">
        <v>585</v>
      </c>
      <c r="E154" s="4">
        <v>46096</v>
      </c>
      <c r="F154" s="4">
        <v>46106</v>
      </c>
      <c r="G154" s="4">
        <v>46104</v>
      </c>
      <c r="H154">
        <v>554</v>
      </c>
      <c r="I154" t="s">
        <v>332</v>
      </c>
      <c r="J154">
        <v>13</v>
      </c>
      <c r="K154" t="s">
        <v>1563</v>
      </c>
    </row>
    <row r="155" spans="1:11">
      <c r="A155" t="s">
        <v>333</v>
      </c>
      <c r="B155" t="s">
        <v>32</v>
      </c>
      <c r="C155" t="s">
        <v>23</v>
      </c>
      <c r="D155">
        <v>162</v>
      </c>
      <c r="E155" s="4">
        <v>46050</v>
      </c>
      <c r="F155" s="4">
        <v>46061</v>
      </c>
      <c r="G155" s="4">
        <v>46058</v>
      </c>
      <c r="H155">
        <v>141</v>
      </c>
      <c r="I155" t="s">
        <v>262</v>
      </c>
      <c r="J155">
        <v>4</v>
      </c>
      <c r="K155" t="s">
        <v>1563</v>
      </c>
    </row>
    <row r="156" spans="1:11">
      <c r="A156" t="s">
        <v>334</v>
      </c>
      <c r="B156" t="s">
        <v>177</v>
      </c>
      <c r="C156" t="s">
        <v>23</v>
      </c>
      <c r="D156">
        <v>999</v>
      </c>
      <c r="E156" s="4">
        <v>46060</v>
      </c>
      <c r="F156" s="4">
        <v>46065</v>
      </c>
      <c r="G156" s="4">
        <v>46063</v>
      </c>
      <c r="H156">
        <v>1005</v>
      </c>
      <c r="I156" t="s">
        <v>219</v>
      </c>
      <c r="J156">
        <v>22</v>
      </c>
      <c r="K156" t="s">
        <v>1563</v>
      </c>
    </row>
    <row r="157" spans="1:11">
      <c r="A157" t="s">
        <v>335</v>
      </c>
      <c r="B157" t="s">
        <v>32</v>
      </c>
      <c r="C157" t="s">
        <v>12</v>
      </c>
      <c r="D157">
        <v>594</v>
      </c>
      <c r="E157" s="4">
        <v>46037</v>
      </c>
      <c r="F157" s="4">
        <v>46052</v>
      </c>
      <c r="G157" s="4">
        <v>46052</v>
      </c>
      <c r="H157">
        <v>598</v>
      </c>
      <c r="I157" t="s">
        <v>336</v>
      </c>
      <c r="J157">
        <v>5</v>
      </c>
      <c r="K157" t="s">
        <v>1563</v>
      </c>
    </row>
    <row r="158" spans="1:11">
      <c r="A158" t="s">
        <v>337</v>
      </c>
      <c r="B158" t="s">
        <v>46</v>
      </c>
      <c r="C158" t="s">
        <v>12</v>
      </c>
      <c r="D158">
        <v>765</v>
      </c>
      <c r="E158" s="4">
        <v>46114</v>
      </c>
      <c r="F158" s="4">
        <v>46121</v>
      </c>
      <c r="G158" s="4">
        <v>46120</v>
      </c>
      <c r="H158">
        <v>656</v>
      </c>
      <c r="I158" t="s">
        <v>339</v>
      </c>
      <c r="J158">
        <v>51</v>
      </c>
      <c r="K158" t="s">
        <v>1563</v>
      </c>
    </row>
    <row r="159" spans="1:11">
      <c r="A159" t="s">
        <v>340</v>
      </c>
      <c r="B159" t="s">
        <v>22</v>
      </c>
      <c r="C159" t="s">
        <v>12</v>
      </c>
      <c r="D159">
        <v>387</v>
      </c>
      <c r="E159" s="4">
        <v>46165</v>
      </c>
      <c r="F159" s="4">
        <v>46174</v>
      </c>
      <c r="G159" s="4">
        <v>46179</v>
      </c>
      <c r="H159">
        <v>382</v>
      </c>
      <c r="I159" t="s">
        <v>341</v>
      </c>
      <c r="J159">
        <v>11</v>
      </c>
      <c r="K159" t="s">
        <v>1563</v>
      </c>
    </row>
    <row r="160" spans="1:11">
      <c r="A160" t="s">
        <v>342</v>
      </c>
      <c r="B160" t="s">
        <v>49</v>
      </c>
      <c r="C160" t="s">
        <v>23</v>
      </c>
      <c r="D160">
        <v>659</v>
      </c>
      <c r="E160" s="4">
        <v>46072</v>
      </c>
      <c r="F160" s="4">
        <v>46079</v>
      </c>
      <c r="G160" s="4">
        <v>46077</v>
      </c>
      <c r="H160">
        <v>666</v>
      </c>
      <c r="I160" t="s">
        <v>343</v>
      </c>
      <c r="J160">
        <v>3</v>
      </c>
      <c r="K160" t="s">
        <v>1563</v>
      </c>
    </row>
    <row r="161" spans="1:11">
      <c r="A161" t="s">
        <v>344</v>
      </c>
      <c r="B161" t="s">
        <v>35</v>
      </c>
      <c r="C161" t="s">
        <v>23</v>
      </c>
      <c r="D161">
        <v>957</v>
      </c>
      <c r="E161" s="4">
        <v>46153</v>
      </c>
      <c r="F161" s="4">
        <v>46161</v>
      </c>
      <c r="G161" s="4">
        <v>46160</v>
      </c>
      <c r="H161">
        <v>971</v>
      </c>
      <c r="I161" t="s">
        <v>61</v>
      </c>
      <c r="J161">
        <v>56</v>
      </c>
      <c r="K161" t="s">
        <v>1563</v>
      </c>
    </row>
    <row r="162" spans="1:11">
      <c r="A162" t="s">
        <v>345</v>
      </c>
      <c r="B162" t="s">
        <v>29</v>
      </c>
      <c r="C162" t="s">
        <v>12</v>
      </c>
      <c r="D162">
        <v>882</v>
      </c>
      <c r="E162" s="4">
        <v>46121</v>
      </c>
      <c r="F162" s="4">
        <v>46126</v>
      </c>
      <c r="G162" s="4">
        <v>46131</v>
      </c>
      <c r="H162">
        <v>884</v>
      </c>
      <c r="I162" t="s">
        <v>339</v>
      </c>
      <c r="J162">
        <v>4</v>
      </c>
      <c r="K162" t="s">
        <v>1563</v>
      </c>
    </row>
    <row r="163" spans="1:11">
      <c r="A163" t="s">
        <v>346</v>
      </c>
      <c r="B163" t="s">
        <v>40</v>
      </c>
      <c r="C163" t="s">
        <v>23</v>
      </c>
      <c r="D163">
        <v>494</v>
      </c>
      <c r="E163" s="4">
        <v>46061</v>
      </c>
      <c r="F163" s="4">
        <v>46069</v>
      </c>
      <c r="G163" s="4">
        <v>46068</v>
      </c>
      <c r="H163">
        <v>486</v>
      </c>
      <c r="I163" t="s">
        <v>347</v>
      </c>
      <c r="J163">
        <v>13</v>
      </c>
      <c r="K163" t="s">
        <v>1563</v>
      </c>
    </row>
    <row r="164" spans="1:11">
      <c r="A164" t="s">
        <v>348</v>
      </c>
      <c r="B164" t="s">
        <v>120</v>
      </c>
      <c r="C164" t="s">
        <v>12</v>
      </c>
      <c r="D164">
        <v>556</v>
      </c>
      <c r="E164" s="4">
        <v>46055</v>
      </c>
      <c r="F164" s="4">
        <v>46060</v>
      </c>
      <c r="G164" s="4">
        <v>46069</v>
      </c>
      <c r="H164">
        <v>551</v>
      </c>
      <c r="I164" t="s">
        <v>349</v>
      </c>
      <c r="J164">
        <v>14</v>
      </c>
      <c r="K164" t="s">
        <v>1563</v>
      </c>
    </row>
    <row r="165" spans="1:11">
      <c r="A165" t="s">
        <v>350</v>
      </c>
      <c r="B165" t="s">
        <v>81</v>
      </c>
      <c r="C165" t="s">
        <v>12</v>
      </c>
      <c r="D165">
        <v>524</v>
      </c>
      <c r="E165" s="4">
        <v>46154</v>
      </c>
      <c r="F165" s="4">
        <v>46167</v>
      </c>
      <c r="G165" s="4">
        <v>46169</v>
      </c>
      <c r="H165">
        <v>522</v>
      </c>
      <c r="I165" t="s">
        <v>352</v>
      </c>
      <c r="J165">
        <v>1</v>
      </c>
      <c r="K165" t="s">
        <v>1563</v>
      </c>
    </row>
    <row r="166" spans="1:11">
      <c r="A166" t="s">
        <v>353</v>
      </c>
      <c r="B166" t="s">
        <v>49</v>
      </c>
      <c r="C166" t="s">
        <v>12</v>
      </c>
      <c r="D166">
        <v>471</v>
      </c>
      <c r="E166" s="4">
        <v>46090</v>
      </c>
      <c r="F166" s="4">
        <v>46099</v>
      </c>
      <c r="G166" s="4">
        <v>46099</v>
      </c>
      <c r="H166">
        <v>472</v>
      </c>
      <c r="I166" t="s">
        <v>354</v>
      </c>
      <c r="J166">
        <v>1</v>
      </c>
      <c r="K166" t="s">
        <v>1563</v>
      </c>
    </row>
    <row r="167" spans="1:11">
      <c r="A167" t="s">
        <v>355</v>
      </c>
      <c r="B167" t="s">
        <v>43</v>
      </c>
      <c r="C167" t="s">
        <v>12</v>
      </c>
      <c r="D167">
        <v>961</v>
      </c>
      <c r="E167" s="4">
        <v>46063</v>
      </c>
      <c r="F167" s="4">
        <v>46078</v>
      </c>
      <c r="G167" s="4">
        <v>46078</v>
      </c>
      <c r="H167">
        <v>954</v>
      </c>
      <c r="I167" t="s">
        <v>356</v>
      </c>
      <c r="J167">
        <v>66</v>
      </c>
      <c r="K167" t="s">
        <v>1563</v>
      </c>
    </row>
    <row r="168" spans="1:11">
      <c r="A168" t="s">
        <v>357</v>
      </c>
      <c r="B168" t="s">
        <v>81</v>
      </c>
      <c r="C168" t="s">
        <v>16</v>
      </c>
      <c r="D168">
        <v>994</v>
      </c>
      <c r="E168" s="4">
        <v>46107</v>
      </c>
      <c r="F168" s="4">
        <v>46114</v>
      </c>
      <c r="G168" s="4">
        <v>46117</v>
      </c>
      <c r="H168">
        <v>936</v>
      </c>
      <c r="I168" t="s">
        <v>17</v>
      </c>
      <c r="J168">
        <v>14</v>
      </c>
      <c r="K168" t="s">
        <v>1563</v>
      </c>
    </row>
    <row r="169" spans="1:11">
      <c r="A169" t="s">
        <v>358</v>
      </c>
      <c r="B169" t="s">
        <v>70</v>
      </c>
      <c r="C169" t="s">
        <v>12</v>
      </c>
      <c r="D169">
        <v>309</v>
      </c>
      <c r="E169" s="4">
        <v>46175</v>
      </c>
      <c r="F169" s="4">
        <v>46187</v>
      </c>
      <c r="G169" s="4">
        <v>46186</v>
      </c>
      <c r="H169">
        <v>307</v>
      </c>
      <c r="I169" t="s">
        <v>341</v>
      </c>
      <c r="J169">
        <v>3</v>
      </c>
      <c r="K169" t="s">
        <v>1563</v>
      </c>
    </row>
    <row r="170" spans="1:11">
      <c r="A170" t="s">
        <v>359</v>
      </c>
      <c r="B170" t="s">
        <v>64</v>
      </c>
      <c r="C170" t="s">
        <v>12</v>
      </c>
      <c r="D170">
        <v>995</v>
      </c>
      <c r="E170" s="4">
        <v>46160</v>
      </c>
      <c r="F170" s="4">
        <v>46175</v>
      </c>
      <c r="G170" s="4">
        <v>46177</v>
      </c>
      <c r="H170">
        <v>835</v>
      </c>
      <c r="I170" t="s">
        <v>148</v>
      </c>
      <c r="J170">
        <v>4</v>
      </c>
      <c r="K170" t="s">
        <v>1563</v>
      </c>
    </row>
    <row r="171" spans="1:11">
      <c r="A171" t="s">
        <v>360</v>
      </c>
      <c r="B171" t="s">
        <v>120</v>
      </c>
      <c r="C171" t="s">
        <v>23</v>
      </c>
      <c r="D171">
        <v>531</v>
      </c>
      <c r="E171" s="4">
        <v>46171</v>
      </c>
      <c r="F171" s="4">
        <v>46179</v>
      </c>
      <c r="G171" s="4">
        <v>46178</v>
      </c>
      <c r="H171">
        <v>485</v>
      </c>
      <c r="I171" t="s">
        <v>361</v>
      </c>
      <c r="J171">
        <v>25</v>
      </c>
      <c r="K171" t="s">
        <v>1563</v>
      </c>
    </row>
    <row r="172" spans="1:11">
      <c r="A172" t="s">
        <v>362</v>
      </c>
      <c r="B172" t="s">
        <v>49</v>
      </c>
      <c r="C172" t="s">
        <v>23</v>
      </c>
      <c r="D172">
        <v>201</v>
      </c>
      <c r="E172" s="4">
        <v>46175</v>
      </c>
      <c r="F172" s="4">
        <v>46190</v>
      </c>
      <c r="G172" s="4">
        <v>46198</v>
      </c>
      <c r="H172">
        <v>200</v>
      </c>
      <c r="I172" t="s">
        <v>364</v>
      </c>
      <c r="J172">
        <v>1</v>
      </c>
      <c r="K172" t="s">
        <v>1563</v>
      </c>
    </row>
    <row r="173" spans="1:11">
      <c r="A173" t="s">
        <v>365</v>
      </c>
      <c r="B173" t="s">
        <v>40</v>
      </c>
      <c r="C173" t="s">
        <v>16</v>
      </c>
      <c r="D173">
        <v>246</v>
      </c>
      <c r="E173" s="4">
        <v>46121</v>
      </c>
      <c r="F173" s="4">
        <v>46128</v>
      </c>
      <c r="G173" s="4">
        <v>46126</v>
      </c>
      <c r="H173">
        <v>250</v>
      </c>
      <c r="I173" t="s">
        <v>366</v>
      </c>
      <c r="J173">
        <v>19</v>
      </c>
      <c r="K173" t="s">
        <v>1563</v>
      </c>
    </row>
    <row r="174" spans="1:11">
      <c r="A174" t="s">
        <v>367</v>
      </c>
      <c r="B174" t="s">
        <v>29</v>
      </c>
      <c r="C174" t="s">
        <v>12</v>
      </c>
      <c r="D174">
        <v>212</v>
      </c>
      <c r="E174" s="4">
        <v>46103</v>
      </c>
      <c r="F174" s="4">
        <v>46108</v>
      </c>
      <c r="G174" s="4">
        <v>46105</v>
      </c>
      <c r="H174">
        <v>206</v>
      </c>
      <c r="I174" t="s">
        <v>368</v>
      </c>
      <c r="J174">
        <v>1</v>
      </c>
      <c r="K174" t="s">
        <v>1563</v>
      </c>
    </row>
    <row r="175" spans="1:11">
      <c r="A175" t="s">
        <v>369</v>
      </c>
      <c r="B175" t="s">
        <v>67</v>
      </c>
      <c r="C175" t="s">
        <v>12</v>
      </c>
      <c r="D175">
        <v>87</v>
      </c>
      <c r="E175" s="4">
        <v>46037</v>
      </c>
      <c r="F175" s="4">
        <v>46046</v>
      </c>
      <c r="G175" s="4">
        <v>46054</v>
      </c>
      <c r="H175">
        <v>86</v>
      </c>
      <c r="I175" t="s">
        <v>121</v>
      </c>
      <c r="J175">
        <v>2</v>
      </c>
      <c r="K175" t="s">
        <v>1563</v>
      </c>
    </row>
    <row r="176" spans="1:11">
      <c r="A176" t="s">
        <v>370</v>
      </c>
      <c r="B176" t="s">
        <v>64</v>
      </c>
      <c r="C176" t="s">
        <v>23</v>
      </c>
      <c r="D176">
        <v>226</v>
      </c>
      <c r="E176" s="4">
        <v>46095</v>
      </c>
      <c r="F176" s="4">
        <v>46101</v>
      </c>
      <c r="G176" s="4">
        <v>46106</v>
      </c>
      <c r="H176">
        <v>203</v>
      </c>
      <c r="I176" t="s">
        <v>372</v>
      </c>
      <c r="J176">
        <v>10</v>
      </c>
      <c r="K176" t="s">
        <v>1563</v>
      </c>
    </row>
    <row r="177" spans="1:11">
      <c r="A177" t="s">
        <v>373</v>
      </c>
      <c r="B177" t="s">
        <v>67</v>
      </c>
      <c r="C177" t="s">
        <v>16</v>
      </c>
      <c r="D177">
        <v>974</v>
      </c>
      <c r="E177" s="4">
        <v>46048</v>
      </c>
      <c r="F177" s="4">
        <v>46062</v>
      </c>
      <c r="G177" s="4">
        <v>46059</v>
      </c>
      <c r="H177">
        <v>852</v>
      </c>
      <c r="I177" t="s">
        <v>164</v>
      </c>
      <c r="J177">
        <v>35</v>
      </c>
      <c r="K177" t="s">
        <v>1563</v>
      </c>
    </row>
    <row r="178" spans="1:11">
      <c r="A178" t="s">
        <v>374</v>
      </c>
      <c r="B178" t="s">
        <v>120</v>
      </c>
      <c r="C178" t="s">
        <v>12</v>
      </c>
      <c r="D178">
        <v>350</v>
      </c>
      <c r="E178" s="4">
        <v>46050</v>
      </c>
      <c r="F178" s="4">
        <v>46056</v>
      </c>
      <c r="G178" s="4">
        <v>46055</v>
      </c>
      <c r="H178">
        <v>346</v>
      </c>
      <c r="I178" t="s">
        <v>376</v>
      </c>
      <c r="J178">
        <v>19</v>
      </c>
      <c r="K178" t="s">
        <v>1563</v>
      </c>
    </row>
    <row r="179" spans="1:11">
      <c r="A179" t="s">
        <v>377</v>
      </c>
      <c r="B179" t="s">
        <v>52</v>
      </c>
      <c r="C179" t="s">
        <v>12</v>
      </c>
      <c r="D179">
        <v>621</v>
      </c>
      <c r="E179" s="4">
        <v>46152</v>
      </c>
      <c r="F179" s="4">
        <v>46159</v>
      </c>
      <c r="G179" s="4">
        <v>46162</v>
      </c>
      <c r="H179">
        <v>524</v>
      </c>
      <c r="I179" t="s">
        <v>379</v>
      </c>
      <c r="J179">
        <v>1</v>
      </c>
      <c r="K179" t="s">
        <v>1563</v>
      </c>
    </row>
    <row r="180" spans="1:11">
      <c r="A180" t="s">
        <v>380</v>
      </c>
      <c r="B180" t="s">
        <v>100</v>
      </c>
      <c r="C180" t="s">
        <v>16</v>
      </c>
      <c r="D180">
        <v>974</v>
      </c>
      <c r="E180" s="4">
        <v>46114</v>
      </c>
      <c r="F180" s="4">
        <v>46122</v>
      </c>
      <c r="G180" s="4">
        <v>46122</v>
      </c>
      <c r="H180">
        <v>960</v>
      </c>
      <c r="I180" t="s">
        <v>381</v>
      </c>
      <c r="J180">
        <v>13</v>
      </c>
      <c r="K180" t="s">
        <v>1563</v>
      </c>
    </row>
    <row r="181" spans="1:11">
      <c r="A181" t="s">
        <v>382</v>
      </c>
      <c r="B181" t="s">
        <v>70</v>
      </c>
      <c r="C181" t="s">
        <v>16</v>
      </c>
      <c r="D181">
        <v>190</v>
      </c>
      <c r="E181" s="4">
        <v>46146</v>
      </c>
      <c r="F181" s="4">
        <v>46153</v>
      </c>
      <c r="G181" s="4">
        <v>46157</v>
      </c>
      <c r="H181">
        <v>186</v>
      </c>
      <c r="I181" t="s">
        <v>383</v>
      </c>
      <c r="J181">
        <v>1</v>
      </c>
      <c r="K181" t="s">
        <v>1563</v>
      </c>
    </row>
    <row r="182" spans="1:11">
      <c r="A182" t="s">
        <v>384</v>
      </c>
      <c r="B182" t="s">
        <v>67</v>
      </c>
      <c r="C182" t="s">
        <v>12</v>
      </c>
      <c r="D182">
        <v>375</v>
      </c>
      <c r="E182" s="4">
        <v>46134</v>
      </c>
      <c r="F182" s="4">
        <v>46147</v>
      </c>
      <c r="G182" s="4">
        <v>46153</v>
      </c>
      <c r="H182">
        <v>372</v>
      </c>
      <c r="I182" t="s">
        <v>385</v>
      </c>
      <c r="J182">
        <v>1</v>
      </c>
      <c r="K182" t="s">
        <v>1563</v>
      </c>
    </row>
    <row r="183" spans="1:11">
      <c r="A183" t="s">
        <v>386</v>
      </c>
      <c r="B183" t="s">
        <v>70</v>
      </c>
      <c r="C183" t="s">
        <v>12</v>
      </c>
      <c r="D183">
        <v>133</v>
      </c>
      <c r="E183" s="4">
        <v>46054</v>
      </c>
      <c r="F183" s="4">
        <v>46069</v>
      </c>
      <c r="G183" s="4">
        <v>46069</v>
      </c>
      <c r="H183">
        <v>134</v>
      </c>
      <c r="I183" t="s">
        <v>30</v>
      </c>
      <c r="J183">
        <v>1</v>
      </c>
      <c r="K183" t="s">
        <v>1563</v>
      </c>
    </row>
    <row r="184" spans="1:11">
      <c r="A184" t="s">
        <v>387</v>
      </c>
      <c r="B184" t="s">
        <v>26</v>
      </c>
      <c r="C184" t="s">
        <v>23</v>
      </c>
      <c r="D184">
        <v>705</v>
      </c>
      <c r="E184" s="4">
        <v>46043</v>
      </c>
      <c r="F184" s="4">
        <v>46056</v>
      </c>
      <c r="G184" s="4">
        <v>46056</v>
      </c>
      <c r="H184">
        <v>706</v>
      </c>
      <c r="I184" t="s">
        <v>388</v>
      </c>
      <c r="J184">
        <v>10</v>
      </c>
      <c r="K184" t="s">
        <v>1563</v>
      </c>
    </row>
    <row r="185" spans="1:11">
      <c r="A185" t="s">
        <v>389</v>
      </c>
      <c r="B185" t="s">
        <v>26</v>
      </c>
      <c r="C185" t="s">
        <v>12</v>
      </c>
      <c r="D185">
        <v>381</v>
      </c>
      <c r="E185" s="4">
        <v>46143</v>
      </c>
      <c r="F185" s="4">
        <v>46152</v>
      </c>
      <c r="G185" s="4">
        <v>46152</v>
      </c>
      <c r="H185">
        <v>385</v>
      </c>
      <c r="I185" t="s">
        <v>391</v>
      </c>
      <c r="J185">
        <v>10</v>
      </c>
      <c r="K185" t="s">
        <v>1563</v>
      </c>
    </row>
    <row r="186" spans="1:11">
      <c r="A186" t="s">
        <v>392</v>
      </c>
      <c r="B186" t="s">
        <v>43</v>
      </c>
      <c r="C186" t="s">
        <v>16</v>
      </c>
      <c r="D186">
        <v>319</v>
      </c>
      <c r="E186" s="4">
        <v>46050</v>
      </c>
      <c r="F186" s="4">
        <v>46061</v>
      </c>
      <c r="G186" s="4">
        <v>46058</v>
      </c>
      <c r="H186">
        <v>314</v>
      </c>
      <c r="I186" t="s">
        <v>393</v>
      </c>
      <c r="J186">
        <v>20</v>
      </c>
      <c r="K186" t="s">
        <v>1563</v>
      </c>
    </row>
    <row r="187" spans="1:11">
      <c r="A187" t="s">
        <v>394</v>
      </c>
      <c r="B187" t="s">
        <v>32</v>
      </c>
      <c r="C187" t="s">
        <v>16</v>
      </c>
      <c r="D187">
        <v>864</v>
      </c>
      <c r="E187" s="4">
        <v>46066</v>
      </c>
      <c r="F187" s="4">
        <v>46075</v>
      </c>
      <c r="G187" s="4">
        <v>46072</v>
      </c>
      <c r="H187">
        <v>736</v>
      </c>
      <c r="I187" t="s">
        <v>395</v>
      </c>
      <c r="J187">
        <v>42</v>
      </c>
      <c r="K187" t="s">
        <v>1563</v>
      </c>
    </row>
    <row r="188" spans="1:11">
      <c r="A188" t="s">
        <v>396</v>
      </c>
      <c r="B188" t="s">
        <v>43</v>
      </c>
      <c r="C188" t="s">
        <v>16</v>
      </c>
      <c r="D188">
        <v>878</v>
      </c>
      <c r="E188" s="4">
        <v>46100</v>
      </c>
      <c r="F188" s="4">
        <v>46115</v>
      </c>
      <c r="G188" s="4">
        <v>46118</v>
      </c>
      <c r="H188">
        <v>889</v>
      </c>
      <c r="I188" t="s">
        <v>316</v>
      </c>
      <c r="J188">
        <v>37</v>
      </c>
      <c r="K188" t="s">
        <v>1563</v>
      </c>
    </row>
    <row r="189" spans="1:11">
      <c r="A189" t="s">
        <v>397</v>
      </c>
      <c r="B189" t="s">
        <v>100</v>
      </c>
      <c r="C189" t="s">
        <v>16</v>
      </c>
      <c r="D189">
        <v>848</v>
      </c>
      <c r="E189" s="4">
        <v>46054</v>
      </c>
      <c r="F189" s="4">
        <v>46066</v>
      </c>
      <c r="G189" s="4">
        <v>46064</v>
      </c>
      <c r="H189">
        <v>805</v>
      </c>
      <c r="I189" t="s">
        <v>398</v>
      </c>
      <c r="J189">
        <v>8</v>
      </c>
      <c r="K189" t="s">
        <v>1563</v>
      </c>
    </row>
    <row r="190" spans="1:11">
      <c r="A190" t="s">
        <v>399</v>
      </c>
      <c r="B190" t="s">
        <v>64</v>
      </c>
      <c r="C190" t="s">
        <v>12</v>
      </c>
      <c r="D190">
        <v>539</v>
      </c>
      <c r="E190" s="4">
        <v>46100</v>
      </c>
      <c r="F190" s="4">
        <v>46111</v>
      </c>
      <c r="G190" s="4">
        <v>46120</v>
      </c>
      <c r="H190">
        <v>536</v>
      </c>
      <c r="I190" t="s">
        <v>68</v>
      </c>
      <c r="J190">
        <v>5</v>
      </c>
      <c r="K190" t="s">
        <v>1563</v>
      </c>
    </row>
    <row r="191" spans="1:11">
      <c r="A191" t="s">
        <v>400</v>
      </c>
      <c r="B191" t="s">
        <v>22</v>
      </c>
      <c r="C191" t="s">
        <v>16</v>
      </c>
      <c r="D191">
        <v>695</v>
      </c>
      <c r="E191" s="4">
        <v>46034</v>
      </c>
      <c r="F191" s="4">
        <v>46046</v>
      </c>
      <c r="G191" s="4">
        <v>46050</v>
      </c>
      <c r="H191">
        <v>658</v>
      </c>
      <c r="I191" t="s">
        <v>401</v>
      </c>
      <c r="J191">
        <v>55</v>
      </c>
      <c r="K191" t="s">
        <v>1563</v>
      </c>
    </row>
    <row r="192" spans="1:11">
      <c r="A192" t="s">
        <v>402</v>
      </c>
      <c r="B192" t="s">
        <v>52</v>
      </c>
      <c r="C192" t="s">
        <v>12</v>
      </c>
      <c r="D192">
        <v>745</v>
      </c>
      <c r="E192" s="4">
        <v>46103</v>
      </c>
      <c r="F192" s="4">
        <v>46111</v>
      </c>
      <c r="G192" s="4">
        <v>46109</v>
      </c>
      <c r="H192">
        <v>736</v>
      </c>
      <c r="I192" t="s">
        <v>403</v>
      </c>
      <c r="J192">
        <v>14</v>
      </c>
      <c r="K192" t="s">
        <v>1563</v>
      </c>
    </row>
    <row r="193" spans="1:11">
      <c r="A193" t="s">
        <v>404</v>
      </c>
      <c r="B193" t="s">
        <v>52</v>
      </c>
      <c r="C193" t="s">
        <v>16</v>
      </c>
      <c r="D193">
        <v>466</v>
      </c>
      <c r="E193" s="4">
        <v>46097</v>
      </c>
      <c r="F193" s="4">
        <v>46112</v>
      </c>
      <c r="G193" s="4">
        <v>46121</v>
      </c>
      <c r="H193">
        <v>468</v>
      </c>
      <c r="I193" t="s">
        <v>405</v>
      </c>
      <c r="J193">
        <v>7</v>
      </c>
      <c r="K193" t="s">
        <v>1563</v>
      </c>
    </row>
    <row r="194" spans="1:11">
      <c r="A194" t="s">
        <v>406</v>
      </c>
      <c r="B194" t="s">
        <v>52</v>
      </c>
      <c r="C194" t="s">
        <v>12</v>
      </c>
      <c r="D194">
        <v>483</v>
      </c>
      <c r="E194" s="4">
        <v>46074</v>
      </c>
      <c r="F194" s="4">
        <v>46081</v>
      </c>
      <c r="G194" s="4">
        <v>46081</v>
      </c>
      <c r="H194">
        <v>490</v>
      </c>
      <c r="I194" t="s">
        <v>407</v>
      </c>
      <c r="J194">
        <v>13</v>
      </c>
      <c r="K194" t="s">
        <v>1563</v>
      </c>
    </row>
    <row r="195" spans="1:11">
      <c r="A195" t="s">
        <v>408</v>
      </c>
      <c r="B195" t="s">
        <v>177</v>
      </c>
      <c r="C195" t="s">
        <v>12</v>
      </c>
      <c r="D195">
        <v>689</v>
      </c>
      <c r="E195" s="4">
        <v>46037</v>
      </c>
      <c r="F195" s="4">
        <v>46047</v>
      </c>
      <c r="G195" s="4">
        <v>46047</v>
      </c>
      <c r="H195">
        <v>692</v>
      </c>
      <c r="I195" t="s">
        <v>409</v>
      </c>
      <c r="J195">
        <v>25</v>
      </c>
      <c r="K195" t="s">
        <v>1563</v>
      </c>
    </row>
    <row r="196" spans="1:11">
      <c r="A196" t="s">
        <v>410</v>
      </c>
      <c r="B196" t="s">
        <v>49</v>
      </c>
      <c r="C196" t="s">
        <v>16</v>
      </c>
      <c r="D196">
        <v>443</v>
      </c>
      <c r="E196" s="4">
        <v>46072</v>
      </c>
      <c r="F196" s="4">
        <v>46078</v>
      </c>
      <c r="G196" s="4">
        <v>46075</v>
      </c>
      <c r="H196">
        <v>442</v>
      </c>
      <c r="I196" t="s">
        <v>366</v>
      </c>
      <c r="J196">
        <v>6</v>
      </c>
      <c r="K196" t="s">
        <v>1563</v>
      </c>
    </row>
    <row r="197" spans="1:11">
      <c r="A197" t="s">
        <v>411</v>
      </c>
      <c r="B197" t="s">
        <v>40</v>
      </c>
      <c r="C197" t="s">
        <v>23</v>
      </c>
      <c r="D197">
        <v>490</v>
      </c>
      <c r="E197" s="4">
        <v>46147</v>
      </c>
      <c r="F197" s="4">
        <v>46152</v>
      </c>
      <c r="G197" s="4">
        <v>46150</v>
      </c>
      <c r="H197">
        <v>496</v>
      </c>
      <c r="I197" t="s">
        <v>412</v>
      </c>
      <c r="J197">
        <v>1</v>
      </c>
      <c r="K197" t="s">
        <v>1563</v>
      </c>
    </row>
    <row r="198" spans="1:11">
      <c r="A198" t="s">
        <v>413</v>
      </c>
      <c r="B198" t="s">
        <v>32</v>
      </c>
      <c r="C198" t="s">
        <v>16</v>
      </c>
      <c r="D198">
        <v>759</v>
      </c>
      <c r="E198" s="4">
        <v>46092</v>
      </c>
      <c r="F198" s="4">
        <v>46097</v>
      </c>
      <c r="G198" s="4">
        <v>46094</v>
      </c>
      <c r="H198">
        <v>759</v>
      </c>
      <c r="I198" t="s">
        <v>414</v>
      </c>
      <c r="J198">
        <v>6</v>
      </c>
      <c r="K198" t="s">
        <v>1563</v>
      </c>
    </row>
    <row r="199" spans="1:11">
      <c r="A199" t="s">
        <v>415</v>
      </c>
      <c r="B199" t="s">
        <v>46</v>
      </c>
      <c r="C199" t="s">
        <v>16</v>
      </c>
      <c r="D199">
        <v>451</v>
      </c>
      <c r="E199" s="4">
        <v>46074</v>
      </c>
      <c r="F199" s="4">
        <v>46081</v>
      </c>
      <c r="G199" s="4">
        <v>46080</v>
      </c>
      <c r="H199">
        <v>454</v>
      </c>
      <c r="I199" t="s">
        <v>50</v>
      </c>
      <c r="J199">
        <v>31</v>
      </c>
      <c r="K199" t="s">
        <v>1563</v>
      </c>
    </row>
    <row r="200" spans="1:11">
      <c r="A200" t="s">
        <v>416</v>
      </c>
      <c r="B200" t="s">
        <v>22</v>
      </c>
      <c r="C200" t="s">
        <v>12</v>
      </c>
      <c r="D200">
        <v>529</v>
      </c>
      <c r="E200" s="4">
        <v>46073</v>
      </c>
      <c r="F200" s="4">
        <v>46086</v>
      </c>
      <c r="G200" s="4">
        <v>46088</v>
      </c>
      <c r="H200">
        <v>522</v>
      </c>
      <c r="I200" t="s">
        <v>171</v>
      </c>
      <c r="J200">
        <v>19</v>
      </c>
      <c r="K200" t="s">
        <v>1563</v>
      </c>
    </row>
    <row r="201" spans="1:11">
      <c r="A201" t="s">
        <v>418</v>
      </c>
      <c r="B201" t="s">
        <v>11</v>
      </c>
      <c r="C201" t="s">
        <v>12</v>
      </c>
      <c r="D201">
        <v>716</v>
      </c>
      <c r="E201" s="4">
        <v>46058</v>
      </c>
      <c r="F201" s="4">
        <v>46065</v>
      </c>
      <c r="G201" s="4">
        <v>46064</v>
      </c>
      <c r="H201">
        <v>718</v>
      </c>
      <c r="I201" t="s">
        <v>419</v>
      </c>
      <c r="J201">
        <v>11</v>
      </c>
      <c r="K201" t="s">
        <v>1563</v>
      </c>
    </row>
    <row r="202" spans="1:11">
      <c r="A202" t="s">
        <v>420</v>
      </c>
      <c r="B202" t="s">
        <v>120</v>
      </c>
      <c r="C202" t="s">
        <v>12</v>
      </c>
      <c r="D202">
        <v>879</v>
      </c>
      <c r="E202" s="4">
        <v>46148</v>
      </c>
      <c r="F202" s="4">
        <v>46154</v>
      </c>
      <c r="G202" s="4">
        <v>46154</v>
      </c>
      <c r="H202">
        <v>888</v>
      </c>
      <c r="I202" t="s">
        <v>421</v>
      </c>
      <c r="J202">
        <v>6</v>
      </c>
      <c r="K202" t="s">
        <v>1563</v>
      </c>
    </row>
    <row r="203" spans="1:11">
      <c r="A203" t="s">
        <v>422</v>
      </c>
      <c r="B203" t="s">
        <v>67</v>
      </c>
      <c r="C203" t="s">
        <v>23</v>
      </c>
      <c r="D203">
        <v>202</v>
      </c>
      <c r="E203" s="4">
        <v>46113</v>
      </c>
      <c r="F203" s="4">
        <v>46126</v>
      </c>
      <c r="G203" s="4">
        <v>46123</v>
      </c>
      <c r="H203">
        <v>201</v>
      </c>
      <c r="I203" t="s">
        <v>423</v>
      </c>
      <c r="J203">
        <v>7</v>
      </c>
      <c r="K203" t="s">
        <v>1563</v>
      </c>
    </row>
    <row r="204" spans="1:11">
      <c r="A204" t="s">
        <v>424</v>
      </c>
      <c r="B204" t="s">
        <v>40</v>
      </c>
      <c r="C204" t="s">
        <v>12</v>
      </c>
      <c r="D204">
        <v>561</v>
      </c>
      <c r="E204" s="4">
        <v>46164</v>
      </c>
      <c r="F204" s="4">
        <v>46179</v>
      </c>
      <c r="G204" s="4">
        <v>46181</v>
      </c>
      <c r="H204">
        <v>555</v>
      </c>
      <c r="I204" t="s">
        <v>96</v>
      </c>
      <c r="J204">
        <v>49</v>
      </c>
      <c r="K204" t="s">
        <v>1563</v>
      </c>
    </row>
    <row r="205" spans="1:11">
      <c r="A205" t="s">
        <v>425</v>
      </c>
      <c r="B205" t="s">
        <v>26</v>
      </c>
      <c r="C205" t="s">
        <v>16</v>
      </c>
      <c r="D205">
        <v>994</v>
      </c>
      <c r="E205" s="4">
        <v>46082</v>
      </c>
      <c r="F205" s="4">
        <v>46093</v>
      </c>
      <c r="G205" s="4">
        <v>46091</v>
      </c>
      <c r="H205">
        <v>982</v>
      </c>
      <c r="I205" t="s">
        <v>426</v>
      </c>
      <c r="J205">
        <v>27</v>
      </c>
      <c r="K205" t="s">
        <v>1563</v>
      </c>
    </row>
    <row r="206" spans="1:11">
      <c r="A206" t="s">
        <v>427</v>
      </c>
      <c r="B206" t="s">
        <v>120</v>
      </c>
      <c r="C206" t="s">
        <v>16</v>
      </c>
      <c r="D206">
        <v>176</v>
      </c>
      <c r="E206" s="4">
        <v>46142</v>
      </c>
      <c r="F206" s="4">
        <v>46157</v>
      </c>
      <c r="G206" s="4"/>
      <c r="I206" t="s">
        <v>428</v>
      </c>
      <c r="K206" t="s">
        <v>1565</v>
      </c>
    </row>
    <row r="207" spans="1:11">
      <c r="A207" t="s">
        <v>429</v>
      </c>
      <c r="B207" t="s">
        <v>22</v>
      </c>
      <c r="C207" t="s">
        <v>12</v>
      </c>
      <c r="D207">
        <v>242</v>
      </c>
      <c r="E207" s="4">
        <v>46080</v>
      </c>
      <c r="F207" s="4">
        <v>46090</v>
      </c>
      <c r="G207" s="4">
        <v>46088</v>
      </c>
      <c r="H207">
        <v>242</v>
      </c>
      <c r="I207" t="s">
        <v>260</v>
      </c>
      <c r="J207">
        <v>2</v>
      </c>
      <c r="K207" t="s">
        <v>1563</v>
      </c>
    </row>
    <row r="208" spans="1:11">
      <c r="A208" t="s">
        <v>431</v>
      </c>
      <c r="B208" t="s">
        <v>100</v>
      </c>
      <c r="C208" t="s">
        <v>16</v>
      </c>
      <c r="D208">
        <v>641</v>
      </c>
      <c r="E208" s="4">
        <v>46073</v>
      </c>
      <c r="F208" s="4">
        <v>46086</v>
      </c>
      <c r="G208" s="4">
        <v>46085</v>
      </c>
      <c r="H208">
        <v>636</v>
      </c>
      <c r="I208" t="s">
        <v>432</v>
      </c>
      <c r="J208">
        <v>4</v>
      </c>
      <c r="K208" t="s">
        <v>1563</v>
      </c>
    </row>
    <row r="209" spans="1:11">
      <c r="A209" t="s">
        <v>433</v>
      </c>
      <c r="B209" t="s">
        <v>19</v>
      </c>
      <c r="C209" t="s">
        <v>12</v>
      </c>
      <c r="D209">
        <v>884</v>
      </c>
      <c r="E209" s="4">
        <v>46123</v>
      </c>
      <c r="F209" s="4">
        <v>46131</v>
      </c>
      <c r="G209" s="4">
        <v>46133</v>
      </c>
      <c r="H209">
        <v>871</v>
      </c>
      <c r="I209" t="s">
        <v>434</v>
      </c>
      <c r="J209">
        <v>49</v>
      </c>
      <c r="K209" t="s">
        <v>1563</v>
      </c>
    </row>
    <row r="210" spans="1:11">
      <c r="A210" t="s">
        <v>435</v>
      </c>
      <c r="B210" t="s">
        <v>46</v>
      </c>
      <c r="C210" t="s">
        <v>23</v>
      </c>
      <c r="D210">
        <v>940</v>
      </c>
      <c r="E210" s="4">
        <v>46069</v>
      </c>
      <c r="F210" s="4">
        <v>46074</v>
      </c>
      <c r="G210" s="4">
        <v>46072</v>
      </c>
      <c r="H210">
        <v>934</v>
      </c>
      <c r="I210" t="s">
        <v>437</v>
      </c>
      <c r="J210">
        <v>43</v>
      </c>
      <c r="K210" t="s">
        <v>1563</v>
      </c>
    </row>
    <row r="211" spans="1:11">
      <c r="A211" t="s">
        <v>438</v>
      </c>
      <c r="B211" t="s">
        <v>26</v>
      </c>
      <c r="C211" t="s">
        <v>12</v>
      </c>
      <c r="D211">
        <v>473</v>
      </c>
      <c r="E211" s="4">
        <v>46119</v>
      </c>
      <c r="F211" s="4">
        <v>46128</v>
      </c>
      <c r="G211" s="4">
        <v>46125</v>
      </c>
      <c r="H211">
        <v>467</v>
      </c>
      <c r="I211" t="s">
        <v>214</v>
      </c>
      <c r="J211">
        <v>5</v>
      </c>
      <c r="K211" t="s">
        <v>1563</v>
      </c>
    </row>
    <row r="212" spans="1:11">
      <c r="A212" t="s">
        <v>439</v>
      </c>
      <c r="B212" t="s">
        <v>81</v>
      </c>
      <c r="C212" t="s">
        <v>23</v>
      </c>
      <c r="D212">
        <v>177</v>
      </c>
      <c r="E212" s="4">
        <v>46064</v>
      </c>
      <c r="F212" s="4">
        <v>46070</v>
      </c>
      <c r="G212" s="4">
        <v>46069</v>
      </c>
      <c r="H212">
        <v>180</v>
      </c>
      <c r="I212" t="s">
        <v>296</v>
      </c>
      <c r="J212">
        <v>1</v>
      </c>
      <c r="K212" t="s">
        <v>1563</v>
      </c>
    </row>
    <row r="213" spans="1:11">
      <c r="A213" t="s">
        <v>440</v>
      </c>
      <c r="B213" t="s">
        <v>120</v>
      </c>
      <c r="C213" t="s">
        <v>12</v>
      </c>
      <c r="D213">
        <v>179</v>
      </c>
      <c r="E213" s="4">
        <v>46115</v>
      </c>
      <c r="F213" s="4">
        <v>46120</v>
      </c>
      <c r="G213" s="4">
        <v>46118</v>
      </c>
      <c r="H213">
        <v>179</v>
      </c>
      <c r="I213" t="s">
        <v>55</v>
      </c>
      <c r="J213">
        <v>9</v>
      </c>
      <c r="K213" t="s">
        <v>1563</v>
      </c>
    </row>
    <row r="214" spans="1:11">
      <c r="A214" t="s">
        <v>441</v>
      </c>
      <c r="B214" t="s">
        <v>19</v>
      </c>
      <c r="C214" t="s">
        <v>12</v>
      </c>
      <c r="D214">
        <v>708</v>
      </c>
      <c r="E214" s="4">
        <v>46148</v>
      </c>
      <c r="F214" s="4">
        <v>46159</v>
      </c>
      <c r="G214" s="4">
        <v>46164</v>
      </c>
      <c r="H214">
        <v>701</v>
      </c>
      <c r="I214" t="s">
        <v>442</v>
      </c>
      <c r="J214">
        <v>29</v>
      </c>
      <c r="K214" t="s">
        <v>1563</v>
      </c>
    </row>
    <row r="215" spans="1:11">
      <c r="A215" t="s">
        <v>443</v>
      </c>
      <c r="B215" t="s">
        <v>177</v>
      </c>
      <c r="C215" t="s">
        <v>12</v>
      </c>
      <c r="D215">
        <v>899</v>
      </c>
      <c r="E215" s="4">
        <v>46031</v>
      </c>
      <c r="F215" s="4">
        <v>46039</v>
      </c>
      <c r="G215" s="4">
        <v>46047</v>
      </c>
      <c r="H215">
        <v>915</v>
      </c>
      <c r="I215" t="s">
        <v>444</v>
      </c>
      <c r="J215">
        <v>26</v>
      </c>
      <c r="K215" t="s">
        <v>1563</v>
      </c>
    </row>
    <row r="216" spans="1:11">
      <c r="A216" t="s">
        <v>445</v>
      </c>
      <c r="B216" t="s">
        <v>52</v>
      </c>
      <c r="C216" t="s">
        <v>16</v>
      </c>
      <c r="D216">
        <v>744</v>
      </c>
      <c r="E216" s="4">
        <v>46032</v>
      </c>
      <c r="F216" s="4">
        <v>46042</v>
      </c>
      <c r="G216" s="4"/>
      <c r="I216" t="s">
        <v>446</v>
      </c>
      <c r="K216" t="s">
        <v>1565</v>
      </c>
    </row>
    <row r="217" spans="1:11">
      <c r="A217" t="s">
        <v>447</v>
      </c>
      <c r="B217" t="s">
        <v>19</v>
      </c>
      <c r="C217" t="s">
        <v>16</v>
      </c>
      <c r="D217">
        <v>252</v>
      </c>
      <c r="E217" s="4">
        <v>46126</v>
      </c>
      <c r="F217" s="4">
        <v>46137</v>
      </c>
      <c r="G217" s="4">
        <v>46146</v>
      </c>
      <c r="H217">
        <v>230</v>
      </c>
      <c r="I217" t="s">
        <v>448</v>
      </c>
      <c r="J217">
        <v>10</v>
      </c>
      <c r="K217" t="s">
        <v>1563</v>
      </c>
    </row>
    <row r="218" spans="1:11">
      <c r="A218" t="s">
        <v>449</v>
      </c>
      <c r="B218" t="s">
        <v>32</v>
      </c>
      <c r="C218" t="s">
        <v>16</v>
      </c>
      <c r="D218">
        <v>787</v>
      </c>
      <c r="E218" s="4">
        <v>46082</v>
      </c>
      <c r="F218" s="4">
        <v>46092</v>
      </c>
      <c r="G218" s="4">
        <v>46091</v>
      </c>
      <c r="H218">
        <v>637</v>
      </c>
      <c r="I218" t="s">
        <v>209</v>
      </c>
      <c r="J218">
        <v>35</v>
      </c>
      <c r="K218" t="s">
        <v>1563</v>
      </c>
    </row>
    <row r="219" spans="1:11">
      <c r="A219" t="s">
        <v>450</v>
      </c>
      <c r="B219" t="s">
        <v>67</v>
      </c>
      <c r="C219" t="s">
        <v>23</v>
      </c>
      <c r="D219">
        <v>532</v>
      </c>
      <c r="E219" s="4">
        <v>46032</v>
      </c>
      <c r="F219" s="4">
        <v>46039</v>
      </c>
      <c r="G219" s="4">
        <v>46036</v>
      </c>
      <c r="H219">
        <v>537</v>
      </c>
      <c r="I219" t="s">
        <v>219</v>
      </c>
      <c r="J219">
        <v>23</v>
      </c>
      <c r="K219" t="s">
        <v>1563</v>
      </c>
    </row>
    <row r="220" spans="1:11">
      <c r="A220" t="s">
        <v>451</v>
      </c>
      <c r="B220" t="s">
        <v>100</v>
      </c>
      <c r="C220" t="s">
        <v>16</v>
      </c>
      <c r="D220">
        <v>445</v>
      </c>
      <c r="E220" s="4">
        <v>46075</v>
      </c>
      <c r="F220" s="4">
        <v>46086</v>
      </c>
      <c r="G220" s="4">
        <v>46086</v>
      </c>
      <c r="H220">
        <v>441</v>
      </c>
      <c r="I220" t="s">
        <v>452</v>
      </c>
      <c r="J220">
        <v>2</v>
      </c>
      <c r="K220" t="s">
        <v>1563</v>
      </c>
    </row>
    <row r="221" spans="1:11">
      <c r="A221" t="s">
        <v>453</v>
      </c>
      <c r="B221" t="s">
        <v>81</v>
      </c>
      <c r="C221" t="s">
        <v>12</v>
      </c>
      <c r="D221">
        <v>927</v>
      </c>
      <c r="E221" s="4">
        <v>46173</v>
      </c>
      <c r="F221" s="4">
        <v>46178</v>
      </c>
      <c r="G221" s="4">
        <v>46185</v>
      </c>
      <c r="H221">
        <v>810</v>
      </c>
      <c r="I221" t="s">
        <v>409</v>
      </c>
      <c r="J221">
        <v>9</v>
      </c>
      <c r="K221" t="s">
        <v>1563</v>
      </c>
    </row>
    <row r="222" spans="1:11">
      <c r="A222" t="s">
        <v>454</v>
      </c>
      <c r="B222" t="s">
        <v>177</v>
      </c>
      <c r="C222" t="s">
        <v>12</v>
      </c>
      <c r="D222">
        <v>967</v>
      </c>
      <c r="E222" s="4">
        <v>46091</v>
      </c>
      <c r="F222" s="4">
        <v>46102</v>
      </c>
      <c r="G222" s="4">
        <v>46102</v>
      </c>
      <c r="H222">
        <v>835</v>
      </c>
      <c r="I222" t="s">
        <v>456</v>
      </c>
      <c r="J222">
        <v>42</v>
      </c>
      <c r="K222" t="s">
        <v>1563</v>
      </c>
    </row>
    <row r="223" spans="1:11">
      <c r="A223" t="s">
        <v>457</v>
      </c>
      <c r="B223" t="s">
        <v>26</v>
      </c>
      <c r="C223" t="s">
        <v>23</v>
      </c>
      <c r="D223">
        <v>476</v>
      </c>
      <c r="E223" s="4">
        <v>46072</v>
      </c>
      <c r="F223" s="4">
        <v>46082</v>
      </c>
      <c r="G223" s="4">
        <v>46083</v>
      </c>
      <c r="H223">
        <v>402</v>
      </c>
      <c r="I223" t="s">
        <v>458</v>
      </c>
      <c r="J223">
        <v>13</v>
      </c>
      <c r="K223" t="s">
        <v>1563</v>
      </c>
    </row>
    <row r="224" spans="1:11">
      <c r="A224" t="s">
        <v>459</v>
      </c>
      <c r="B224" t="s">
        <v>43</v>
      </c>
      <c r="C224" t="s">
        <v>23</v>
      </c>
      <c r="D224">
        <v>255</v>
      </c>
      <c r="E224" s="4">
        <v>46114</v>
      </c>
      <c r="F224" s="4">
        <v>46120</v>
      </c>
      <c r="G224" s="4">
        <v>46123</v>
      </c>
      <c r="H224">
        <v>256</v>
      </c>
      <c r="I224" t="s">
        <v>86</v>
      </c>
      <c r="J224">
        <v>16</v>
      </c>
      <c r="K224" t="s">
        <v>1563</v>
      </c>
    </row>
    <row r="225" spans="1:11">
      <c r="A225" t="s">
        <v>460</v>
      </c>
      <c r="B225" t="s">
        <v>70</v>
      </c>
      <c r="C225" t="s">
        <v>12</v>
      </c>
      <c r="D225">
        <v>490</v>
      </c>
      <c r="E225" s="4">
        <v>46119</v>
      </c>
      <c r="F225" s="4">
        <v>46129</v>
      </c>
      <c r="G225" s="4">
        <v>46132</v>
      </c>
      <c r="H225">
        <v>438</v>
      </c>
      <c r="I225" t="s">
        <v>461</v>
      </c>
      <c r="J225">
        <v>8</v>
      </c>
      <c r="K225" t="s">
        <v>1563</v>
      </c>
    </row>
    <row r="226" spans="1:11">
      <c r="A226" t="s">
        <v>462</v>
      </c>
      <c r="B226" t="s">
        <v>120</v>
      </c>
      <c r="C226" t="s">
        <v>23</v>
      </c>
      <c r="D226">
        <v>561</v>
      </c>
      <c r="E226" s="4">
        <v>46152</v>
      </c>
      <c r="F226" s="4">
        <v>46167</v>
      </c>
      <c r="G226" s="4">
        <v>46165</v>
      </c>
      <c r="H226">
        <v>568</v>
      </c>
      <c r="I226" t="s">
        <v>463</v>
      </c>
      <c r="J226">
        <v>22</v>
      </c>
      <c r="K226" t="s">
        <v>1563</v>
      </c>
    </row>
    <row r="227" spans="1:11">
      <c r="A227" t="s">
        <v>464</v>
      </c>
      <c r="B227" t="s">
        <v>26</v>
      </c>
      <c r="C227" t="s">
        <v>12</v>
      </c>
      <c r="D227">
        <v>220</v>
      </c>
      <c r="E227" s="4">
        <v>46166</v>
      </c>
      <c r="F227" s="4">
        <v>46180</v>
      </c>
      <c r="G227" s="4">
        <v>46178</v>
      </c>
      <c r="H227">
        <v>216</v>
      </c>
      <c r="I227" t="s">
        <v>191</v>
      </c>
      <c r="J227">
        <v>6</v>
      </c>
      <c r="K227" t="s">
        <v>1563</v>
      </c>
    </row>
    <row r="228" spans="1:11">
      <c r="A228" t="s">
        <v>465</v>
      </c>
      <c r="B228" t="s">
        <v>11</v>
      </c>
      <c r="C228" t="s">
        <v>16</v>
      </c>
      <c r="D228">
        <v>744</v>
      </c>
      <c r="E228" s="4">
        <v>46143</v>
      </c>
      <c r="F228" s="4">
        <v>46157</v>
      </c>
      <c r="G228" s="4">
        <v>46155</v>
      </c>
      <c r="H228">
        <v>736</v>
      </c>
      <c r="I228" t="s">
        <v>393</v>
      </c>
      <c r="J228">
        <v>15</v>
      </c>
      <c r="K228" t="s">
        <v>1563</v>
      </c>
    </row>
    <row r="229" spans="1:11">
      <c r="A229" t="s">
        <v>466</v>
      </c>
      <c r="B229" t="s">
        <v>22</v>
      </c>
      <c r="C229" t="s">
        <v>16</v>
      </c>
      <c r="D229">
        <v>112</v>
      </c>
      <c r="E229" s="4">
        <v>46056</v>
      </c>
      <c r="F229" s="4">
        <v>46069</v>
      </c>
      <c r="G229" s="4">
        <v>46075</v>
      </c>
      <c r="H229">
        <v>111</v>
      </c>
      <c r="I229" t="s">
        <v>467</v>
      </c>
      <c r="J229">
        <v>9</v>
      </c>
      <c r="K229" t="s">
        <v>1563</v>
      </c>
    </row>
    <row r="230" spans="1:11">
      <c r="A230" t="s">
        <v>468</v>
      </c>
      <c r="B230" t="s">
        <v>100</v>
      </c>
      <c r="C230" t="s">
        <v>12</v>
      </c>
      <c r="D230">
        <v>673</v>
      </c>
      <c r="E230" s="4">
        <v>46149</v>
      </c>
      <c r="F230" s="4">
        <v>46158</v>
      </c>
      <c r="G230" s="4">
        <v>46158</v>
      </c>
      <c r="H230">
        <v>665</v>
      </c>
      <c r="I230" t="s">
        <v>469</v>
      </c>
      <c r="J230">
        <v>2</v>
      </c>
      <c r="K230" t="s">
        <v>1563</v>
      </c>
    </row>
    <row r="231" spans="1:11">
      <c r="A231" t="s">
        <v>470</v>
      </c>
      <c r="B231" t="s">
        <v>40</v>
      </c>
      <c r="C231" t="s">
        <v>23</v>
      </c>
      <c r="D231">
        <v>510</v>
      </c>
      <c r="E231" s="4">
        <v>46055</v>
      </c>
      <c r="F231" s="4">
        <v>46070</v>
      </c>
      <c r="G231" s="4">
        <v>46071</v>
      </c>
      <c r="H231">
        <v>507</v>
      </c>
      <c r="I231" t="s">
        <v>262</v>
      </c>
      <c r="J231">
        <v>27</v>
      </c>
      <c r="K231" t="s">
        <v>1563</v>
      </c>
    </row>
    <row r="232" spans="1:11">
      <c r="A232" t="s">
        <v>471</v>
      </c>
      <c r="B232" t="s">
        <v>29</v>
      </c>
      <c r="C232" t="s">
        <v>16</v>
      </c>
      <c r="D232">
        <v>533</v>
      </c>
      <c r="E232" s="4">
        <v>46054</v>
      </c>
      <c r="F232" s="4">
        <v>46064</v>
      </c>
      <c r="G232" s="4">
        <v>46071</v>
      </c>
      <c r="H232">
        <v>430</v>
      </c>
      <c r="I232" t="s">
        <v>472</v>
      </c>
      <c r="J232">
        <v>1</v>
      </c>
      <c r="K232" t="s">
        <v>1563</v>
      </c>
    </row>
    <row r="233" spans="1:11">
      <c r="A233" t="s">
        <v>473</v>
      </c>
      <c r="B233" t="s">
        <v>32</v>
      </c>
      <c r="C233" t="s">
        <v>12</v>
      </c>
      <c r="D233">
        <v>926</v>
      </c>
      <c r="E233" s="4">
        <v>46085</v>
      </c>
      <c r="F233" s="4">
        <v>46100</v>
      </c>
      <c r="G233" s="4">
        <v>46098</v>
      </c>
      <c r="H233">
        <v>790</v>
      </c>
      <c r="I233" t="s">
        <v>376</v>
      </c>
      <c r="J233">
        <v>32</v>
      </c>
      <c r="K233" t="s">
        <v>1563</v>
      </c>
    </row>
    <row r="234" spans="1:11">
      <c r="A234" t="s">
        <v>475</v>
      </c>
      <c r="B234" t="s">
        <v>81</v>
      </c>
      <c r="C234" t="s">
        <v>12</v>
      </c>
      <c r="D234">
        <v>831</v>
      </c>
      <c r="E234" s="4">
        <v>46149</v>
      </c>
      <c r="F234" s="4">
        <v>46154</v>
      </c>
      <c r="G234" s="4">
        <v>46160</v>
      </c>
      <c r="H234">
        <v>803</v>
      </c>
      <c r="I234" t="s">
        <v>1564</v>
      </c>
      <c r="J234">
        <v>12</v>
      </c>
      <c r="K234" t="s">
        <v>1563</v>
      </c>
    </row>
    <row r="235" spans="1:11">
      <c r="A235" t="s">
        <v>477</v>
      </c>
      <c r="B235" t="s">
        <v>52</v>
      </c>
      <c r="C235" t="s">
        <v>12</v>
      </c>
      <c r="D235">
        <v>559</v>
      </c>
      <c r="E235" s="4">
        <v>46068</v>
      </c>
      <c r="F235" s="4">
        <v>46077</v>
      </c>
      <c r="G235" s="4">
        <v>46076</v>
      </c>
      <c r="H235">
        <v>550</v>
      </c>
      <c r="I235" t="s">
        <v>478</v>
      </c>
      <c r="J235">
        <v>7</v>
      </c>
      <c r="K235" t="s">
        <v>1563</v>
      </c>
    </row>
    <row r="236" spans="1:11">
      <c r="A236" t="s">
        <v>479</v>
      </c>
      <c r="B236" t="s">
        <v>19</v>
      </c>
      <c r="C236" t="s">
        <v>16</v>
      </c>
      <c r="D236">
        <v>901</v>
      </c>
      <c r="E236" s="4">
        <v>46054</v>
      </c>
      <c r="F236" s="4">
        <v>46066</v>
      </c>
      <c r="G236" s="4">
        <v>46066</v>
      </c>
      <c r="H236">
        <v>727</v>
      </c>
      <c r="I236" t="s">
        <v>381</v>
      </c>
      <c r="J236">
        <v>28</v>
      </c>
      <c r="K236" t="s">
        <v>1563</v>
      </c>
    </row>
    <row r="237" spans="1:11">
      <c r="A237" t="s">
        <v>480</v>
      </c>
      <c r="B237" t="s">
        <v>29</v>
      </c>
      <c r="C237" t="s">
        <v>12</v>
      </c>
      <c r="D237">
        <v>325</v>
      </c>
      <c r="E237" s="4">
        <v>46096</v>
      </c>
      <c r="F237" s="4">
        <v>46106</v>
      </c>
      <c r="G237" s="4">
        <v>46105</v>
      </c>
      <c r="H237">
        <v>327</v>
      </c>
      <c r="I237" t="s">
        <v>136</v>
      </c>
      <c r="J237">
        <v>4</v>
      </c>
      <c r="K237" t="s">
        <v>1563</v>
      </c>
    </row>
    <row r="238" spans="1:11">
      <c r="A238" t="s">
        <v>481</v>
      </c>
      <c r="B238" t="s">
        <v>22</v>
      </c>
      <c r="C238" t="s">
        <v>16</v>
      </c>
      <c r="D238">
        <v>960</v>
      </c>
      <c r="E238" s="4">
        <v>46065</v>
      </c>
      <c r="F238" s="4">
        <v>46070</v>
      </c>
      <c r="G238" s="4">
        <v>46068</v>
      </c>
      <c r="H238">
        <v>950</v>
      </c>
      <c r="I238" t="s">
        <v>414</v>
      </c>
      <c r="J238">
        <v>33</v>
      </c>
      <c r="K238" t="s">
        <v>1563</v>
      </c>
    </row>
    <row r="239" spans="1:11">
      <c r="A239" t="s">
        <v>482</v>
      </c>
      <c r="B239" t="s">
        <v>19</v>
      </c>
      <c r="C239" t="s">
        <v>12</v>
      </c>
      <c r="D239">
        <v>288</v>
      </c>
      <c r="E239" s="4">
        <v>46080</v>
      </c>
      <c r="F239" s="4">
        <v>46086</v>
      </c>
      <c r="G239" s="4">
        <v>46083</v>
      </c>
      <c r="H239">
        <v>287</v>
      </c>
      <c r="I239" t="s">
        <v>339</v>
      </c>
      <c r="J239">
        <v>7</v>
      </c>
      <c r="K239" t="s">
        <v>1563</v>
      </c>
    </row>
    <row r="240" spans="1:11">
      <c r="A240" t="s">
        <v>483</v>
      </c>
      <c r="B240" t="s">
        <v>81</v>
      </c>
      <c r="C240" t="s">
        <v>16</v>
      </c>
      <c r="D240">
        <v>272</v>
      </c>
      <c r="E240" s="4">
        <v>46109</v>
      </c>
      <c r="F240" s="4">
        <v>46118</v>
      </c>
      <c r="G240" s="4">
        <v>46124</v>
      </c>
      <c r="H240">
        <v>262</v>
      </c>
      <c r="I240" t="s">
        <v>484</v>
      </c>
      <c r="J240">
        <v>3</v>
      </c>
      <c r="K240" t="s">
        <v>1563</v>
      </c>
    </row>
    <row r="241" spans="1:11">
      <c r="A241" t="s">
        <v>485</v>
      </c>
      <c r="B241" t="s">
        <v>177</v>
      </c>
      <c r="C241" t="s">
        <v>12</v>
      </c>
      <c r="D241">
        <v>732</v>
      </c>
      <c r="E241" s="4">
        <v>46160</v>
      </c>
      <c r="F241" s="4">
        <v>46173</v>
      </c>
      <c r="G241" s="4">
        <v>46173</v>
      </c>
      <c r="H241">
        <v>732</v>
      </c>
      <c r="I241" t="s">
        <v>486</v>
      </c>
      <c r="J241">
        <v>9</v>
      </c>
      <c r="K241" t="s">
        <v>1563</v>
      </c>
    </row>
    <row r="242" spans="1:11">
      <c r="A242" t="s">
        <v>487</v>
      </c>
      <c r="B242" t="s">
        <v>46</v>
      </c>
      <c r="C242" t="s">
        <v>23</v>
      </c>
      <c r="D242">
        <v>795</v>
      </c>
      <c r="E242" s="4">
        <v>46157</v>
      </c>
      <c r="F242" s="4">
        <v>46168</v>
      </c>
      <c r="G242" s="4">
        <v>46174</v>
      </c>
      <c r="H242">
        <v>784</v>
      </c>
      <c r="I242" t="s">
        <v>488</v>
      </c>
      <c r="J242">
        <v>72</v>
      </c>
      <c r="K242" t="s">
        <v>1563</v>
      </c>
    </row>
    <row r="243" spans="1:11">
      <c r="A243" t="s">
        <v>489</v>
      </c>
      <c r="B243" t="s">
        <v>49</v>
      </c>
      <c r="C243" t="s">
        <v>16</v>
      </c>
      <c r="D243">
        <v>438</v>
      </c>
      <c r="E243" s="4">
        <v>46167</v>
      </c>
      <c r="F243" s="4">
        <v>46173</v>
      </c>
      <c r="G243" s="4"/>
      <c r="I243" t="s">
        <v>490</v>
      </c>
      <c r="K243" t="s">
        <v>1565</v>
      </c>
    </row>
    <row r="244" spans="1:11">
      <c r="A244" t="s">
        <v>491</v>
      </c>
      <c r="B244" t="s">
        <v>67</v>
      </c>
      <c r="C244" t="s">
        <v>16</v>
      </c>
      <c r="D244">
        <v>867</v>
      </c>
      <c r="E244" s="4">
        <v>46034</v>
      </c>
      <c r="F244" s="4">
        <v>46049</v>
      </c>
      <c r="G244" s="4">
        <v>46056</v>
      </c>
      <c r="H244">
        <v>841</v>
      </c>
      <c r="I244" t="s">
        <v>426</v>
      </c>
      <c r="J244">
        <v>30</v>
      </c>
      <c r="K244" t="s">
        <v>1563</v>
      </c>
    </row>
    <row r="245" spans="1:11">
      <c r="A245" t="s">
        <v>492</v>
      </c>
      <c r="B245" t="s">
        <v>54</v>
      </c>
      <c r="C245" t="s">
        <v>12</v>
      </c>
      <c r="D245">
        <v>357</v>
      </c>
      <c r="E245" s="4">
        <v>46105</v>
      </c>
      <c r="F245" s="4">
        <v>46114</v>
      </c>
      <c r="G245" s="4">
        <v>46114</v>
      </c>
      <c r="H245">
        <v>363</v>
      </c>
      <c r="I245" t="s">
        <v>493</v>
      </c>
      <c r="J245">
        <v>1</v>
      </c>
      <c r="K245" t="s">
        <v>1563</v>
      </c>
    </row>
    <row r="246" spans="1:11">
      <c r="A246" t="s">
        <v>494</v>
      </c>
      <c r="B246" t="s">
        <v>70</v>
      </c>
      <c r="C246" t="s">
        <v>23</v>
      </c>
      <c r="D246">
        <v>728</v>
      </c>
      <c r="E246" s="4">
        <v>46147</v>
      </c>
      <c r="F246" s="4">
        <v>46159</v>
      </c>
      <c r="G246" s="4">
        <v>46160</v>
      </c>
      <c r="H246">
        <v>742</v>
      </c>
      <c r="I246" t="s">
        <v>495</v>
      </c>
      <c r="J246">
        <v>4</v>
      </c>
      <c r="K246" t="s">
        <v>1563</v>
      </c>
    </row>
    <row r="247" spans="1:11">
      <c r="A247" t="s">
        <v>496</v>
      </c>
      <c r="B247" t="s">
        <v>32</v>
      </c>
      <c r="C247" t="s">
        <v>12</v>
      </c>
      <c r="D247">
        <v>742</v>
      </c>
      <c r="E247" s="4">
        <v>46111</v>
      </c>
      <c r="F247" s="4">
        <v>46124</v>
      </c>
      <c r="G247" s="4">
        <v>46129</v>
      </c>
      <c r="H247">
        <v>661</v>
      </c>
      <c r="I247" t="s">
        <v>486</v>
      </c>
      <c r="J247">
        <v>22</v>
      </c>
      <c r="K247" t="s">
        <v>1563</v>
      </c>
    </row>
    <row r="248" spans="1:11">
      <c r="A248" t="s">
        <v>497</v>
      </c>
      <c r="B248" t="s">
        <v>11</v>
      </c>
      <c r="C248" t="s">
        <v>16</v>
      </c>
      <c r="D248">
        <v>336</v>
      </c>
      <c r="E248" s="4">
        <v>46172</v>
      </c>
      <c r="F248" s="4">
        <v>46182</v>
      </c>
      <c r="G248" s="4">
        <v>46181</v>
      </c>
      <c r="H248">
        <v>333</v>
      </c>
      <c r="I248" t="s">
        <v>298</v>
      </c>
      <c r="J248">
        <v>3</v>
      </c>
      <c r="K248" t="s">
        <v>1563</v>
      </c>
    </row>
    <row r="249" spans="1:11">
      <c r="A249" t="s">
        <v>498</v>
      </c>
      <c r="B249" t="s">
        <v>32</v>
      </c>
      <c r="C249" t="s">
        <v>12</v>
      </c>
      <c r="D249">
        <v>719</v>
      </c>
      <c r="E249" s="4">
        <v>46129</v>
      </c>
      <c r="F249" s="4">
        <v>46143</v>
      </c>
      <c r="G249" s="4">
        <v>46151</v>
      </c>
      <c r="H249">
        <v>730</v>
      </c>
      <c r="I249" t="s">
        <v>499</v>
      </c>
      <c r="J249">
        <v>41</v>
      </c>
      <c r="K249" t="s">
        <v>1563</v>
      </c>
    </row>
    <row r="250" spans="1:11">
      <c r="A250" t="s">
        <v>500</v>
      </c>
      <c r="B250" t="s">
        <v>67</v>
      </c>
      <c r="C250" t="s">
        <v>16</v>
      </c>
      <c r="D250">
        <v>315</v>
      </c>
      <c r="E250" s="4">
        <v>46072</v>
      </c>
      <c r="F250" s="4">
        <v>46084</v>
      </c>
      <c r="G250" s="4">
        <v>46082</v>
      </c>
      <c r="H250">
        <v>320</v>
      </c>
      <c r="I250" t="s">
        <v>17</v>
      </c>
      <c r="J250">
        <v>18</v>
      </c>
      <c r="K250" t="s">
        <v>1563</v>
      </c>
    </row>
    <row r="251" spans="1:11">
      <c r="A251" t="s">
        <v>501</v>
      </c>
      <c r="B251" t="s">
        <v>19</v>
      </c>
      <c r="C251" t="s">
        <v>16</v>
      </c>
      <c r="D251">
        <v>801</v>
      </c>
      <c r="E251" s="4">
        <v>46048</v>
      </c>
      <c r="F251" s="4">
        <v>46053</v>
      </c>
      <c r="G251" s="4">
        <v>46051</v>
      </c>
      <c r="H251">
        <v>804</v>
      </c>
      <c r="I251" t="s">
        <v>294</v>
      </c>
      <c r="J251">
        <v>27</v>
      </c>
      <c r="K251" t="s">
        <v>1563</v>
      </c>
    </row>
    <row r="252" spans="1:11">
      <c r="A252" t="s">
        <v>502</v>
      </c>
      <c r="B252" t="s">
        <v>43</v>
      </c>
      <c r="C252" t="s">
        <v>12</v>
      </c>
      <c r="D252">
        <v>517</v>
      </c>
      <c r="E252" s="4">
        <v>46175</v>
      </c>
      <c r="F252" s="4">
        <v>46181</v>
      </c>
      <c r="G252" s="4">
        <v>46179</v>
      </c>
      <c r="H252">
        <v>515</v>
      </c>
      <c r="I252" t="s">
        <v>503</v>
      </c>
      <c r="J252">
        <v>31</v>
      </c>
      <c r="K252" t="s">
        <v>1563</v>
      </c>
    </row>
    <row r="253" spans="1:11">
      <c r="A253" t="s">
        <v>504</v>
      </c>
      <c r="B253" t="s">
        <v>26</v>
      </c>
      <c r="C253" t="s">
        <v>12</v>
      </c>
      <c r="D253">
        <v>87</v>
      </c>
      <c r="E253" s="4">
        <v>46110</v>
      </c>
      <c r="F253" s="4">
        <v>46120</v>
      </c>
      <c r="G253" s="4">
        <v>46119</v>
      </c>
      <c r="H253">
        <v>81</v>
      </c>
      <c r="I253" t="s">
        <v>505</v>
      </c>
      <c r="J253">
        <v>2</v>
      </c>
      <c r="K253" t="s">
        <v>1563</v>
      </c>
    </row>
    <row r="254" spans="1:11">
      <c r="A254" t="s">
        <v>506</v>
      </c>
      <c r="B254" t="s">
        <v>49</v>
      </c>
      <c r="C254" t="s">
        <v>23</v>
      </c>
      <c r="D254">
        <v>800</v>
      </c>
      <c r="E254" s="4">
        <v>46161</v>
      </c>
      <c r="F254" s="4">
        <v>46172</v>
      </c>
      <c r="G254" s="4">
        <v>46174</v>
      </c>
      <c r="H254">
        <v>797</v>
      </c>
      <c r="I254" t="s">
        <v>507</v>
      </c>
      <c r="J254">
        <v>1</v>
      </c>
      <c r="K254" t="s">
        <v>1563</v>
      </c>
    </row>
    <row r="255" spans="1:11">
      <c r="A255" t="s">
        <v>508</v>
      </c>
      <c r="B255" t="s">
        <v>40</v>
      </c>
      <c r="C255" t="s">
        <v>23</v>
      </c>
      <c r="D255">
        <v>390</v>
      </c>
      <c r="E255" s="4">
        <v>46073</v>
      </c>
      <c r="F255" s="4">
        <v>46086</v>
      </c>
      <c r="G255" s="4">
        <v>46084</v>
      </c>
      <c r="H255">
        <v>395</v>
      </c>
      <c r="I255" t="s">
        <v>509</v>
      </c>
      <c r="J255">
        <v>0</v>
      </c>
      <c r="K255" t="s">
        <v>1563</v>
      </c>
    </row>
    <row r="256" spans="1:11">
      <c r="A256" t="s">
        <v>510</v>
      </c>
      <c r="B256" t="s">
        <v>40</v>
      </c>
      <c r="C256" t="s">
        <v>23</v>
      </c>
      <c r="D256">
        <v>520</v>
      </c>
      <c r="E256" s="4">
        <v>46154</v>
      </c>
      <c r="F256" s="4">
        <v>46161</v>
      </c>
      <c r="G256" s="4">
        <v>46160</v>
      </c>
      <c r="H256">
        <v>519</v>
      </c>
      <c r="I256" t="s">
        <v>47</v>
      </c>
      <c r="J256">
        <v>31</v>
      </c>
      <c r="K256" t="s">
        <v>1563</v>
      </c>
    </row>
    <row r="257" spans="1:11">
      <c r="A257" t="s">
        <v>511</v>
      </c>
      <c r="B257" t="s">
        <v>81</v>
      </c>
      <c r="C257" t="s">
        <v>23</v>
      </c>
      <c r="D257">
        <v>98</v>
      </c>
      <c r="E257" s="4">
        <v>46160</v>
      </c>
      <c r="F257" s="4">
        <v>46172</v>
      </c>
      <c r="G257" s="4">
        <v>46171</v>
      </c>
      <c r="H257">
        <v>99</v>
      </c>
      <c r="I257" t="s">
        <v>512</v>
      </c>
      <c r="J257">
        <v>1</v>
      </c>
      <c r="K257" t="s">
        <v>1563</v>
      </c>
    </row>
    <row r="258" spans="1:11">
      <c r="A258" t="s">
        <v>513</v>
      </c>
      <c r="B258" t="s">
        <v>177</v>
      </c>
      <c r="C258" t="s">
        <v>12</v>
      </c>
      <c r="D258">
        <v>831</v>
      </c>
      <c r="E258" s="4">
        <v>46152</v>
      </c>
      <c r="F258" s="4">
        <v>46167</v>
      </c>
      <c r="G258" s="4">
        <v>46167</v>
      </c>
      <c r="H258">
        <v>837</v>
      </c>
      <c r="I258" t="s">
        <v>336</v>
      </c>
      <c r="J258">
        <v>40</v>
      </c>
      <c r="K258" t="s">
        <v>1563</v>
      </c>
    </row>
    <row r="259" spans="1:11">
      <c r="A259" t="s">
        <v>514</v>
      </c>
      <c r="B259" t="s">
        <v>32</v>
      </c>
      <c r="C259" t="s">
        <v>16</v>
      </c>
      <c r="D259">
        <v>638</v>
      </c>
      <c r="E259" s="4">
        <v>46151</v>
      </c>
      <c r="F259" s="4">
        <v>46165</v>
      </c>
      <c r="G259" s="4">
        <v>46162</v>
      </c>
      <c r="H259">
        <v>571</v>
      </c>
      <c r="I259" t="s">
        <v>452</v>
      </c>
      <c r="J259">
        <v>5</v>
      </c>
      <c r="K259" t="s">
        <v>1563</v>
      </c>
    </row>
    <row r="260" spans="1:11">
      <c r="A260" t="s">
        <v>515</v>
      </c>
      <c r="B260" t="s">
        <v>64</v>
      </c>
      <c r="C260" t="s">
        <v>23</v>
      </c>
      <c r="D260">
        <v>331</v>
      </c>
      <c r="E260" s="4">
        <v>46094</v>
      </c>
      <c r="F260" s="4">
        <v>46101</v>
      </c>
      <c r="G260" s="4">
        <v>46101</v>
      </c>
      <c r="H260">
        <v>331</v>
      </c>
      <c r="I260" t="s">
        <v>516</v>
      </c>
      <c r="J260">
        <v>6</v>
      </c>
      <c r="K260" t="s">
        <v>1563</v>
      </c>
    </row>
    <row r="261" spans="1:11">
      <c r="A261" t="s">
        <v>517</v>
      </c>
      <c r="B261" t="s">
        <v>26</v>
      </c>
      <c r="C261" t="s">
        <v>23</v>
      </c>
      <c r="D261">
        <v>566</v>
      </c>
      <c r="E261" s="4">
        <v>46106</v>
      </c>
      <c r="F261" s="4">
        <v>46118</v>
      </c>
      <c r="G261" s="4">
        <v>46116</v>
      </c>
      <c r="H261">
        <v>555</v>
      </c>
      <c r="I261" t="s">
        <v>296</v>
      </c>
      <c r="J261">
        <v>2</v>
      </c>
      <c r="K261" t="s">
        <v>1563</v>
      </c>
    </row>
    <row r="262" spans="1:11">
      <c r="A262" t="s">
        <v>518</v>
      </c>
      <c r="B262" t="s">
        <v>35</v>
      </c>
      <c r="C262" t="s">
        <v>12</v>
      </c>
      <c r="D262">
        <v>502</v>
      </c>
      <c r="E262" s="4">
        <v>46050</v>
      </c>
      <c r="F262" s="4">
        <v>46058</v>
      </c>
      <c r="G262" s="4">
        <v>46055</v>
      </c>
      <c r="H262">
        <v>404</v>
      </c>
      <c r="I262" t="s">
        <v>136</v>
      </c>
      <c r="J262">
        <v>18</v>
      </c>
      <c r="K262" t="s">
        <v>1563</v>
      </c>
    </row>
    <row r="263" spans="1:11">
      <c r="A263" t="s">
        <v>519</v>
      </c>
      <c r="B263" t="s">
        <v>26</v>
      </c>
      <c r="C263" t="s">
        <v>12</v>
      </c>
      <c r="D263">
        <v>810</v>
      </c>
      <c r="E263" s="4">
        <v>46084</v>
      </c>
      <c r="F263" s="4">
        <v>46096</v>
      </c>
      <c r="G263" s="4">
        <v>46104</v>
      </c>
      <c r="H263">
        <v>681</v>
      </c>
      <c r="I263" t="s">
        <v>520</v>
      </c>
      <c r="J263">
        <v>21</v>
      </c>
      <c r="K263" t="s">
        <v>1563</v>
      </c>
    </row>
    <row r="264" spans="1:11">
      <c r="A264" t="s">
        <v>521</v>
      </c>
      <c r="B264" t="s">
        <v>11</v>
      </c>
      <c r="C264" t="s">
        <v>16</v>
      </c>
      <c r="D264">
        <v>896</v>
      </c>
      <c r="E264" s="4">
        <v>46165</v>
      </c>
      <c r="F264" s="4">
        <v>46177</v>
      </c>
      <c r="G264" s="4">
        <v>46175</v>
      </c>
      <c r="H264">
        <v>912</v>
      </c>
      <c r="I264" t="s">
        <v>125</v>
      </c>
      <c r="J264">
        <v>10</v>
      </c>
      <c r="K264" t="s">
        <v>1563</v>
      </c>
    </row>
    <row r="265" spans="1:11">
      <c r="A265" t="s">
        <v>522</v>
      </c>
      <c r="B265" t="s">
        <v>64</v>
      </c>
      <c r="C265" t="s">
        <v>16</v>
      </c>
      <c r="D265">
        <v>363</v>
      </c>
      <c r="E265" s="4">
        <v>46144</v>
      </c>
      <c r="F265" s="4">
        <v>46152</v>
      </c>
      <c r="G265" s="4">
        <v>46157</v>
      </c>
      <c r="H265">
        <v>323</v>
      </c>
      <c r="I265" t="s">
        <v>181</v>
      </c>
      <c r="J265">
        <v>21</v>
      </c>
      <c r="K265" t="s">
        <v>1563</v>
      </c>
    </row>
    <row r="266" spans="1:11">
      <c r="A266" t="s">
        <v>523</v>
      </c>
      <c r="B266" t="s">
        <v>67</v>
      </c>
      <c r="C266" t="s">
        <v>12</v>
      </c>
      <c r="D266">
        <v>258</v>
      </c>
      <c r="E266" s="4">
        <v>46099</v>
      </c>
      <c r="F266" s="4">
        <v>46106</v>
      </c>
      <c r="G266" s="4">
        <v>46107</v>
      </c>
      <c r="H266">
        <v>263</v>
      </c>
      <c r="I266" t="s">
        <v>524</v>
      </c>
      <c r="J266">
        <v>7</v>
      </c>
      <c r="K266" t="s">
        <v>1563</v>
      </c>
    </row>
    <row r="267" spans="1:11">
      <c r="A267" t="s">
        <v>525</v>
      </c>
      <c r="B267" t="s">
        <v>120</v>
      </c>
      <c r="C267" t="s">
        <v>23</v>
      </c>
      <c r="D267">
        <v>990</v>
      </c>
      <c r="E267" s="4">
        <v>46128</v>
      </c>
      <c r="F267" s="4">
        <v>46141</v>
      </c>
      <c r="G267" s="4">
        <v>46140</v>
      </c>
      <c r="H267">
        <v>979</v>
      </c>
      <c r="I267" t="s">
        <v>142</v>
      </c>
      <c r="J267">
        <v>17</v>
      </c>
      <c r="K267" t="s">
        <v>1563</v>
      </c>
    </row>
    <row r="268" spans="1:11">
      <c r="A268" t="s">
        <v>526</v>
      </c>
      <c r="B268" t="s">
        <v>46</v>
      </c>
      <c r="C268" t="s">
        <v>16</v>
      </c>
      <c r="D268">
        <v>629</v>
      </c>
      <c r="E268" s="4">
        <v>46054</v>
      </c>
      <c r="F268" s="4">
        <v>46060</v>
      </c>
      <c r="G268" s="4">
        <v>46059</v>
      </c>
      <c r="H268">
        <v>625</v>
      </c>
      <c r="I268" t="s">
        <v>448</v>
      </c>
      <c r="J268">
        <v>55</v>
      </c>
      <c r="K268" t="s">
        <v>1563</v>
      </c>
    </row>
    <row r="269" spans="1:11">
      <c r="A269" t="s">
        <v>527</v>
      </c>
      <c r="B269" t="s">
        <v>70</v>
      </c>
      <c r="C269" t="s">
        <v>16</v>
      </c>
      <c r="D269">
        <v>157</v>
      </c>
      <c r="E269" s="4">
        <v>46171</v>
      </c>
      <c r="F269" s="4">
        <v>46180</v>
      </c>
      <c r="G269" s="4">
        <v>46181</v>
      </c>
      <c r="H269">
        <v>158</v>
      </c>
      <c r="I269" t="s">
        <v>529</v>
      </c>
      <c r="J269">
        <v>1</v>
      </c>
      <c r="K269" t="s">
        <v>1563</v>
      </c>
    </row>
    <row r="270" spans="1:11">
      <c r="A270" t="s">
        <v>530</v>
      </c>
      <c r="B270" t="s">
        <v>67</v>
      </c>
      <c r="C270" t="s">
        <v>12</v>
      </c>
      <c r="D270">
        <v>596</v>
      </c>
      <c r="E270" s="4">
        <v>46103</v>
      </c>
      <c r="F270" s="4">
        <v>46108</v>
      </c>
      <c r="G270" s="4">
        <v>46107</v>
      </c>
      <c r="H270">
        <v>601</v>
      </c>
      <c r="I270" t="s">
        <v>531</v>
      </c>
      <c r="J270">
        <v>27</v>
      </c>
      <c r="K270" t="s">
        <v>1563</v>
      </c>
    </row>
    <row r="271" spans="1:11">
      <c r="A271" t="s">
        <v>532</v>
      </c>
      <c r="B271" t="s">
        <v>177</v>
      </c>
      <c r="C271" t="s">
        <v>12</v>
      </c>
      <c r="D271">
        <v>665</v>
      </c>
      <c r="E271" s="4">
        <v>46161</v>
      </c>
      <c r="F271" s="4">
        <v>46171</v>
      </c>
      <c r="G271" s="4">
        <v>46170</v>
      </c>
      <c r="H271">
        <v>664</v>
      </c>
      <c r="I271" t="s">
        <v>533</v>
      </c>
      <c r="J271">
        <v>36</v>
      </c>
      <c r="K271" t="s">
        <v>1563</v>
      </c>
    </row>
    <row r="272" spans="1:11">
      <c r="A272" t="s">
        <v>534</v>
      </c>
      <c r="B272" t="s">
        <v>26</v>
      </c>
      <c r="C272" t="s">
        <v>23</v>
      </c>
      <c r="D272">
        <v>569</v>
      </c>
      <c r="E272" s="4">
        <v>46153</v>
      </c>
      <c r="F272" s="4">
        <v>46168</v>
      </c>
      <c r="G272" s="4">
        <v>46165</v>
      </c>
      <c r="H272">
        <v>561</v>
      </c>
      <c r="I272" t="s">
        <v>535</v>
      </c>
      <c r="J272">
        <v>13</v>
      </c>
      <c r="K272" t="s">
        <v>1563</v>
      </c>
    </row>
    <row r="273" spans="1:11">
      <c r="A273" t="s">
        <v>536</v>
      </c>
      <c r="B273" t="s">
        <v>52</v>
      </c>
      <c r="C273" t="s">
        <v>12</v>
      </c>
      <c r="D273">
        <v>454</v>
      </c>
      <c r="E273" s="4">
        <v>46102</v>
      </c>
      <c r="F273" s="4">
        <v>46114</v>
      </c>
      <c r="G273" s="4">
        <v>46111</v>
      </c>
      <c r="H273">
        <v>448</v>
      </c>
      <c r="I273" t="s">
        <v>38</v>
      </c>
      <c r="J273">
        <v>0</v>
      </c>
      <c r="K273" t="s">
        <v>1563</v>
      </c>
    </row>
    <row r="274" spans="1:11">
      <c r="A274" t="s">
        <v>537</v>
      </c>
      <c r="B274" t="s">
        <v>177</v>
      </c>
      <c r="C274" t="s">
        <v>12</v>
      </c>
      <c r="D274">
        <v>125</v>
      </c>
      <c r="E274" s="4">
        <v>46143</v>
      </c>
      <c r="F274" s="4">
        <v>46152</v>
      </c>
      <c r="G274" s="4">
        <v>46152</v>
      </c>
      <c r="H274">
        <v>116</v>
      </c>
      <c r="I274" t="s">
        <v>538</v>
      </c>
      <c r="J274">
        <v>4</v>
      </c>
      <c r="K274" t="s">
        <v>1563</v>
      </c>
    </row>
    <row r="275" spans="1:11">
      <c r="A275" t="s">
        <v>539</v>
      </c>
      <c r="B275" t="s">
        <v>120</v>
      </c>
      <c r="C275" t="s">
        <v>12</v>
      </c>
      <c r="D275">
        <v>789</v>
      </c>
      <c r="E275" s="4">
        <v>46120</v>
      </c>
      <c r="F275" s="4">
        <v>46130</v>
      </c>
      <c r="G275" s="4">
        <v>46127</v>
      </c>
      <c r="H275">
        <v>775</v>
      </c>
      <c r="I275" t="s">
        <v>540</v>
      </c>
      <c r="J275">
        <v>42</v>
      </c>
      <c r="K275" t="s">
        <v>1563</v>
      </c>
    </row>
    <row r="276" spans="1:11">
      <c r="A276" t="s">
        <v>541</v>
      </c>
      <c r="B276" t="s">
        <v>19</v>
      </c>
      <c r="C276" t="s">
        <v>12</v>
      </c>
      <c r="D276">
        <v>991</v>
      </c>
      <c r="E276" s="4">
        <v>46058</v>
      </c>
      <c r="F276" s="4">
        <v>46072</v>
      </c>
      <c r="G276" s="4">
        <v>46069</v>
      </c>
      <c r="H276">
        <v>1005</v>
      </c>
      <c r="I276" t="s">
        <v>543</v>
      </c>
      <c r="J276">
        <v>22</v>
      </c>
      <c r="K276" t="s">
        <v>1563</v>
      </c>
    </row>
    <row r="277" spans="1:11">
      <c r="A277" t="s">
        <v>544</v>
      </c>
      <c r="B277" t="s">
        <v>40</v>
      </c>
      <c r="C277" t="s">
        <v>23</v>
      </c>
      <c r="D277">
        <v>834</v>
      </c>
      <c r="E277" s="4">
        <v>46032</v>
      </c>
      <c r="F277" s="4">
        <v>46043</v>
      </c>
      <c r="G277" s="4"/>
      <c r="I277" t="s">
        <v>545</v>
      </c>
      <c r="K277" t="s">
        <v>1565</v>
      </c>
    </row>
    <row r="278" spans="1:11">
      <c r="A278" t="s">
        <v>546</v>
      </c>
      <c r="B278" t="s">
        <v>52</v>
      </c>
      <c r="C278" t="s">
        <v>12</v>
      </c>
      <c r="D278">
        <v>597</v>
      </c>
      <c r="E278" s="4">
        <v>46175</v>
      </c>
      <c r="F278" s="4">
        <v>46186</v>
      </c>
      <c r="G278" s="4">
        <v>46183</v>
      </c>
      <c r="H278">
        <v>609</v>
      </c>
      <c r="I278" t="s">
        <v>547</v>
      </c>
      <c r="J278">
        <v>9</v>
      </c>
      <c r="K278" t="s">
        <v>1563</v>
      </c>
    </row>
    <row r="279" spans="1:11">
      <c r="A279" t="s">
        <v>548</v>
      </c>
      <c r="B279" t="s">
        <v>64</v>
      </c>
      <c r="C279" t="s">
        <v>23</v>
      </c>
      <c r="D279">
        <v>741</v>
      </c>
      <c r="E279" s="4">
        <v>46175</v>
      </c>
      <c r="F279" s="4">
        <v>46180</v>
      </c>
      <c r="G279" s="4">
        <v>46183</v>
      </c>
      <c r="H279">
        <v>742</v>
      </c>
      <c r="I279" t="s">
        <v>549</v>
      </c>
      <c r="J279">
        <v>14</v>
      </c>
      <c r="K279" t="s">
        <v>1563</v>
      </c>
    </row>
    <row r="280" spans="1:11">
      <c r="A280" t="s">
        <v>550</v>
      </c>
      <c r="B280" t="s">
        <v>54</v>
      </c>
      <c r="C280" t="s">
        <v>12</v>
      </c>
      <c r="D280">
        <v>567</v>
      </c>
      <c r="E280" s="4">
        <v>46141</v>
      </c>
      <c r="F280" s="4">
        <v>46149</v>
      </c>
      <c r="G280" s="4">
        <v>46146</v>
      </c>
      <c r="H280">
        <v>556</v>
      </c>
      <c r="I280" t="s">
        <v>421</v>
      </c>
      <c r="J280">
        <v>9</v>
      </c>
      <c r="K280" t="s">
        <v>1563</v>
      </c>
    </row>
    <row r="281" spans="1:11">
      <c r="A281" t="s">
        <v>551</v>
      </c>
      <c r="B281" t="s">
        <v>46</v>
      </c>
      <c r="C281" t="s">
        <v>23</v>
      </c>
      <c r="D281">
        <v>973</v>
      </c>
      <c r="E281" s="4">
        <v>46039</v>
      </c>
      <c r="F281" s="4">
        <v>46051</v>
      </c>
      <c r="G281" s="4">
        <v>46049</v>
      </c>
      <c r="H281">
        <v>970</v>
      </c>
      <c r="I281" t="s">
        <v>552</v>
      </c>
      <c r="J281">
        <v>5</v>
      </c>
      <c r="K281" t="s">
        <v>1563</v>
      </c>
    </row>
    <row r="282" spans="1:11">
      <c r="A282" t="s">
        <v>553</v>
      </c>
      <c r="B282" t="s">
        <v>64</v>
      </c>
      <c r="C282" t="s">
        <v>12</v>
      </c>
      <c r="D282">
        <v>884</v>
      </c>
      <c r="E282" s="4">
        <v>46159</v>
      </c>
      <c r="F282" s="4">
        <v>46171</v>
      </c>
      <c r="G282" s="4">
        <v>46169</v>
      </c>
      <c r="H282">
        <v>880</v>
      </c>
      <c r="I282" t="s">
        <v>183</v>
      </c>
      <c r="J282">
        <v>5</v>
      </c>
      <c r="K282" t="s">
        <v>1563</v>
      </c>
    </row>
    <row r="283" spans="1:11">
      <c r="A283" t="s">
        <v>555</v>
      </c>
      <c r="B283" t="s">
        <v>81</v>
      </c>
      <c r="C283" t="s">
        <v>16</v>
      </c>
      <c r="D283">
        <v>762</v>
      </c>
      <c r="E283" s="4">
        <v>46055</v>
      </c>
      <c r="F283" s="4">
        <v>46062</v>
      </c>
      <c r="G283" s="4">
        <v>46059</v>
      </c>
      <c r="H283">
        <v>639</v>
      </c>
      <c r="I283" t="s">
        <v>556</v>
      </c>
      <c r="J283">
        <v>7</v>
      </c>
      <c r="K283" t="s">
        <v>1563</v>
      </c>
    </row>
    <row r="284" spans="1:11">
      <c r="A284" t="s">
        <v>557</v>
      </c>
      <c r="B284" t="s">
        <v>52</v>
      </c>
      <c r="C284" t="s">
        <v>16</v>
      </c>
      <c r="D284">
        <v>122</v>
      </c>
      <c r="E284" s="4">
        <v>46078</v>
      </c>
      <c r="F284" s="4">
        <v>46093</v>
      </c>
      <c r="G284" s="4">
        <v>46091</v>
      </c>
      <c r="H284">
        <v>121</v>
      </c>
      <c r="I284" t="s">
        <v>1564</v>
      </c>
      <c r="J284">
        <v>1</v>
      </c>
      <c r="K284" t="s">
        <v>1563</v>
      </c>
    </row>
    <row r="285" spans="1:11">
      <c r="A285" t="s">
        <v>558</v>
      </c>
      <c r="B285" t="s">
        <v>26</v>
      </c>
      <c r="C285" t="s">
        <v>16</v>
      </c>
      <c r="D285">
        <v>735</v>
      </c>
      <c r="E285" s="4">
        <v>46114</v>
      </c>
      <c r="F285" s="4">
        <v>46119</v>
      </c>
      <c r="G285" s="4">
        <v>46118</v>
      </c>
      <c r="H285">
        <v>743</v>
      </c>
      <c r="I285" t="s">
        <v>17</v>
      </c>
      <c r="J285">
        <v>13</v>
      </c>
      <c r="K285" t="s">
        <v>1563</v>
      </c>
    </row>
    <row r="286" spans="1:11">
      <c r="A286" t="s">
        <v>559</v>
      </c>
      <c r="B286" t="s">
        <v>40</v>
      </c>
      <c r="C286" t="s">
        <v>23</v>
      </c>
      <c r="D286">
        <v>902</v>
      </c>
      <c r="E286" s="4">
        <v>46088</v>
      </c>
      <c r="F286" s="4">
        <v>46100</v>
      </c>
      <c r="G286" s="4">
        <v>46099</v>
      </c>
      <c r="H286">
        <v>899</v>
      </c>
      <c r="I286" t="s">
        <v>111</v>
      </c>
      <c r="J286">
        <v>86</v>
      </c>
      <c r="K286" t="s">
        <v>1563</v>
      </c>
    </row>
    <row r="287" spans="1:11">
      <c r="A287" t="s">
        <v>560</v>
      </c>
      <c r="B287" t="s">
        <v>43</v>
      </c>
      <c r="C287" t="s">
        <v>16</v>
      </c>
      <c r="D287">
        <v>410</v>
      </c>
      <c r="E287" s="4">
        <v>46072</v>
      </c>
      <c r="F287" s="4">
        <v>46083</v>
      </c>
      <c r="G287" s="4">
        <v>46083</v>
      </c>
      <c r="H287">
        <v>417</v>
      </c>
      <c r="I287" t="s">
        <v>1564</v>
      </c>
      <c r="J287">
        <v>6</v>
      </c>
      <c r="K287" t="s">
        <v>1563</v>
      </c>
    </row>
    <row r="288" spans="1:11">
      <c r="A288" t="s">
        <v>561</v>
      </c>
      <c r="B288" t="s">
        <v>22</v>
      </c>
      <c r="C288" t="s">
        <v>16</v>
      </c>
      <c r="D288">
        <v>350</v>
      </c>
      <c r="E288" s="4">
        <v>46063</v>
      </c>
      <c r="F288" s="4">
        <v>46077</v>
      </c>
      <c r="G288" s="4">
        <v>46076</v>
      </c>
      <c r="H288">
        <v>284</v>
      </c>
      <c r="I288" t="s">
        <v>233</v>
      </c>
      <c r="J288">
        <v>25</v>
      </c>
      <c r="K288" t="s">
        <v>1563</v>
      </c>
    </row>
    <row r="289" spans="1:11">
      <c r="A289" t="s">
        <v>562</v>
      </c>
      <c r="B289" t="s">
        <v>54</v>
      </c>
      <c r="C289" t="s">
        <v>12</v>
      </c>
      <c r="D289">
        <v>598</v>
      </c>
      <c r="E289" s="4">
        <v>46059</v>
      </c>
      <c r="F289" s="4">
        <v>46070</v>
      </c>
      <c r="G289" s="4">
        <v>46075</v>
      </c>
      <c r="H289">
        <v>609</v>
      </c>
      <c r="I289" t="s">
        <v>140</v>
      </c>
      <c r="J289">
        <v>12</v>
      </c>
      <c r="K289" t="s">
        <v>1563</v>
      </c>
    </row>
    <row r="290" spans="1:11">
      <c r="A290" t="s">
        <v>563</v>
      </c>
      <c r="B290" t="s">
        <v>54</v>
      </c>
      <c r="C290" t="s">
        <v>12</v>
      </c>
      <c r="D290">
        <v>471</v>
      </c>
      <c r="E290" s="4">
        <v>46124</v>
      </c>
      <c r="F290" s="4">
        <v>46134</v>
      </c>
      <c r="G290" s="4">
        <v>46143</v>
      </c>
      <c r="H290">
        <v>471</v>
      </c>
      <c r="I290" t="s">
        <v>84</v>
      </c>
      <c r="J290">
        <v>6</v>
      </c>
      <c r="K290" t="s">
        <v>1563</v>
      </c>
    </row>
    <row r="291" spans="1:11">
      <c r="A291" t="s">
        <v>564</v>
      </c>
      <c r="B291" t="s">
        <v>67</v>
      </c>
      <c r="C291" t="s">
        <v>12</v>
      </c>
      <c r="D291">
        <v>92</v>
      </c>
      <c r="E291" s="4">
        <v>46150</v>
      </c>
      <c r="F291" s="4">
        <v>46161</v>
      </c>
      <c r="G291" s="4">
        <v>46158</v>
      </c>
      <c r="H291">
        <v>93</v>
      </c>
      <c r="I291" t="s">
        <v>195</v>
      </c>
      <c r="J291">
        <v>2</v>
      </c>
      <c r="K291" t="s">
        <v>1563</v>
      </c>
    </row>
    <row r="292" spans="1:11">
      <c r="A292" t="s">
        <v>565</v>
      </c>
      <c r="B292" t="s">
        <v>49</v>
      </c>
      <c r="C292" t="s">
        <v>12</v>
      </c>
      <c r="D292">
        <v>674</v>
      </c>
      <c r="E292" s="4">
        <v>46167</v>
      </c>
      <c r="F292" s="4">
        <v>46178</v>
      </c>
      <c r="G292" s="4">
        <v>46177</v>
      </c>
      <c r="H292">
        <v>684</v>
      </c>
      <c r="I292" t="s">
        <v>178</v>
      </c>
      <c r="J292">
        <v>0</v>
      </c>
      <c r="K292" t="s">
        <v>1563</v>
      </c>
    </row>
    <row r="293" spans="1:11">
      <c r="A293" t="s">
        <v>566</v>
      </c>
      <c r="B293" t="s">
        <v>29</v>
      </c>
      <c r="C293" t="s">
        <v>12</v>
      </c>
      <c r="D293">
        <v>634</v>
      </c>
      <c r="E293" s="4">
        <v>46126</v>
      </c>
      <c r="F293" s="4">
        <v>46138</v>
      </c>
      <c r="G293" s="4">
        <v>46147</v>
      </c>
      <c r="H293">
        <v>511</v>
      </c>
      <c r="I293" t="s">
        <v>567</v>
      </c>
      <c r="J293">
        <v>1</v>
      </c>
      <c r="K293" t="s">
        <v>1563</v>
      </c>
    </row>
    <row r="294" spans="1:11">
      <c r="A294" t="s">
        <v>568</v>
      </c>
      <c r="B294" t="s">
        <v>26</v>
      </c>
      <c r="C294" t="s">
        <v>16</v>
      </c>
      <c r="D294">
        <v>448</v>
      </c>
      <c r="E294" s="4">
        <v>46137</v>
      </c>
      <c r="F294" s="4">
        <v>46149</v>
      </c>
      <c r="G294" s="4">
        <v>46147</v>
      </c>
      <c r="H294">
        <v>386</v>
      </c>
      <c r="I294" t="s">
        <v>569</v>
      </c>
      <c r="J294">
        <v>8</v>
      </c>
      <c r="K294" t="s">
        <v>1563</v>
      </c>
    </row>
    <row r="295" spans="1:11">
      <c r="A295" t="s">
        <v>570</v>
      </c>
      <c r="B295" t="s">
        <v>100</v>
      </c>
      <c r="C295" t="s">
        <v>16</v>
      </c>
      <c r="D295">
        <v>908</v>
      </c>
      <c r="E295" s="4">
        <v>46118</v>
      </c>
      <c r="F295" s="4">
        <v>46127</v>
      </c>
      <c r="G295" s="4">
        <v>46127</v>
      </c>
      <c r="H295">
        <v>902</v>
      </c>
      <c r="I295" t="s">
        <v>571</v>
      </c>
      <c r="J295">
        <v>20</v>
      </c>
      <c r="K295" t="s">
        <v>1563</v>
      </c>
    </row>
    <row r="296" spans="1:11">
      <c r="A296" t="s">
        <v>572</v>
      </c>
      <c r="B296" t="s">
        <v>26</v>
      </c>
      <c r="C296" t="s">
        <v>23</v>
      </c>
      <c r="D296">
        <v>555</v>
      </c>
      <c r="E296" s="4">
        <v>46165</v>
      </c>
      <c r="F296" s="4">
        <v>46176</v>
      </c>
      <c r="G296" s="4">
        <v>46184</v>
      </c>
      <c r="H296">
        <v>527</v>
      </c>
      <c r="I296" t="s">
        <v>574</v>
      </c>
      <c r="J296">
        <v>17</v>
      </c>
      <c r="K296" t="s">
        <v>1563</v>
      </c>
    </row>
    <row r="297" spans="1:11">
      <c r="A297" t="s">
        <v>575</v>
      </c>
      <c r="B297" t="s">
        <v>43</v>
      </c>
      <c r="C297" t="s">
        <v>12</v>
      </c>
      <c r="D297">
        <v>669</v>
      </c>
      <c r="E297" s="4">
        <v>46156</v>
      </c>
      <c r="F297" s="4">
        <v>46169</v>
      </c>
      <c r="G297" s="4">
        <v>46166</v>
      </c>
      <c r="H297">
        <v>670</v>
      </c>
      <c r="I297" t="s">
        <v>356</v>
      </c>
      <c r="J297">
        <v>19</v>
      </c>
      <c r="K297" t="s">
        <v>1563</v>
      </c>
    </row>
    <row r="298" spans="1:11">
      <c r="A298" t="s">
        <v>577</v>
      </c>
      <c r="B298" t="s">
        <v>35</v>
      </c>
      <c r="C298" t="s">
        <v>16</v>
      </c>
      <c r="D298">
        <v>382</v>
      </c>
      <c r="E298" s="4">
        <v>46114</v>
      </c>
      <c r="F298" s="4">
        <v>46121</v>
      </c>
      <c r="G298" s="4">
        <v>46128</v>
      </c>
      <c r="H298">
        <v>383</v>
      </c>
      <c r="I298" t="s">
        <v>578</v>
      </c>
      <c r="J298">
        <v>7</v>
      </c>
      <c r="K298" t="s">
        <v>1563</v>
      </c>
    </row>
    <row r="299" spans="1:11">
      <c r="A299" t="s">
        <v>579</v>
      </c>
      <c r="B299" t="s">
        <v>49</v>
      </c>
      <c r="C299" t="s">
        <v>23</v>
      </c>
      <c r="D299">
        <v>622</v>
      </c>
      <c r="E299" s="4">
        <v>46068</v>
      </c>
      <c r="F299" s="4">
        <v>46074</v>
      </c>
      <c r="G299" s="4">
        <v>46076</v>
      </c>
      <c r="H299">
        <v>617</v>
      </c>
      <c r="I299" t="s">
        <v>580</v>
      </c>
      <c r="J299">
        <v>3</v>
      </c>
      <c r="K299" t="s">
        <v>1563</v>
      </c>
    </row>
    <row r="300" spans="1:11">
      <c r="A300" t="s">
        <v>581</v>
      </c>
      <c r="B300" t="s">
        <v>64</v>
      </c>
      <c r="C300" t="s">
        <v>23</v>
      </c>
      <c r="D300">
        <v>178</v>
      </c>
      <c r="E300" s="4">
        <v>46143</v>
      </c>
      <c r="F300" s="4">
        <v>46153</v>
      </c>
      <c r="G300" s="4">
        <v>46150</v>
      </c>
      <c r="H300">
        <v>177</v>
      </c>
      <c r="I300" t="s">
        <v>372</v>
      </c>
      <c r="J300">
        <v>14</v>
      </c>
      <c r="K300" t="s">
        <v>1563</v>
      </c>
    </row>
    <row r="301" spans="1:11">
      <c r="A301" t="s">
        <v>582</v>
      </c>
      <c r="B301" t="s">
        <v>32</v>
      </c>
      <c r="C301" t="s">
        <v>23</v>
      </c>
      <c r="D301">
        <v>196</v>
      </c>
      <c r="E301" s="4">
        <v>46127</v>
      </c>
      <c r="F301" s="4">
        <v>46142</v>
      </c>
      <c r="G301" s="4">
        <v>46139</v>
      </c>
      <c r="H301">
        <v>194</v>
      </c>
      <c r="I301" t="s">
        <v>583</v>
      </c>
      <c r="J301">
        <v>8</v>
      </c>
      <c r="K301" t="s">
        <v>1563</v>
      </c>
    </row>
    <row r="302" spans="1:11">
      <c r="A302" t="s">
        <v>584</v>
      </c>
      <c r="B302" t="s">
        <v>26</v>
      </c>
      <c r="C302" t="s">
        <v>23</v>
      </c>
      <c r="D302">
        <v>438</v>
      </c>
      <c r="E302" s="4">
        <v>46109</v>
      </c>
      <c r="F302" s="4">
        <v>46121</v>
      </c>
      <c r="G302" s="4">
        <v>46119</v>
      </c>
      <c r="H302">
        <v>434</v>
      </c>
      <c r="I302" t="s">
        <v>585</v>
      </c>
      <c r="J302">
        <v>7</v>
      </c>
      <c r="K302" t="s">
        <v>1563</v>
      </c>
    </row>
    <row r="303" spans="1:11">
      <c r="A303" t="s">
        <v>586</v>
      </c>
      <c r="B303" t="s">
        <v>19</v>
      </c>
      <c r="C303" t="s">
        <v>23</v>
      </c>
      <c r="D303">
        <v>232</v>
      </c>
      <c r="E303" s="4">
        <v>46087</v>
      </c>
      <c r="F303" s="4">
        <v>46098</v>
      </c>
      <c r="G303" s="4">
        <v>46095</v>
      </c>
      <c r="H303">
        <v>229</v>
      </c>
      <c r="I303" t="s">
        <v>412</v>
      </c>
      <c r="J303">
        <v>6</v>
      </c>
      <c r="K303" t="s">
        <v>1563</v>
      </c>
    </row>
    <row r="304" spans="1:11">
      <c r="A304" t="s">
        <v>587</v>
      </c>
      <c r="B304" t="s">
        <v>120</v>
      </c>
      <c r="C304" t="s">
        <v>12</v>
      </c>
      <c r="D304">
        <v>699</v>
      </c>
      <c r="E304" s="4">
        <v>46034</v>
      </c>
      <c r="F304" s="4">
        <v>46049</v>
      </c>
      <c r="G304" s="4">
        <v>46049</v>
      </c>
      <c r="H304">
        <v>700</v>
      </c>
      <c r="I304" t="s">
        <v>221</v>
      </c>
      <c r="J304">
        <v>18</v>
      </c>
      <c r="K304" t="s">
        <v>1563</v>
      </c>
    </row>
    <row r="305" spans="1:11">
      <c r="A305" t="s">
        <v>588</v>
      </c>
      <c r="B305" t="s">
        <v>120</v>
      </c>
      <c r="C305" t="s">
        <v>12</v>
      </c>
      <c r="D305">
        <v>959</v>
      </c>
      <c r="E305" s="4">
        <v>46139</v>
      </c>
      <c r="F305" s="4">
        <v>46147</v>
      </c>
      <c r="G305" s="4">
        <v>46144</v>
      </c>
      <c r="H305">
        <v>955</v>
      </c>
      <c r="I305" t="s">
        <v>589</v>
      </c>
      <c r="J305">
        <v>1</v>
      </c>
      <c r="K305" t="s">
        <v>1563</v>
      </c>
    </row>
    <row r="306" spans="1:11">
      <c r="A306" t="s">
        <v>590</v>
      </c>
      <c r="B306" t="s">
        <v>35</v>
      </c>
      <c r="C306" t="s">
        <v>23</v>
      </c>
      <c r="D306">
        <v>459</v>
      </c>
      <c r="E306" s="4">
        <v>46136</v>
      </c>
      <c r="F306" s="4">
        <v>46151</v>
      </c>
      <c r="G306" s="4">
        <v>46149</v>
      </c>
      <c r="H306">
        <v>466</v>
      </c>
      <c r="I306" t="s">
        <v>592</v>
      </c>
      <c r="J306">
        <v>17</v>
      </c>
      <c r="K306" t="s">
        <v>1563</v>
      </c>
    </row>
    <row r="307" spans="1:11">
      <c r="A307" t="s">
        <v>593</v>
      </c>
      <c r="B307" t="s">
        <v>46</v>
      </c>
      <c r="C307" t="s">
        <v>16</v>
      </c>
      <c r="D307">
        <v>438</v>
      </c>
      <c r="E307" s="4">
        <v>46047</v>
      </c>
      <c r="F307" s="4">
        <v>46062</v>
      </c>
      <c r="G307" s="4">
        <v>46059</v>
      </c>
      <c r="H307">
        <v>432</v>
      </c>
      <c r="I307" t="s">
        <v>594</v>
      </c>
      <c r="J307">
        <v>19</v>
      </c>
      <c r="K307" t="s">
        <v>1563</v>
      </c>
    </row>
    <row r="308" spans="1:11">
      <c r="A308" t="s">
        <v>595</v>
      </c>
      <c r="B308" t="s">
        <v>54</v>
      </c>
      <c r="C308" t="s">
        <v>23</v>
      </c>
      <c r="D308">
        <v>770</v>
      </c>
      <c r="E308" s="4">
        <v>46094</v>
      </c>
      <c r="F308" s="4">
        <v>46107</v>
      </c>
      <c r="G308" s="4">
        <v>46110</v>
      </c>
      <c r="H308">
        <v>763</v>
      </c>
      <c r="I308" t="s">
        <v>458</v>
      </c>
      <c r="J308">
        <v>1</v>
      </c>
      <c r="K308" t="s">
        <v>1563</v>
      </c>
    </row>
    <row r="309" spans="1:11">
      <c r="A309" t="s">
        <v>596</v>
      </c>
      <c r="B309" t="s">
        <v>100</v>
      </c>
      <c r="C309" t="s">
        <v>16</v>
      </c>
      <c r="D309">
        <v>344</v>
      </c>
      <c r="E309" s="4">
        <v>46175</v>
      </c>
      <c r="F309" s="4">
        <v>46185</v>
      </c>
      <c r="G309" s="4">
        <v>46184</v>
      </c>
      <c r="H309">
        <v>346</v>
      </c>
      <c r="I309" t="s">
        <v>597</v>
      </c>
      <c r="J309">
        <v>6</v>
      </c>
      <c r="K309" t="s">
        <v>1563</v>
      </c>
    </row>
    <row r="310" spans="1:11">
      <c r="A310" t="s">
        <v>598</v>
      </c>
      <c r="B310" t="s">
        <v>54</v>
      </c>
      <c r="C310" t="s">
        <v>12</v>
      </c>
      <c r="D310">
        <v>357</v>
      </c>
      <c r="E310" s="4">
        <v>46112</v>
      </c>
      <c r="F310" s="4">
        <v>46122</v>
      </c>
      <c r="G310" s="4"/>
      <c r="I310" t="s">
        <v>533</v>
      </c>
      <c r="K310" t="s">
        <v>1565</v>
      </c>
    </row>
    <row r="311" spans="1:11">
      <c r="A311" t="s">
        <v>599</v>
      </c>
      <c r="B311" t="s">
        <v>100</v>
      </c>
      <c r="C311" t="s">
        <v>12</v>
      </c>
      <c r="D311">
        <v>997</v>
      </c>
      <c r="E311" s="4">
        <v>46079</v>
      </c>
      <c r="F311" s="4">
        <v>46085</v>
      </c>
      <c r="G311" s="4">
        <v>46084</v>
      </c>
      <c r="H311">
        <v>995</v>
      </c>
      <c r="I311" t="s">
        <v>600</v>
      </c>
      <c r="J311">
        <v>26</v>
      </c>
      <c r="K311" t="s">
        <v>1563</v>
      </c>
    </row>
    <row r="312" spans="1:11">
      <c r="A312" t="s">
        <v>601</v>
      </c>
      <c r="B312" t="s">
        <v>22</v>
      </c>
      <c r="C312" t="s">
        <v>12</v>
      </c>
      <c r="D312">
        <v>288</v>
      </c>
      <c r="E312" s="4">
        <v>46125</v>
      </c>
      <c r="F312" s="4">
        <v>46136</v>
      </c>
      <c r="G312" s="4">
        <v>46136</v>
      </c>
      <c r="H312">
        <v>291</v>
      </c>
      <c r="I312" t="s">
        <v>524</v>
      </c>
      <c r="J312">
        <v>13</v>
      </c>
      <c r="K312" t="s">
        <v>1563</v>
      </c>
    </row>
    <row r="313" spans="1:11">
      <c r="A313" t="s">
        <v>602</v>
      </c>
      <c r="B313" t="s">
        <v>32</v>
      </c>
      <c r="C313" t="s">
        <v>12</v>
      </c>
      <c r="D313">
        <v>204</v>
      </c>
      <c r="E313" s="4">
        <v>46158</v>
      </c>
      <c r="F313" s="4">
        <v>46166</v>
      </c>
      <c r="G313" s="4">
        <v>46165</v>
      </c>
      <c r="H313">
        <v>206</v>
      </c>
      <c r="I313" t="s">
        <v>603</v>
      </c>
      <c r="J313">
        <v>4</v>
      </c>
      <c r="K313" t="s">
        <v>1563</v>
      </c>
    </row>
    <row r="314" spans="1:11">
      <c r="A314" t="s">
        <v>604</v>
      </c>
      <c r="B314" t="s">
        <v>11</v>
      </c>
      <c r="C314" t="s">
        <v>12</v>
      </c>
      <c r="D314">
        <v>262</v>
      </c>
      <c r="E314" s="4">
        <v>46101</v>
      </c>
      <c r="F314" s="4">
        <v>46106</v>
      </c>
      <c r="G314" s="4">
        <v>46106</v>
      </c>
      <c r="H314">
        <v>258</v>
      </c>
      <c r="I314" t="s">
        <v>605</v>
      </c>
      <c r="J314">
        <v>0</v>
      </c>
      <c r="K314" t="s">
        <v>1563</v>
      </c>
    </row>
    <row r="315" spans="1:11">
      <c r="A315" t="s">
        <v>606</v>
      </c>
      <c r="B315" t="s">
        <v>54</v>
      </c>
      <c r="C315" t="s">
        <v>12</v>
      </c>
      <c r="D315">
        <v>321</v>
      </c>
      <c r="E315" s="4">
        <v>46123</v>
      </c>
      <c r="F315" s="4">
        <v>46137</v>
      </c>
      <c r="G315" s="4">
        <v>46145</v>
      </c>
      <c r="H315">
        <v>323</v>
      </c>
      <c r="I315" t="s">
        <v>55</v>
      </c>
      <c r="J315">
        <v>5</v>
      </c>
      <c r="K315" t="s">
        <v>1563</v>
      </c>
    </row>
    <row r="316" spans="1:11">
      <c r="A316" t="s">
        <v>607</v>
      </c>
      <c r="B316" t="s">
        <v>19</v>
      </c>
      <c r="C316" t="s">
        <v>23</v>
      </c>
      <c r="D316">
        <v>160</v>
      </c>
      <c r="E316" s="4">
        <v>46066</v>
      </c>
      <c r="F316" s="4">
        <v>46072</v>
      </c>
      <c r="G316" s="4">
        <v>46072</v>
      </c>
      <c r="H316">
        <v>160</v>
      </c>
      <c r="I316" t="s">
        <v>608</v>
      </c>
      <c r="J316">
        <v>5</v>
      </c>
      <c r="K316" t="s">
        <v>1563</v>
      </c>
    </row>
    <row r="317" spans="1:11">
      <c r="A317" t="s">
        <v>609</v>
      </c>
      <c r="B317" t="s">
        <v>40</v>
      </c>
      <c r="C317" t="s">
        <v>16</v>
      </c>
      <c r="D317">
        <v>551</v>
      </c>
      <c r="E317" s="4">
        <v>46156</v>
      </c>
      <c r="F317" s="4">
        <v>46161</v>
      </c>
      <c r="G317" s="4">
        <v>46169</v>
      </c>
      <c r="H317">
        <v>551</v>
      </c>
      <c r="I317" t="s">
        <v>610</v>
      </c>
      <c r="J317">
        <v>46</v>
      </c>
      <c r="K317" t="s">
        <v>1563</v>
      </c>
    </row>
    <row r="318" spans="1:11">
      <c r="A318" t="s">
        <v>611</v>
      </c>
      <c r="B318" t="s">
        <v>120</v>
      </c>
      <c r="C318" t="s">
        <v>12</v>
      </c>
      <c r="D318">
        <v>667</v>
      </c>
      <c r="E318" s="4">
        <v>46045</v>
      </c>
      <c r="F318" s="4">
        <v>46050</v>
      </c>
      <c r="G318" s="4">
        <v>46049</v>
      </c>
      <c r="H318">
        <v>675</v>
      </c>
      <c r="I318" t="s">
        <v>409</v>
      </c>
      <c r="J318">
        <v>36</v>
      </c>
      <c r="K318" t="s">
        <v>1563</v>
      </c>
    </row>
    <row r="319" spans="1:11">
      <c r="A319" t="s">
        <v>612</v>
      </c>
      <c r="B319" t="s">
        <v>81</v>
      </c>
      <c r="C319" t="s">
        <v>12</v>
      </c>
      <c r="D319">
        <v>588</v>
      </c>
      <c r="E319" s="4">
        <v>46098</v>
      </c>
      <c r="F319" s="4">
        <v>46113</v>
      </c>
      <c r="G319" s="4">
        <v>46110</v>
      </c>
      <c r="H319">
        <v>589</v>
      </c>
      <c r="I319" t="s">
        <v>281</v>
      </c>
      <c r="J319">
        <v>7</v>
      </c>
      <c r="K319" t="s">
        <v>1563</v>
      </c>
    </row>
    <row r="320" spans="1:11">
      <c r="A320" t="s">
        <v>613</v>
      </c>
      <c r="B320" t="s">
        <v>35</v>
      </c>
      <c r="C320" t="s">
        <v>12</v>
      </c>
      <c r="D320">
        <v>881</v>
      </c>
      <c r="E320" s="4">
        <v>46163</v>
      </c>
      <c r="F320" s="4">
        <v>46173</v>
      </c>
      <c r="G320" s="4">
        <v>46170</v>
      </c>
      <c r="H320">
        <v>883</v>
      </c>
      <c r="I320" t="s">
        <v>339</v>
      </c>
      <c r="J320">
        <v>38</v>
      </c>
      <c r="K320" t="s">
        <v>1563</v>
      </c>
    </row>
    <row r="321" spans="1:11">
      <c r="A321" t="s">
        <v>615</v>
      </c>
      <c r="B321" t="s">
        <v>67</v>
      </c>
      <c r="C321" t="s">
        <v>23</v>
      </c>
      <c r="D321">
        <v>668</v>
      </c>
      <c r="E321" s="4">
        <v>46154</v>
      </c>
      <c r="F321" s="4">
        <v>46160</v>
      </c>
      <c r="G321" s="4">
        <v>46160</v>
      </c>
      <c r="H321">
        <v>661</v>
      </c>
      <c r="I321" t="s">
        <v>616</v>
      </c>
      <c r="J321">
        <v>24</v>
      </c>
      <c r="K321" t="s">
        <v>1563</v>
      </c>
    </row>
    <row r="322" spans="1:11">
      <c r="A322" t="s">
        <v>617</v>
      </c>
      <c r="B322" t="s">
        <v>100</v>
      </c>
      <c r="C322" t="s">
        <v>12</v>
      </c>
      <c r="D322">
        <v>357</v>
      </c>
      <c r="E322" s="4">
        <v>46119</v>
      </c>
      <c r="F322" s="4">
        <v>46133</v>
      </c>
      <c r="G322" s="4">
        <v>46130</v>
      </c>
      <c r="H322">
        <v>355</v>
      </c>
      <c r="I322" t="s">
        <v>113</v>
      </c>
      <c r="J322">
        <v>7</v>
      </c>
      <c r="K322" t="s">
        <v>1563</v>
      </c>
    </row>
    <row r="323" spans="1:11">
      <c r="A323" t="s">
        <v>618</v>
      </c>
      <c r="B323" t="s">
        <v>52</v>
      </c>
      <c r="C323" t="s">
        <v>23</v>
      </c>
      <c r="D323">
        <v>122</v>
      </c>
      <c r="E323" s="4">
        <v>46156</v>
      </c>
      <c r="F323" s="4">
        <v>46169</v>
      </c>
      <c r="G323" s="4">
        <v>46174</v>
      </c>
      <c r="H323">
        <v>101</v>
      </c>
      <c r="I323" t="s">
        <v>619</v>
      </c>
      <c r="J323">
        <v>1</v>
      </c>
      <c r="K323" t="s">
        <v>1563</v>
      </c>
    </row>
    <row r="324" spans="1:11">
      <c r="A324" t="s">
        <v>620</v>
      </c>
      <c r="B324" t="s">
        <v>43</v>
      </c>
      <c r="C324" t="s">
        <v>12</v>
      </c>
      <c r="D324">
        <v>687</v>
      </c>
      <c r="E324" s="4">
        <v>46042</v>
      </c>
      <c r="F324" s="4">
        <v>46053</v>
      </c>
      <c r="G324" s="4">
        <v>46051</v>
      </c>
      <c r="H324">
        <v>686</v>
      </c>
      <c r="I324" t="s">
        <v>30</v>
      </c>
      <c r="J324">
        <v>41</v>
      </c>
      <c r="K324" t="s">
        <v>1563</v>
      </c>
    </row>
    <row r="325" spans="1:11">
      <c r="A325" t="s">
        <v>621</v>
      </c>
      <c r="B325" t="s">
        <v>26</v>
      </c>
      <c r="C325" t="s">
        <v>12</v>
      </c>
      <c r="D325">
        <v>387</v>
      </c>
      <c r="E325" s="4">
        <v>46090</v>
      </c>
      <c r="F325" s="4">
        <v>46103</v>
      </c>
      <c r="G325" s="4">
        <v>46100</v>
      </c>
      <c r="H325">
        <v>316</v>
      </c>
      <c r="I325" t="s">
        <v>204</v>
      </c>
      <c r="J325">
        <v>6</v>
      </c>
      <c r="K325" t="s">
        <v>1563</v>
      </c>
    </row>
    <row r="326" spans="1:11">
      <c r="A326" t="s">
        <v>622</v>
      </c>
      <c r="B326" t="s">
        <v>46</v>
      </c>
      <c r="C326" t="s">
        <v>16</v>
      </c>
      <c r="D326">
        <v>531</v>
      </c>
      <c r="E326" s="4">
        <v>46137</v>
      </c>
      <c r="F326" s="4">
        <v>46152</v>
      </c>
      <c r="G326" s="4">
        <v>46150</v>
      </c>
      <c r="H326">
        <v>541</v>
      </c>
      <c r="I326" t="s">
        <v>623</v>
      </c>
      <c r="J326">
        <v>37</v>
      </c>
      <c r="K326" t="s">
        <v>1563</v>
      </c>
    </row>
    <row r="327" spans="1:11">
      <c r="A327" t="s">
        <v>624</v>
      </c>
      <c r="B327" t="s">
        <v>49</v>
      </c>
      <c r="C327" t="s">
        <v>12</v>
      </c>
      <c r="D327">
        <v>683</v>
      </c>
      <c r="E327" s="4">
        <v>46102</v>
      </c>
      <c r="F327" s="4">
        <v>46111</v>
      </c>
      <c r="G327" s="4">
        <v>46111</v>
      </c>
      <c r="H327">
        <v>672</v>
      </c>
      <c r="I327" t="s">
        <v>625</v>
      </c>
      <c r="J327">
        <v>1</v>
      </c>
      <c r="K327" t="s">
        <v>1563</v>
      </c>
    </row>
    <row r="328" spans="1:11">
      <c r="A328" t="s">
        <v>626</v>
      </c>
      <c r="B328" t="s">
        <v>49</v>
      </c>
      <c r="C328" t="s">
        <v>16</v>
      </c>
      <c r="D328">
        <v>793</v>
      </c>
      <c r="E328" s="4">
        <v>46076</v>
      </c>
      <c r="F328" s="4">
        <v>46086</v>
      </c>
      <c r="G328" s="4">
        <v>46085</v>
      </c>
      <c r="H328">
        <v>798</v>
      </c>
      <c r="I328" t="s">
        <v>627</v>
      </c>
      <c r="J328">
        <v>2</v>
      </c>
      <c r="K328" t="s">
        <v>1563</v>
      </c>
    </row>
    <row r="329" spans="1:11">
      <c r="A329" t="s">
        <v>628</v>
      </c>
      <c r="B329" t="s">
        <v>22</v>
      </c>
      <c r="C329" t="s">
        <v>23</v>
      </c>
      <c r="D329">
        <v>888</v>
      </c>
      <c r="E329" s="4">
        <v>46027</v>
      </c>
      <c r="F329" s="4">
        <v>46037</v>
      </c>
      <c r="G329" s="4">
        <v>46036</v>
      </c>
      <c r="H329">
        <v>906</v>
      </c>
      <c r="I329" t="s">
        <v>629</v>
      </c>
      <c r="J329">
        <v>73</v>
      </c>
      <c r="K329" t="s">
        <v>1563</v>
      </c>
    </row>
    <row r="330" spans="1:11">
      <c r="A330" t="s">
        <v>630</v>
      </c>
      <c r="B330" t="s">
        <v>49</v>
      </c>
      <c r="C330" t="s">
        <v>23</v>
      </c>
      <c r="D330">
        <v>944</v>
      </c>
      <c r="E330" s="4">
        <v>46080</v>
      </c>
      <c r="F330" s="4">
        <v>46087</v>
      </c>
      <c r="G330" s="4">
        <v>46085</v>
      </c>
      <c r="H330">
        <v>835</v>
      </c>
      <c r="I330" t="s">
        <v>631</v>
      </c>
      <c r="J330">
        <v>1</v>
      </c>
      <c r="K330" t="s">
        <v>1563</v>
      </c>
    </row>
    <row r="331" spans="1:11">
      <c r="A331" t="s">
        <v>632</v>
      </c>
      <c r="B331" t="s">
        <v>22</v>
      </c>
      <c r="C331" t="s">
        <v>16</v>
      </c>
      <c r="D331">
        <v>542</v>
      </c>
      <c r="E331" s="4">
        <v>46169</v>
      </c>
      <c r="F331" s="4">
        <v>46181</v>
      </c>
      <c r="G331" s="4">
        <v>46186</v>
      </c>
      <c r="H331">
        <v>520</v>
      </c>
      <c r="I331" t="s">
        <v>633</v>
      </c>
      <c r="J331">
        <v>43</v>
      </c>
      <c r="K331" t="s">
        <v>1563</v>
      </c>
    </row>
    <row r="332" spans="1:11">
      <c r="A332" t="s">
        <v>634</v>
      </c>
      <c r="B332" t="s">
        <v>32</v>
      </c>
      <c r="C332" t="s">
        <v>23</v>
      </c>
      <c r="D332">
        <v>455</v>
      </c>
      <c r="E332" s="4">
        <v>46078</v>
      </c>
      <c r="F332" s="4">
        <v>46088</v>
      </c>
      <c r="G332" s="4"/>
      <c r="I332" t="s">
        <v>636</v>
      </c>
      <c r="K332" t="s">
        <v>1565</v>
      </c>
    </row>
    <row r="333" spans="1:11">
      <c r="A333" t="s">
        <v>637</v>
      </c>
      <c r="B333" t="s">
        <v>22</v>
      </c>
      <c r="C333" t="s">
        <v>16</v>
      </c>
      <c r="D333">
        <v>652</v>
      </c>
      <c r="E333" s="4">
        <v>46171</v>
      </c>
      <c r="F333" s="4">
        <v>46179</v>
      </c>
      <c r="G333" s="4">
        <v>46179</v>
      </c>
      <c r="H333">
        <v>550</v>
      </c>
      <c r="I333" t="s">
        <v>448</v>
      </c>
      <c r="J333">
        <v>36</v>
      </c>
      <c r="K333" t="s">
        <v>1563</v>
      </c>
    </row>
    <row r="334" spans="1:11">
      <c r="A334" t="s">
        <v>638</v>
      </c>
      <c r="B334" t="s">
        <v>49</v>
      </c>
      <c r="C334" t="s">
        <v>23</v>
      </c>
      <c r="D334">
        <v>133</v>
      </c>
      <c r="E334" s="4">
        <v>46114</v>
      </c>
      <c r="F334" s="4">
        <v>46129</v>
      </c>
      <c r="G334" s="4"/>
      <c r="I334" t="s">
        <v>639</v>
      </c>
      <c r="K334" t="s">
        <v>1565</v>
      </c>
    </row>
    <row r="335" spans="1:11">
      <c r="A335" t="s">
        <v>640</v>
      </c>
      <c r="B335" t="s">
        <v>177</v>
      </c>
      <c r="C335" t="s">
        <v>16</v>
      </c>
      <c r="D335">
        <v>596</v>
      </c>
      <c r="E335" s="4">
        <v>46100</v>
      </c>
      <c r="F335" s="4">
        <v>46109</v>
      </c>
      <c r="G335" s="4">
        <v>46109</v>
      </c>
      <c r="H335">
        <v>586</v>
      </c>
      <c r="I335" t="s">
        <v>255</v>
      </c>
      <c r="J335">
        <v>28</v>
      </c>
      <c r="K335" t="s">
        <v>1563</v>
      </c>
    </row>
    <row r="336" spans="1:11">
      <c r="A336" t="s">
        <v>641</v>
      </c>
      <c r="B336" t="s">
        <v>70</v>
      </c>
      <c r="C336" t="s">
        <v>16</v>
      </c>
      <c r="D336">
        <v>114</v>
      </c>
      <c r="E336" s="4">
        <v>46163</v>
      </c>
      <c r="F336" s="4">
        <v>46171</v>
      </c>
      <c r="G336" s="4">
        <v>46171</v>
      </c>
      <c r="H336">
        <v>112</v>
      </c>
      <c r="I336" t="s">
        <v>643</v>
      </c>
      <c r="J336">
        <v>2</v>
      </c>
      <c r="K336" t="s">
        <v>1563</v>
      </c>
    </row>
    <row r="337" spans="1:11">
      <c r="A337" t="s">
        <v>644</v>
      </c>
      <c r="B337" t="s">
        <v>46</v>
      </c>
      <c r="C337" t="s">
        <v>12</v>
      </c>
      <c r="D337">
        <v>483</v>
      </c>
      <c r="E337" s="4">
        <v>46108</v>
      </c>
      <c r="F337" s="4">
        <v>46123</v>
      </c>
      <c r="G337" s="4">
        <v>46122</v>
      </c>
      <c r="H337">
        <v>474</v>
      </c>
      <c r="I337" t="s">
        <v>645</v>
      </c>
      <c r="J337">
        <v>12</v>
      </c>
      <c r="K337" t="s">
        <v>1563</v>
      </c>
    </row>
    <row r="338" spans="1:11">
      <c r="A338" t="s">
        <v>646</v>
      </c>
      <c r="B338" t="s">
        <v>29</v>
      </c>
      <c r="C338" t="s">
        <v>12</v>
      </c>
      <c r="D338">
        <v>598</v>
      </c>
      <c r="E338" s="4">
        <v>46119</v>
      </c>
      <c r="F338" s="4">
        <v>46124</v>
      </c>
      <c r="G338" s="4">
        <v>46126</v>
      </c>
      <c r="H338">
        <v>508</v>
      </c>
      <c r="I338" t="s">
        <v>647</v>
      </c>
      <c r="J338">
        <v>2</v>
      </c>
      <c r="K338" t="s">
        <v>1563</v>
      </c>
    </row>
    <row r="339" spans="1:11">
      <c r="A339" t="s">
        <v>648</v>
      </c>
      <c r="B339" t="s">
        <v>11</v>
      </c>
      <c r="C339" t="s">
        <v>12</v>
      </c>
      <c r="D339">
        <v>302</v>
      </c>
      <c r="E339" s="4">
        <v>46137</v>
      </c>
      <c r="F339" s="4">
        <v>46142</v>
      </c>
      <c r="G339" s="4">
        <v>46142</v>
      </c>
      <c r="H339">
        <v>301</v>
      </c>
      <c r="I339" t="s">
        <v>354</v>
      </c>
      <c r="J339">
        <v>3</v>
      </c>
      <c r="K339" t="s">
        <v>1563</v>
      </c>
    </row>
    <row r="340" spans="1:11">
      <c r="A340" t="s">
        <v>649</v>
      </c>
      <c r="B340" t="s">
        <v>29</v>
      </c>
      <c r="C340" t="s">
        <v>16</v>
      </c>
      <c r="D340">
        <v>666</v>
      </c>
      <c r="E340" s="4">
        <v>46125</v>
      </c>
      <c r="F340" s="4">
        <v>46131</v>
      </c>
      <c r="G340" s="4">
        <v>46131</v>
      </c>
      <c r="H340">
        <v>663</v>
      </c>
      <c r="I340" t="s">
        <v>650</v>
      </c>
      <c r="J340">
        <v>0</v>
      </c>
      <c r="K340" t="s">
        <v>1563</v>
      </c>
    </row>
    <row r="341" spans="1:11">
      <c r="A341" t="s">
        <v>651</v>
      </c>
      <c r="B341" t="s">
        <v>177</v>
      </c>
      <c r="C341" t="s">
        <v>23</v>
      </c>
      <c r="D341">
        <v>470</v>
      </c>
      <c r="E341" s="4">
        <v>46169</v>
      </c>
      <c r="F341" s="4">
        <v>46176</v>
      </c>
      <c r="G341" s="4">
        <v>46175</v>
      </c>
      <c r="H341">
        <v>462</v>
      </c>
      <c r="I341" t="s">
        <v>1564</v>
      </c>
      <c r="J341">
        <v>17</v>
      </c>
      <c r="K341" t="s">
        <v>1563</v>
      </c>
    </row>
    <row r="342" spans="1:11">
      <c r="A342" t="s">
        <v>652</v>
      </c>
      <c r="B342" t="s">
        <v>32</v>
      </c>
      <c r="C342" t="s">
        <v>12</v>
      </c>
      <c r="D342">
        <v>844</v>
      </c>
      <c r="E342" s="4">
        <v>46051</v>
      </c>
      <c r="F342" s="4">
        <v>46066</v>
      </c>
      <c r="G342" s="4">
        <v>46063</v>
      </c>
      <c r="H342">
        <v>850</v>
      </c>
      <c r="I342" t="s">
        <v>589</v>
      </c>
      <c r="J342">
        <v>16</v>
      </c>
      <c r="K342" t="s">
        <v>1563</v>
      </c>
    </row>
    <row r="343" spans="1:11">
      <c r="A343" t="s">
        <v>653</v>
      </c>
      <c r="B343" t="s">
        <v>43</v>
      </c>
      <c r="C343" t="s">
        <v>12</v>
      </c>
      <c r="D343">
        <v>386</v>
      </c>
      <c r="E343" s="4">
        <v>46087</v>
      </c>
      <c r="F343" s="4">
        <v>46095</v>
      </c>
      <c r="G343" s="4">
        <v>46095</v>
      </c>
      <c r="H343">
        <v>393</v>
      </c>
      <c r="I343" t="s">
        <v>625</v>
      </c>
      <c r="J343">
        <v>11</v>
      </c>
      <c r="K343" t="s">
        <v>1563</v>
      </c>
    </row>
    <row r="344" spans="1:11">
      <c r="A344" t="s">
        <v>654</v>
      </c>
      <c r="B344" t="s">
        <v>35</v>
      </c>
      <c r="C344" t="s">
        <v>12</v>
      </c>
      <c r="D344">
        <v>437</v>
      </c>
      <c r="E344" s="4">
        <v>46046</v>
      </c>
      <c r="F344" s="4">
        <v>46052</v>
      </c>
      <c r="G344" s="4">
        <v>46052</v>
      </c>
      <c r="H344">
        <v>431</v>
      </c>
      <c r="I344" t="s">
        <v>499</v>
      </c>
      <c r="J344">
        <v>27</v>
      </c>
      <c r="K344" t="s">
        <v>1563</v>
      </c>
    </row>
    <row r="345" spans="1:11">
      <c r="A345" t="s">
        <v>655</v>
      </c>
      <c r="B345" t="s">
        <v>49</v>
      </c>
      <c r="C345" t="s">
        <v>16</v>
      </c>
      <c r="D345">
        <v>471</v>
      </c>
      <c r="E345" s="4">
        <v>46128</v>
      </c>
      <c r="F345" s="4">
        <v>46141</v>
      </c>
      <c r="G345" s="4">
        <v>46140</v>
      </c>
      <c r="H345">
        <v>396</v>
      </c>
      <c r="I345" t="s">
        <v>395</v>
      </c>
      <c r="J345">
        <v>6</v>
      </c>
      <c r="K345" t="s">
        <v>1563</v>
      </c>
    </row>
    <row r="346" spans="1:11">
      <c r="A346" t="s">
        <v>656</v>
      </c>
      <c r="B346" t="s">
        <v>67</v>
      </c>
      <c r="C346" t="s">
        <v>12</v>
      </c>
      <c r="D346">
        <v>197</v>
      </c>
      <c r="E346" s="4">
        <v>46069</v>
      </c>
      <c r="F346" s="4">
        <v>46081</v>
      </c>
      <c r="G346" s="4">
        <v>46079</v>
      </c>
      <c r="H346">
        <v>197</v>
      </c>
      <c r="I346" t="s">
        <v>101</v>
      </c>
      <c r="J346">
        <v>4</v>
      </c>
      <c r="K346" t="s">
        <v>1563</v>
      </c>
    </row>
    <row r="347" spans="1:11">
      <c r="A347" t="s">
        <v>657</v>
      </c>
      <c r="B347" t="s">
        <v>70</v>
      </c>
      <c r="C347" t="s">
        <v>12</v>
      </c>
      <c r="D347">
        <v>358</v>
      </c>
      <c r="E347" s="4">
        <v>46153</v>
      </c>
      <c r="F347" s="4">
        <v>46166</v>
      </c>
      <c r="G347" s="4">
        <v>46164</v>
      </c>
      <c r="H347">
        <v>361</v>
      </c>
      <c r="I347" t="s">
        <v>658</v>
      </c>
      <c r="J347">
        <v>4</v>
      </c>
      <c r="K347" t="s">
        <v>1563</v>
      </c>
    </row>
    <row r="348" spans="1:11">
      <c r="A348" t="s">
        <v>659</v>
      </c>
      <c r="B348" t="s">
        <v>46</v>
      </c>
      <c r="C348" t="s">
        <v>23</v>
      </c>
      <c r="D348">
        <v>812</v>
      </c>
      <c r="E348" s="4">
        <v>46078</v>
      </c>
      <c r="F348" s="4">
        <v>46088</v>
      </c>
      <c r="G348" s="4">
        <v>46089</v>
      </c>
      <c r="H348">
        <v>815</v>
      </c>
      <c r="I348" t="s">
        <v>660</v>
      </c>
      <c r="J348">
        <v>51</v>
      </c>
      <c r="K348" t="s">
        <v>1563</v>
      </c>
    </row>
    <row r="349" spans="1:11">
      <c r="A349" t="s">
        <v>661</v>
      </c>
      <c r="B349" t="s">
        <v>32</v>
      </c>
      <c r="C349" t="s">
        <v>12</v>
      </c>
      <c r="D349">
        <v>954</v>
      </c>
      <c r="E349" s="4">
        <v>46088</v>
      </c>
      <c r="F349" s="4">
        <v>46094</v>
      </c>
      <c r="G349" s="4">
        <v>46092</v>
      </c>
      <c r="H349">
        <v>961</v>
      </c>
      <c r="I349" t="s">
        <v>391</v>
      </c>
      <c r="J349">
        <v>12</v>
      </c>
      <c r="K349" t="s">
        <v>1563</v>
      </c>
    </row>
    <row r="350" spans="1:11">
      <c r="A350" t="s">
        <v>662</v>
      </c>
      <c r="B350" t="s">
        <v>11</v>
      </c>
      <c r="C350" t="s">
        <v>12</v>
      </c>
      <c r="D350">
        <v>965</v>
      </c>
      <c r="E350" s="4">
        <v>46127</v>
      </c>
      <c r="F350" s="4">
        <v>46135</v>
      </c>
      <c r="G350" s="4">
        <v>46135</v>
      </c>
      <c r="H350">
        <v>969</v>
      </c>
      <c r="I350" t="s">
        <v>664</v>
      </c>
      <c r="J350">
        <v>15</v>
      </c>
      <c r="K350" t="s">
        <v>1563</v>
      </c>
    </row>
    <row r="351" spans="1:11">
      <c r="A351" t="s">
        <v>665</v>
      </c>
      <c r="B351" t="s">
        <v>22</v>
      </c>
      <c r="C351" t="s">
        <v>16</v>
      </c>
      <c r="D351">
        <v>92</v>
      </c>
      <c r="E351" s="4">
        <v>46164</v>
      </c>
      <c r="F351" s="4">
        <v>46170</v>
      </c>
      <c r="G351" s="4">
        <v>46170</v>
      </c>
      <c r="H351">
        <v>84</v>
      </c>
      <c r="I351" t="s">
        <v>666</v>
      </c>
      <c r="J351">
        <v>6</v>
      </c>
      <c r="K351" t="s">
        <v>1563</v>
      </c>
    </row>
    <row r="352" spans="1:11">
      <c r="A352" t="s">
        <v>667</v>
      </c>
      <c r="B352" t="s">
        <v>19</v>
      </c>
      <c r="C352" t="s">
        <v>12</v>
      </c>
      <c r="D352">
        <v>124</v>
      </c>
      <c r="E352" s="4">
        <v>46029</v>
      </c>
      <c r="F352" s="4">
        <v>46035</v>
      </c>
      <c r="G352" s="4">
        <v>46034</v>
      </c>
      <c r="H352">
        <v>125</v>
      </c>
      <c r="I352" t="s">
        <v>668</v>
      </c>
      <c r="J352">
        <v>1</v>
      </c>
      <c r="K352" t="s">
        <v>1563</v>
      </c>
    </row>
    <row r="353" spans="1:11">
      <c r="A353" t="s">
        <v>669</v>
      </c>
      <c r="B353" t="s">
        <v>49</v>
      </c>
      <c r="C353" t="s">
        <v>12</v>
      </c>
      <c r="D353">
        <v>836</v>
      </c>
      <c r="E353" s="4">
        <v>46145</v>
      </c>
      <c r="F353" s="4">
        <v>46150</v>
      </c>
      <c r="G353" s="4">
        <v>46148</v>
      </c>
      <c r="H353">
        <v>829</v>
      </c>
      <c r="I353" t="s">
        <v>670</v>
      </c>
      <c r="J353">
        <v>8</v>
      </c>
      <c r="K353" t="s">
        <v>1563</v>
      </c>
    </row>
    <row r="354" spans="1:11">
      <c r="A354" t="s">
        <v>671</v>
      </c>
      <c r="B354" t="s">
        <v>19</v>
      </c>
      <c r="C354" t="s">
        <v>23</v>
      </c>
      <c r="D354">
        <v>748</v>
      </c>
      <c r="E354" s="4">
        <v>46065</v>
      </c>
      <c r="F354" s="4">
        <v>46080</v>
      </c>
      <c r="G354" s="4">
        <v>46080</v>
      </c>
      <c r="H354">
        <v>736</v>
      </c>
      <c r="I354" t="s">
        <v>672</v>
      </c>
      <c r="J354">
        <v>25</v>
      </c>
      <c r="K354" t="s">
        <v>1563</v>
      </c>
    </row>
    <row r="355" spans="1:11">
      <c r="A355" t="s">
        <v>673</v>
      </c>
      <c r="B355" t="s">
        <v>120</v>
      </c>
      <c r="C355" t="s">
        <v>23</v>
      </c>
      <c r="D355">
        <v>408</v>
      </c>
      <c r="E355" s="4">
        <v>46146</v>
      </c>
      <c r="F355" s="4">
        <v>46159</v>
      </c>
      <c r="G355" s="4">
        <v>46156</v>
      </c>
      <c r="H355">
        <v>387</v>
      </c>
      <c r="I355" t="s">
        <v>674</v>
      </c>
      <c r="J355">
        <v>7</v>
      </c>
      <c r="K355" t="s">
        <v>1563</v>
      </c>
    </row>
    <row r="356" spans="1:11">
      <c r="A356" t="s">
        <v>675</v>
      </c>
      <c r="B356" t="s">
        <v>70</v>
      </c>
      <c r="C356" t="s">
        <v>12</v>
      </c>
      <c r="D356">
        <v>959</v>
      </c>
      <c r="E356" s="4">
        <v>46059</v>
      </c>
      <c r="F356" s="4">
        <v>46065</v>
      </c>
      <c r="G356" s="4">
        <v>46071</v>
      </c>
      <c r="H356">
        <v>942</v>
      </c>
      <c r="I356" t="s">
        <v>101</v>
      </c>
      <c r="J356">
        <v>9</v>
      </c>
      <c r="K356" t="s">
        <v>1563</v>
      </c>
    </row>
    <row r="357" spans="1:11">
      <c r="A357" t="s">
        <v>676</v>
      </c>
      <c r="B357" t="s">
        <v>70</v>
      </c>
      <c r="C357" t="s">
        <v>16</v>
      </c>
      <c r="D357">
        <v>648</v>
      </c>
      <c r="E357" s="4">
        <v>46146</v>
      </c>
      <c r="F357" s="4">
        <v>46151</v>
      </c>
      <c r="G357" s="4">
        <v>46148</v>
      </c>
      <c r="H357">
        <v>637</v>
      </c>
      <c r="I357" t="s">
        <v>677</v>
      </c>
      <c r="J357">
        <v>2</v>
      </c>
      <c r="K357" t="s">
        <v>1563</v>
      </c>
    </row>
    <row r="358" spans="1:11">
      <c r="A358" t="s">
        <v>678</v>
      </c>
      <c r="B358" t="s">
        <v>35</v>
      </c>
      <c r="C358" t="s">
        <v>16</v>
      </c>
      <c r="D358">
        <v>953</v>
      </c>
      <c r="E358" s="4">
        <v>46136</v>
      </c>
      <c r="F358" s="4">
        <v>46142</v>
      </c>
      <c r="G358" s="4">
        <v>46139</v>
      </c>
      <c r="H358">
        <v>957</v>
      </c>
      <c r="I358" t="s">
        <v>1564</v>
      </c>
      <c r="J358">
        <v>10</v>
      </c>
      <c r="K358" t="s">
        <v>1563</v>
      </c>
    </row>
    <row r="359" spans="1:11">
      <c r="A359" t="s">
        <v>679</v>
      </c>
      <c r="B359" t="s">
        <v>67</v>
      </c>
      <c r="C359" t="s">
        <v>12</v>
      </c>
      <c r="D359">
        <v>730</v>
      </c>
      <c r="E359" s="4">
        <v>46110</v>
      </c>
      <c r="F359" s="4">
        <v>46118</v>
      </c>
      <c r="G359" s="4">
        <v>46127</v>
      </c>
      <c r="H359">
        <v>724</v>
      </c>
      <c r="I359" t="s">
        <v>680</v>
      </c>
      <c r="J359">
        <v>30</v>
      </c>
      <c r="K359" t="s">
        <v>1563</v>
      </c>
    </row>
    <row r="360" spans="1:11">
      <c r="A360" t="s">
        <v>681</v>
      </c>
      <c r="B360" t="s">
        <v>49</v>
      </c>
      <c r="C360" t="s">
        <v>12</v>
      </c>
      <c r="D360">
        <v>443</v>
      </c>
      <c r="E360" s="4">
        <v>46116</v>
      </c>
      <c r="F360" s="4">
        <v>46126</v>
      </c>
      <c r="G360" s="4">
        <v>46130</v>
      </c>
      <c r="H360">
        <v>444</v>
      </c>
      <c r="I360" t="s">
        <v>682</v>
      </c>
      <c r="J360">
        <v>2</v>
      </c>
      <c r="K360" t="s">
        <v>1563</v>
      </c>
    </row>
    <row r="361" spans="1:11">
      <c r="A361" t="s">
        <v>683</v>
      </c>
      <c r="B361" t="s">
        <v>43</v>
      </c>
      <c r="C361" t="s">
        <v>12</v>
      </c>
      <c r="D361">
        <v>388</v>
      </c>
      <c r="E361" s="4">
        <v>46172</v>
      </c>
      <c r="F361" s="4">
        <v>46184</v>
      </c>
      <c r="G361" s="4"/>
      <c r="I361" t="s">
        <v>684</v>
      </c>
      <c r="K361" t="s">
        <v>1565</v>
      </c>
    </row>
    <row r="362" spans="1:11">
      <c r="A362" t="s">
        <v>685</v>
      </c>
      <c r="B362" t="s">
        <v>19</v>
      </c>
      <c r="C362" t="s">
        <v>12</v>
      </c>
      <c r="D362">
        <v>967</v>
      </c>
      <c r="E362" s="4">
        <v>46052</v>
      </c>
      <c r="F362" s="4">
        <v>46057</v>
      </c>
      <c r="G362" s="4">
        <v>46054</v>
      </c>
      <c r="H362">
        <v>958</v>
      </c>
      <c r="I362" t="s">
        <v>687</v>
      </c>
      <c r="J362">
        <v>50</v>
      </c>
      <c r="K362" t="s">
        <v>1563</v>
      </c>
    </row>
    <row r="363" spans="1:11">
      <c r="A363" t="s">
        <v>688</v>
      </c>
      <c r="B363" t="s">
        <v>43</v>
      </c>
      <c r="C363" t="s">
        <v>12</v>
      </c>
      <c r="D363">
        <v>956</v>
      </c>
      <c r="E363" s="4">
        <v>46078</v>
      </c>
      <c r="F363" s="4">
        <v>46087</v>
      </c>
      <c r="G363" s="4">
        <v>46086</v>
      </c>
      <c r="H363">
        <v>958</v>
      </c>
      <c r="I363" t="s">
        <v>690</v>
      </c>
      <c r="J363">
        <v>36</v>
      </c>
      <c r="K363" t="s">
        <v>1563</v>
      </c>
    </row>
    <row r="364" spans="1:11">
      <c r="A364" t="s">
        <v>691</v>
      </c>
      <c r="B364" t="s">
        <v>32</v>
      </c>
      <c r="C364" t="s">
        <v>16</v>
      </c>
      <c r="D364">
        <v>863</v>
      </c>
      <c r="E364" s="4">
        <v>46158</v>
      </c>
      <c r="F364" s="4">
        <v>46169</v>
      </c>
      <c r="G364" s="4">
        <v>46174</v>
      </c>
      <c r="H364">
        <v>834</v>
      </c>
      <c r="I364" t="s">
        <v>181</v>
      </c>
      <c r="J364">
        <v>7</v>
      </c>
      <c r="K364" t="s">
        <v>1563</v>
      </c>
    </row>
    <row r="365" spans="1:11">
      <c r="A365" t="s">
        <v>692</v>
      </c>
      <c r="B365" t="s">
        <v>35</v>
      </c>
      <c r="C365" t="s">
        <v>23</v>
      </c>
      <c r="D365">
        <v>523</v>
      </c>
      <c r="E365" s="4">
        <v>46036</v>
      </c>
      <c r="F365" s="4">
        <v>46046</v>
      </c>
      <c r="G365" s="4">
        <v>46043</v>
      </c>
      <c r="H365">
        <v>482</v>
      </c>
      <c r="I365" t="s">
        <v>693</v>
      </c>
      <c r="J365">
        <v>9</v>
      </c>
      <c r="K365" t="s">
        <v>1563</v>
      </c>
    </row>
    <row r="366" spans="1:11">
      <c r="A366" t="s">
        <v>694</v>
      </c>
      <c r="B366" t="s">
        <v>49</v>
      </c>
      <c r="C366" t="s">
        <v>16</v>
      </c>
      <c r="D366">
        <v>758</v>
      </c>
      <c r="E366" s="4">
        <v>46171</v>
      </c>
      <c r="F366" s="4">
        <v>46177</v>
      </c>
      <c r="G366" s="4">
        <v>46175</v>
      </c>
      <c r="H366">
        <v>769</v>
      </c>
      <c r="I366" t="s">
        <v>695</v>
      </c>
      <c r="J366">
        <v>12</v>
      </c>
      <c r="K366" t="s">
        <v>1563</v>
      </c>
    </row>
    <row r="367" spans="1:11">
      <c r="A367" t="s">
        <v>696</v>
      </c>
      <c r="B367" t="s">
        <v>35</v>
      </c>
      <c r="C367" t="s">
        <v>12</v>
      </c>
      <c r="D367">
        <v>296</v>
      </c>
      <c r="E367" s="4">
        <v>46172</v>
      </c>
      <c r="F367" s="4">
        <v>46177</v>
      </c>
      <c r="G367" s="4">
        <v>46182</v>
      </c>
      <c r="H367">
        <v>297</v>
      </c>
      <c r="I367" t="s">
        <v>493</v>
      </c>
      <c r="J367">
        <v>13</v>
      </c>
      <c r="K367" t="s">
        <v>1563</v>
      </c>
    </row>
    <row r="368" spans="1:11">
      <c r="A368" t="s">
        <v>697</v>
      </c>
      <c r="B368" t="s">
        <v>46</v>
      </c>
      <c r="C368" t="s">
        <v>16</v>
      </c>
      <c r="D368">
        <v>373</v>
      </c>
      <c r="E368" s="4">
        <v>46044</v>
      </c>
      <c r="F368" s="4">
        <v>46054</v>
      </c>
      <c r="G368" s="4">
        <v>46054</v>
      </c>
      <c r="H368">
        <v>366</v>
      </c>
      <c r="I368" t="s">
        <v>698</v>
      </c>
      <c r="J368">
        <v>9</v>
      </c>
      <c r="K368" t="s">
        <v>1563</v>
      </c>
    </row>
    <row r="369" spans="1:11">
      <c r="A369" t="s">
        <v>699</v>
      </c>
      <c r="B369" t="s">
        <v>40</v>
      </c>
      <c r="C369" t="s">
        <v>12</v>
      </c>
      <c r="D369">
        <v>226</v>
      </c>
      <c r="E369" s="4">
        <v>46147</v>
      </c>
      <c r="F369" s="4">
        <v>46155</v>
      </c>
      <c r="G369" s="4">
        <v>46152</v>
      </c>
      <c r="H369">
        <v>228</v>
      </c>
      <c r="I369" t="s">
        <v>700</v>
      </c>
      <c r="J369">
        <v>5</v>
      </c>
      <c r="K369" t="s">
        <v>1563</v>
      </c>
    </row>
    <row r="370" spans="1:11">
      <c r="A370" t="s">
        <v>701</v>
      </c>
      <c r="B370" t="s">
        <v>19</v>
      </c>
      <c r="C370" t="s">
        <v>23</v>
      </c>
      <c r="D370">
        <v>989</v>
      </c>
      <c r="E370" s="4">
        <v>46052</v>
      </c>
      <c r="F370" s="4">
        <v>46065</v>
      </c>
      <c r="G370" s="4">
        <v>46064</v>
      </c>
      <c r="H370">
        <v>998</v>
      </c>
      <c r="I370" t="s">
        <v>702</v>
      </c>
      <c r="J370">
        <v>18</v>
      </c>
      <c r="K370" t="s">
        <v>1563</v>
      </c>
    </row>
    <row r="371" spans="1:11">
      <c r="A371" t="s">
        <v>703</v>
      </c>
      <c r="B371" t="s">
        <v>52</v>
      </c>
      <c r="C371" t="s">
        <v>23</v>
      </c>
      <c r="D371">
        <v>112</v>
      </c>
      <c r="E371" s="4">
        <v>46038</v>
      </c>
      <c r="F371" s="4">
        <v>46044</v>
      </c>
      <c r="G371" s="4">
        <v>46051</v>
      </c>
      <c r="H371">
        <v>113</v>
      </c>
      <c r="I371" t="s">
        <v>636</v>
      </c>
      <c r="J371">
        <v>2</v>
      </c>
      <c r="K371" t="s">
        <v>1563</v>
      </c>
    </row>
    <row r="372" spans="1:11">
      <c r="A372" t="s">
        <v>704</v>
      </c>
      <c r="B372" t="s">
        <v>64</v>
      </c>
      <c r="C372" t="s">
        <v>12</v>
      </c>
      <c r="D372">
        <v>386</v>
      </c>
      <c r="E372" s="4">
        <v>46060</v>
      </c>
      <c r="F372" s="4">
        <v>46073</v>
      </c>
      <c r="G372" s="4">
        <v>46082</v>
      </c>
      <c r="H372">
        <v>347</v>
      </c>
      <c r="I372" t="s">
        <v>705</v>
      </c>
      <c r="J372">
        <v>21</v>
      </c>
      <c r="K372" t="s">
        <v>1563</v>
      </c>
    </row>
    <row r="373" spans="1:11">
      <c r="A373" t="s">
        <v>706</v>
      </c>
      <c r="B373" t="s">
        <v>49</v>
      </c>
      <c r="C373" t="s">
        <v>23</v>
      </c>
      <c r="D373">
        <v>569</v>
      </c>
      <c r="E373" s="4">
        <v>46038</v>
      </c>
      <c r="F373" s="4">
        <v>46045</v>
      </c>
      <c r="G373" s="4">
        <v>46043</v>
      </c>
      <c r="H373">
        <v>573</v>
      </c>
      <c r="I373" t="s">
        <v>707</v>
      </c>
      <c r="J373">
        <v>5</v>
      </c>
      <c r="K373" t="s">
        <v>1563</v>
      </c>
    </row>
    <row r="374" spans="1:11">
      <c r="A374" t="s">
        <v>708</v>
      </c>
      <c r="B374" t="s">
        <v>19</v>
      </c>
      <c r="C374" t="s">
        <v>16</v>
      </c>
      <c r="D374">
        <v>582</v>
      </c>
      <c r="E374" s="4">
        <v>46135</v>
      </c>
      <c r="F374" s="4">
        <v>46146</v>
      </c>
      <c r="G374" s="4">
        <v>46146</v>
      </c>
      <c r="H374">
        <v>572</v>
      </c>
      <c r="I374" t="s">
        <v>594</v>
      </c>
      <c r="J374">
        <v>19</v>
      </c>
      <c r="K374" t="s">
        <v>1563</v>
      </c>
    </row>
    <row r="375" spans="1:11">
      <c r="A375" t="s">
        <v>709</v>
      </c>
      <c r="B375" t="s">
        <v>19</v>
      </c>
      <c r="C375" t="s">
        <v>12</v>
      </c>
      <c r="D375">
        <v>686</v>
      </c>
      <c r="E375" s="4">
        <v>46134</v>
      </c>
      <c r="F375" s="4">
        <v>46149</v>
      </c>
      <c r="G375" s="4">
        <v>46149</v>
      </c>
      <c r="H375">
        <v>680</v>
      </c>
      <c r="I375" t="s">
        <v>403</v>
      </c>
      <c r="J375">
        <v>20</v>
      </c>
      <c r="K375" t="s">
        <v>1563</v>
      </c>
    </row>
    <row r="376" spans="1:11">
      <c r="A376" t="s">
        <v>710</v>
      </c>
      <c r="B376" t="s">
        <v>81</v>
      </c>
      <c r="C376" t="s">
        <v>12</v>
      </c>
      <c r="D376">
        <v>150</v>
      </c>
      <c r="E376" s="4">
        <v>46110</v>
      </c>
      <c r="F376" s="4">
        <v>46122</v>
      </c>
      <c r="G376" s="4">
        <v>46122</v>
      </c>
      <c r="H376">
        <v>149</v>
      </c>
      <c r="I376" t="s">
        <v>711</v>
      </c>
      <c r="J376">
        <v>2</v>
      </c>
      <c r="K376" t="s">
        <v>1563</v>
      </c>
    </row>
    <row r="377" spans="1:11">
      <c r="A377" t="s">
        <v>712</v>
      </c>
      <c r="B377" t="s">
        <v>120</v>
      </c>
      <c r="C377" t="s">
        <v>12</v>
      </c>
      <c r="D377">
        <v>187</v>
      </c>
      <c r="E377" s="4">
        <v>46049</v>
      </c>
      <c r="F377" s="4">
        <v>46060</v>
      </c>
      <c r="G377" s="4">
        <v>46060</v>
      </c>
      <c r="H377">
        <v>184</v>
      </c>
      <c r="I377" t="s">
        <v>714</v>
      </c>
      <c r="J377">
        <v>7</v>
      </c>
      <c r="K377" t="s">
        <v>1563</v>
      </c>
    </row>
    <row r="378" spans="1:11">
      <c r="A378" t="s">
        <v>715</v>
      </c>
      <c r="B378" t="s">
        <v>35</v>
      </c>
      <c r="C378" t="s">
        <v>16</v>
      </c>
      <c r="D378">
        <v>805</v>
      </c>
      <c r="E378" s="4">
        <v>46130</v>
      </c>
      <c r="F378" s="4">
        <v>46140</v>
      </c>
      <c r="G378" s="4">
        <v>46137</v>
      </c>
      <c r="H378">
        <v>794</v>
      </c>
      <c r="I378" t="s">
        <v>716</v>
      </c>
      <c r="J378">
        <v>1</v>
      </c>
      <c r="K378" t="s">
        <v>1563</v>
      </c>
    </row>
    <row r="379" spans="1:11">
      <c r="A379" t="s">
        <v>717</v>
      </c>
      <c r="B379" t="s">
        <v>26</v>
      </c>
      <c r="C379" t="s">
        <v>12</v>
      </c>
      <c r="D379">
        <v>894</v>
      </c>
      <c r="E379" s="4">
        <v>46088</v>
      </c>
      <c r="F379" s="4">
        <v>46097</v>
      </c>
      <c r="G379" s="4">
        <v>46094</v>
      </c>
      <c r="H379">
        <v>881</v>
      </c>
      <c r="I379" t="s">
        <v>379</v>
      </c>
      <c r="J379">
        <v>4</v>
      </c>
      <c r="K379" t="s">
        <v>1563</v>
      </c>
    </row>
    <row r="380" spans="1:11">
      <c r="A380" t="s">
        <v>718</v>
      </c>
      <c r="B380" t="s">
        <v>29</v>
      </c>
      <c r="C380" t="s">
        <v>16</v>
      </c>
      <c r="D380">
        <v>340</v>
      </c>
      <c r="E380" s="4">
        <v>46122</v>
      </c>
      <c r="F380" s="4">
        <v>46136</v>
      </c>
      <c r="G380" s="4">
        <v>46136</v>
      </c>
      <c r="H380">
        <v>313</v>
      </c>
      <c r="I380" t="s">
        <v>268</v>
      </c>
      <c r="J380">
        <v>2</v>
      </c>
      <c r="K380" t="s">
        <v>1563</v>
      </c>
    </row>
    <row r="381" spans="1:11">
      <c r="A381" t="s">
        <v>719</v>
      </c>
      <c r="B381" t="s">
        <v>54</v>
      </c>
      <c r="C381" t="s">
        <v>12</v>
      </c>
      <c r="D381">
        <v>820</v>
      </c>
      <c r="E381" s="4">
        <v>46135</v>
      </c>
      <c r="F381" s="4">
        <v>46145</v>
      </c>
      <c r="G381" s="4">
        <v>46142</v>
      </c>
      <c r="H381">
        <v>677</v>
      </c>
      <c r="I381" t="s">
        <v>101</v>
      </c>
      <c r="J381">
        <v>4</v>
      </c>
      <c r="K381" t="s">
        <v>1563</v>
      </c>
    </row>
    <row r="382" spans="1:11">
      <c r="A382" t="s">
        <v>720</v>
      </c>
      <c r="B382" t="s">
        <v>64</v>
      </c>
      <c r="C382" t="s">
        <v>12</v>
      </c>
      <c r="D382">
        <v>767</v>
      </c>
      <c r="E382" s="4">
        <v>46105</v>
      </c>
      <c r="F382" s="4">
        <v>46118</v>
      </c>
      <c r="G382" s="4">
        <v>46127</v>
      </c>
      <c r="H382">
        <v>776</v>
      </c>
      <c r="I382" t="s">
        <v>664</v>
      </c>
      <c r="J382">
        <v>17</v>
      </c>
      <c r="K382" t="s">
        <v>1563</v>
      </c>
    </row>
    <row r="383" spans="1:11">
      <c r="A383" t="s">
        <v>721</v>
      </c>
      <c r="B383" t="s">
        <v>49</v>
      </c>
      <c r="C383" t="s">
        <v>16</v>
      </c>
      <c r="D383">
        <v>571</v>
      </c>
      <c r="E383" s="4">
        <v>46035</v>
      </c>
      <c r="F383" s="4">
        <v>46049</v>
      </c>
      <c r="G383" s="4">
        <v>46047</v>
      </c>
      <c r="H383">
        <v>525</v>
      </c>
      <c r="I383" t="s">
        <v>722</v>
      </c>
      <c r="J383">
        <v>1</v>
      </c>
      <c r="K383" t="s">
        <v>1563</v>
      </c>
    </row>
    <row r="384" spans="1:11">
      <c r="A384" t="s">
        <v>723</v>
      </c>
      <c r="B384" t="s">
        <v>49</v>
      </c>
      <c r="C384" t="s">
        <v>16</v>
      </c>
      <c r="D384">
        <v>411</v>
      </c>
      <c r="E384" s="4">
        <v>46056</v>
      </c>
      <c r="F384" s="4">
        <v>46071</v>
      </c>
      <c r="G384" s="4">
        <v>46070</v>
      </c>
      <c r="H384">
        <v>414</v>
      </c>
      <c r="I384" t="s">
        <v>395</v>
      </c>
      <c r="J384">
        <v>6</v>
      </c>
      <c r="K384" t="s">
        <v>1563</v>
      </c>
    </row>
    <row r="385" spans="1:11">
      <c r="A385" t="s">
        <v>724</v>
      </c>
      <c r="B385" t="s">
        <v>26</v>
      </c>
      <c r="C385" t="s">
        <v>12</v>
      </c>
      <c r="D385">
        <v>233</v>
      </c>
      <c r="E385" s="4">
        <v>46035</v>
      </c>
      <c r="F385" s="4">
        <v>46048</v>
      </c>
      <c r="G385" s="4">
        <v>46048</v>
      </c>
      <c r="H385">
        <v>208</v>
      </c>
      <c r="I385" t="s">
        <v>670</v>
      </c>
      <c r="J385">
        <v>5</v>
      </c>
      <c r="K385" t="s">
        <v>1563</v>
      </c>
    </row>
    <row r="386" spans="1:11">
      <c r="A386" t="s">
        <v>725</v>
      </c>
      <c r="B386" t="s">
        <v>67</v>
      </c>
      <c r="C386" t="s">
        <v>23</v>
      </c>
      <c r="D386">
        <v>93</v>
      </c>
      <c r="E386" s="4">
        <v>46145</v>
      </c>
      <c r="F386" s="4">
        <v>46159</v>
      </c>
      <c r="G386" s="4">
        <v>46159</v>
      </c>
      <c r="H386">
        <v>93</v>
      </c>
      <c r="I386" t="s">
        <v>726</v>
      </c>
      <c r="J386">
        <v>0</v>
      </c>
      <c r="K386" t="s">
        <v>1563</v>
      </c>
    </row>
    <row r="387" spans="1:11">
      <c r="A387" t="s">
        <v>727</v>
      </c>
      <c r="B387" t="s">
        <v>40</v>
      </c>
      <c r="C387" t="s">
        <v>23</v>
      </c>
      <c r="D387">
        <v>961</v>
      </c>
      <c r="E387" s="4">
        <v>46060</v>
      </c>
      <c r="F387" s="4">
        <v>46071</v>
      </c>
      <c r="G387" s="4">
        <v>46079</v>
      </c>
      <c r="H387">
        <v>945</v>
      </c>
      <c r="I387" t="s">
        <v>728</v>
      </c>
      <c r="J387">
        <v>42</v>
      </c>
      <c r="K387" t="s">
        <v>1563</v>
      </c>
    </row>
    <row r="388" spans="1:11">
      <c r="A388" t="s">
        <v>729</v>
      </c>
      <c r="B388" t="s">
        <v>177</v>
      </c>
      <c r="C388" t="s">
        <v>16</v>
      </c>
      <c r="D388">
        <v>125</v>
      </c>
      <c r="E388" s="4">
        <v>46052</v>
      </c>
      <c r="F388" s="4">
        <v>46064</v>
      </c>
      <c r="G388" s="4">
        <v>46062</v>
      </c>
      <c r="H388">
        <v>127</v>
      </c>
      <c r="I388" t="s">
        <v>235</v>
      </c>
      <c r="J388">
        <v>1</v>
      </c>
      <c r="K388" t="s">
        <v>1563</v>
      </c>
    </row>
    <row r="389" spans="1:11">
      <c r="A389" t="s">
        <v>730</v>
      </c>
      <c r="B389" t="s">
        <v>46</v>
      </c>
      <c r="C389" t="s">
        <v>12</v>
      </c>
      <c r="D389">
        <v>653</v>
      </c>
      <c r="E389" s="4">
        <v>46084</v>
      </c>
      <c r="F389" s="4">
        <v>46097</v>
      </c>
      <c r="G389" s="4">
        <v>46094</v>
      </c>
      <c r="H389">
        <v>652</v>
      </c>
      <c r="I389" t="s">
        <v>731</v>
      </c>
      <c r="J389">
        <v>18</v>
      </c>
      <c r="K389" t="s">
        <v>1563</v>
      </c>
    </row>
    <row r="390" spans="1:11">
      <c r="A390" t="s">
        <v>732</v>
      </c>
      <c r="B390" t="s">
        <v>54</v>
      </c>
      <c r="C390" t="s">
        <v>16</v>
      </c>
      <c r="D390">
        <v>529</v>
      </c>
      <c r="E390" s="4">
        <v>46128</v>
      </c>
      <c r="F390" s="4">
        <v>46134</v>
      </c>
      <c r="G390" s="4">
        <v>46134</v>
      </c>
      <c r="H390">
        <v>523</v>
      </c>
      <c r="I390" t="s">
        <v>79</v>
      </c>
      <c r="J390">
        <v>4</v>
      </c>
      <c r="K390" t="s">
        <v>1563</v>
      </c>
    </row>
    <row r="391" spans="1:11">
      <c r="A391" t="s">
        <v>733</v>
      </c>
      <c r="B391" t="s">
        <v>19</v>
      </c>
      <c r="C391" t="s">
        <v>12</v>
      </c>
      <c r="D391">
        <v>513</v>
      </c>
      <c r="E391" s="4">
        <v>46086</v>
      </c>
      <c r="F391" s="4">
        <v>46097</v>
      </c>
      <c r="G391" s="4">
        <v>46096</v>
      </c>
      <c r="H391">
        <v>504</v>
      </c>
      <c r="I391" t="s">
        <v>734</v>
      </c>
      <c r="J391">
        <v>18</v>
      </c>
      <c r="K391" t="s">
        <v>1563</v>
      </c>
    </row>
    <row r="392" spans="1:11">
      <c r="A392" t="s">
        <v>735</v>
      </c>
      <c r="B392" t="s">
        <v>67</v>
      </c>
      <c r="C392" t="s">
        <v>16</v>
      </c>
      <c r="D392">
        <v>187</v>
      </c>
      <c r="E392" s="4">
        <v>46057</v>
      </c>
      <c r="F392" s="4">
        <v>46067</v>
      </c>
      <c r="G392" s="4">
        <v>46065</v>
      </c>
      <c r="H392">
        <v>189</v>
      </c>
      <c r="I392" t="s">
        <v>737</v>
      </c>
      <c r="J392">
        <v>1</v>
      </c>
      <c r="K392" t="s">
        <v>1563</v>
      </c>
    </row>
    <row r="393" spans="1:11">
      <c r="A393" t="s">
        <v>738</v>
      </c>
      <c r="B393" t="s">
        <v>52</v>
      </c>
      <c r="C393" t="s">
        <v>23</v>
      </c>
      <c r="D393">
        <v>309</v>
      </c>
      <c r="E393" s="4">
        <v>46036</v>
      </c>
      <c r="F393" s="4">
        <v>46042</v>
      </c>
      <c r="G393" s="4">
        <v>46048</v>
      </c>
      <c r="H393">
        <v>306</v>
      </c>
      <c r="I393" t="s">
        <v>739</v>
      </c>
      <c r="J393">
        <v>4</v>
      </c>
      <c r="K393" t="s">
        <v>1563</v>
      </c>
    </row>
    <row r="394" spans="1:11">
      <c r="A394" t="s">
        <v>740</v>
      </c>
      <c r="B394" t="s">
        <v>54</v>
      </c>
      <c r="C394" t="s">
        <v>12</v>
      </c>
      <c r="D394">
        <v>461</v>
      </c>
      <c r="E394" s="4">
        <v>46173</v>
      </c>
      <c r="F394" s="4">
        <v>46188</v>
      </c>
      <c r="G394" s="4">
        <v>46188</v>
      </c>
      <c r="H394">
        <v>465</v>
      </c>
      <c r="I394" t="s">
        <v>30</v>
      </c>
      <c r="J394">
        <v>1</v>
      </c>
      <c r="K394" t="s">
        <v>1563</v>
      </c>
    </row>
    <row r="395" spans="1:11">
      <c r="A395" t="s">
        <v>741</v>
      </c>
      <c r="B395" t="s">
        <v>19</v>
      </c>
      <c r="C395" t="s">
        <v>23</v>
      </c>
      <c r="D395">
        <v>927</v>
      </c>
      <c r="E395" s="4">
        <v>46160</v>
      </c>
      <c r="F395" s="4">
        <v>46167</v>
      </c>
      <c r="G395" s="4">
        <v>46165</v>
      </c>
      <c r="H395">
        <v>805</v>
      </c>
      <c r="I395" t="s">
        <v>742</v>
      </c>
      <c r="J395">
        <v>8</v>
      </c>
      <c r="K395" t="s">
        <v>1563</v>
      </c>
    </row>
    <row r="396" spans="1:11">
      <c r="A396" t="s">
        <v>743</v>
      </c>
      <c r="B396" t="s">
        <v>32</v>
      </c>
      <c r="C396" t="s">
        <v>16</v>
      </c>
      <c r="D396">
        <v>833</v>
      </c>
      <c r="E396" s="4">
        <v>46110</v>
      </c>
      <c r="F396" s="4">
        <v>46122</v>
      </c>
      <c r="G396" s="4">
        <v>46120</v>
      </c>
      <c r="H396">
        <v>844</v>
      </c>
      <c r="I396" t="s">
        <v>169</v>
      </c>
      <c r="J396">
        <v>50</v>
      </c>
      <c r="K396" t="s">
        <v>1563</v>
      </c>
    </row>
    <row r="397" spans="1:11">
      <c r="A397" t="s">
        <v>744</v>
      </c>
      <c r="B397" t="s">
        <v>19</v>
      </c>
      <c r="C397" t="s">
        <v>23</v>
      </c>
      <c r="D397">
        <v>461</v>
      </c>
      <c r="E397" s="4">
        <v>46166</v>
      </c>
      <c r="F397" s="4">
        <v>46181</v>
      </c>
      <c r="G397" s="4">
        <v>46185</v>
      </c>
      <c r="H397">
        <v>467</v>
      </c>
      <c r="I397" t="s">
        <v>745</v>
      </c>
      <c r="J397">
        <v>5</v>
      </c>
      <c r="K397" t="s">
        <v>1563</v>
      </c>
    </row>
    <row r="398" spans="1:11">
      <c r="A398" t="s">
        <v>746</v>
      </c>
      <c r="B398" t="s">
        <v>177</v>
      </c>
      <c r="C398" t="s">
        <v>16</v>
      </c>
      <c r="D398">
        <v>666</v>
      </c>
      <c r="E398" s="4">
        <v>46147</v>
      </c>
      <c r="F398" s="4">
        <v>46155</v>
      </c>
      <c r="G398" s="4">
        <v>46154</v>
      </c>
      <c r="H398">
        <v>676</v>
      </c>
      <c r="I398" t="s">
        <v>158</v>
      </c>
      <c r="J398">
        <v>37</v>
      </c>
      <c r="K398" t="s">
        <v>1563</v>
      </c>
    </row>
    <row r="399" spans="1:11">
      <c r="A399" t="s">
        <v>747</v>
      </c>
      <c r="B399" t="s">
        <v>81</v>
      </c>
      <c r="C399" t="s">
        <v>23</v>
      </c>
      <c r="D399">
        <v>516</v>
      </c>
      <c r="E399" s="4">
        <v>46146</v>
      </c>
      <c r="F399" s="4">
        <v>46156</v>
      </c>
      <c r="G399" s="4">
        <v>46156</v>
      </c>
      <c r="H399">
        <v>417</v>
      </c>
      <c r="I399" t="s">
        <v>748</v>
      </c>
      <c r="J399">
        <v>4</v>
      </c>
      <c r="K399" t="s">
        <v>1563</v>
      </c>
    </row>
    <row r="400" spans="1:11">
      <c r="A400" t="s">
        <v>749</v>
      </c>
      <c r="B400" t="s">
        <v>32</v>
      </c>
      <c r="C400" t="s">
        <v>12</v>
      </c>
      <c r="D400">
        <v>240</v>
      </c>
      <c r="E400" s="4">
        <v>46085</v>
      </c>
      <c r="F400" s="4">
        <v>46094</v>
      </c>
      <c r="G400" s="4">
        <v>46092</v>
      </c>
      <c r="H400">
        <v>239</v>
      </c>
      <c r="I400" t="s">
        <v>750</v>
      </c>
      <c r="J400">
        <v>9</v>
      </c>
      <c r="K400" t="s">
        <v>1563</v>
      </c>
    </row>
    <row r="401" spans="1:11">
      <c r="A401" t="s">
        <v>751</v>
      </c>
      <c r="B401" t="s">
        <v>32</v>
      </c>
      <c r="C401" t="s">
        <v>16</v>
      </c>
      <c r="D401">
        <v>107</v>
      </c>
      <c r="E401" s="4">
        <v>46087</v>
      </c>
      <c r="F401" s="4">
        <v>46093</v>
      </c>
      <c r="G401" s="4">
        <v>46090</v>
      </c>
      <c r="H401">
        <v>107</v>
      </c>
      <c r="I401" t="s">
        <v>556</v>
      </c>
      <c r="J401">
        <v>5</v>
      </c>
      <c r="K401" t="s">
        <v>1563</v>
      </c>
    </row>
    <row r="402" spans="1:11">
      <c r="A402" t="s">
        <v>752</v>
      </c>
      <c r="B402" t="s">
        <v>177</v>
      </c>
      <c r="C402" t="s">
        <v>12</v>
      </c>
      <c r="D402">
        <v>630</v>
      </c>
      <c r="E402" s="4">
        <v>46037</v>
      </c>
      <c r="F402" s="4">
        <v>46051</v>
      </c>
      <c r="G402" s="4">
        <v>46051</v>
      </c>
      <c r="H402">
        <v>634</v>
      </c>
      <c r="I402" t="s">
        <v>753</v>
      </c>
      <c r="J402">
        <v>18</v>
      </c>
      <c r="K402" t="s">
        <v>1563</v>
      </c>
    </row>
    <row r="403" spans="1:11">
      <c r="A403" t="s">
        <v>754</v>
      </c>
      <c r="B403" t="s">
        <v>11</v>
      </c>
      <c r="C403" t="s">
        <v>16</v>
      </c>
      <c r="D403">
        <v>476</v>
      </c>
      <c r="E403" s="4">
        <v>46058</v>
      </c>
      <c r="F403" s="4">
        <v>46067</v>
      </c>
      <c r="G403" s="4">
        <v>46065</v>
      </c>
      <c r="H403">
        <v>472</v>
      </c>
      <c r="I403" t="s">
        <v>253</v>
      </c>
      <c r="J403">
        <v>6</v>
      </c>
      <c r="K403" t="s">
        <v>1563</v>
      </c>
    </row>
    <row r="404" spans="1:11">
      <c r="A404" t="s">
        <v>755</v>
      </c>
      <c r="B404" t="s">
        <v>81</v>
      </c>
      <c r="C404" t="s">
        <v>12</v>
      </c>
      <c r="D404">
        <v>436</v>
      </c>
      <c r="E404" s="4">
        <v>46135</v>
      </c>
      <c r="F404" s="4">
        <v>46143</v>
      </c>
      <c r="G404" s="4">
        <v>46147</v>
      </c>
      <c r="H404">
        <v>366</v>
      </c>
      <c r="I404" t="s">
        <v>191</v>
      </c>
      <c r="J404">
        <v>1</v>
      </c>
      <c r="K404" t="s">
        <v>1563</v>
      </c>
    </row>
    <row r="405" spans="1:11">
      <c r="A405" t="s">
        <v>756</v>
      </c>
      <c r="B405" t="s">
        <v>120</v>
      </c>
      <c r="C405" t="s">
        <v>16</v>
      </c>
      <c r="D405">
        <v>548</v>
      </c>
      <c r="E405" s="4">
        <v>46102</v>
      </c>
      <c r="F405" s="4">
        <v>46113</v>
      </c>
      <c r="G405" s="4">
        <v>46112</v>
      </c>
      <c r="H405">
        <v>538</v>
      </c>
      <c r="I405" t="s">
        <v>757</v>
      </c>
      <c r="J405">
        <v>15</v>
      </c>
      <c r="K405" t="s">
        <v>1563</v>
      </c>
    </row>
    <row r="406" spans="1:11">
      <c r="A406" t="s">
        <v>758</v>
      </c>
      <c r="B406" t="s">
        <v>64</v>
      </c>
      <c r="C406" t="s">
        <v>16</v>
      </c>
      <c r="D406">
        <v>839</v>
      </c>
      <c r="E406" s="4">
        <v>46035</v>
      </c>
      <c r="F406" s="4">
        <v>46045</v>
      </c>
      <c r="G406" s="4">
        <v>46043</v>
      </c>
      <c r="H406">
        <v>824</v>
      </c>
      <c r="I406" t="s">
        <v>759</v>
      </c>
      <c r="J406">
        <v>52</v>
      </c>
      <c r="K406" t="s">
        <v>1563</v>
      </c>
    </row>
    <row r="407" spans="1:11">
      <c r="A407" t="s">
        <v>760</v>
      </c>
      <c r="B407" t="s">
        <v>11</v>
      </c>
      <c r="C407" t="s">
        <v>16</v>
      </c>
      <c r="D407">
        <v>313</v>
      </c>
      <c r="E407" s="4">
        <v>46164</v>
      </c>
      <c r="F407" s="4">
        <v>46173</v>
      </c>
      <c r="G407" s="4">
        <v>46172</v>
      </c>
      <c r="H407">
        <v>314</v>
      </c>
      <c r="I407" t="s">
        <v>92</v>
      </c>
      <c r="J407">
        <v>6</v>
      </c>
      <c r="K407" t="s">
        <v>1563</v>
      </c>
    </row>
    <row r="408" spans="1:11">
      <c r="A408" t="s">
        <v>761</v>
      </c>
      <c r="B408" t="s">
        <v>29</v>
      </c>
      <c r="C408" t="s">
        <v>23</v>
      </c>
      <c r="D408">
        <v>736</v>
      </c>
      <c r="E408" s="4">
        <v>46039</v>
      </c>
      <c r="F408" s="4">
        <v>46050</v>
      </c>
      <c r="G408" s="4">
        <v>46050</v>
      </c>
      <c r="H408">
        <v>751</v>
      </c>
      <c r="I408" t="s">
        <v>763</v>
      </c>
      <c r="J408">
        <v>4</v>
      </c>
      <c r="K408" t="s">
        <v>1563</v>
      </c>
    </row>
    <row r="409" spans="1:11">
      <c r="A409" t="s">
        <v>764</v>
      </c>
      <c r="B409" t="s">
        <v>54</v>
      </c>
      <c r="C409" t="s">
        <v>23</v>
      </c>
      <c r="D409">
        <v>523</v>
      </c>
      <c r="E409" s="4">
        <v>46127</v>
      </c>
      <c r="F409" s="4">
        <v>46137</v>
      </c>
      <c r="G409" s="4">
        <v>46135</v>
      </c>
      <c r="H409">
        <v>530</v>
      </c>
      <c r="I409" t="s">
        <v>765</v>
      </c>
      <c r="J409">
        <v>7</v>
      </c>
      <c r="K409" t="s">
        <v>1563</v>
      </c>
    </row>
    <row r="410" spans="1:11">
      <c r="A410" t="s">
        <v>766</v>
      </c>
      <c r="B410" t="s">
        <v>70</v>
      </c>
      <c r="C410" t="s">
        <v>16</v>
      </c>
      <c r="D410">
        <v>372</v>
      </c>
      <c r="E410" s="4">
        <v>46124</v>
      </c>
      <c r="F410" s="4">
        <v>46136</v>
      </c>
      <c r="G410" s="4">
        <v>46133</v>
      </c>
      <c r="H410">
        <v>368</v>
      </c>
      <c r="I410" t="s">
        <v>767</v>
      </c>
      <c r="J410">
        <v>2</v>
      </c>
      <c r="K410" t="s">
        <v>1563</v>
      </c>
    </row>
    <row r="411" spans="1:11">
      <c r="A411" t="s">
        <v>768</v>
      </c>
      <c r="B411" t="s">
        <v>35</v>
      </c>
      <c r="C411" t="s">
        <v>16</v>
      </c>
      <c r="D411">
        <v>705</v>
      </c>
      <c r="E411" s="4">
        <v>46039</v>
      </c>
      <c r="F411" s="4">
        <v>46053</v>
      </c>
      <c r="G411" s="4">
        <v>46057</v>
      </c>
      <c r="H411">
        <v>695</v>
      </c>
      <c r="I411" t="s">
        <v>769</v>
      </c>
      <c r="J411">
        <v>21</v>
      </c>
      <c r="K411" t="s">
        <v>1563</v>
      </c>
    </row>
    <row r="412" spans="1:11">
      <c r="A412" t="s">
        <v>770</v>
      </c>
      <c r="B412" t="s">
        <v>22</v>
      </c>
      <c r="C412" t="s">
        <v>23</v>
      </c>
      <c r="D412">
        <v>548</v>
      </c>
      <c r="E412" s="4">
        <v>46075</v>
      </c>
      <c r="F412" s="4">
        <v>46086</v>
      </c>
      <c r="G412" s="4">
        <v>46093</v>
      </c>
      <c r="H412">
        <v>444</v>
      </c>
      <c r="I412" t="s">
        <v>771</v>
      </c>
      <c r="J412">
        <v>33</v>
      </c>
      <c r="K412" t="s">
        <v>1563</v>
      </c>
    </row>
    <row r="413" spans="1:11">
      <c r="A413" t="s">
        <v>772</v>
      </c>
      <c r="B413" t="s">
        <v>120</v>
      </c>
      <c r="C413" t="s">
        <v>23</v>
      </c>
      <c r="D413">
        <v>781</v>
      </c>
      <c r="E413" s="4">
        <v>46085</v>
      </c>
      <c r="F413" s="4">
        <v>46094</v>
      </c>
      <c r="G413" s="4">
        <v>46093</v>
      </c>
      <c r="H413">
        <v>654</v>
      </c>
      <c r="I413" t="s">
        <v>773</v>
      </c>
      <c r="J413">
        <v>37</v>
      </c>
      <c r="K413" t="s">
        <v>1563</v>
      </c>
    </row>
    <row r="414" spans="1:11">
      <c r="A414" t="s">
        <v>774</v>
      </c>
      <c r="B414" t="s">
        <v>81</v>
      </c>
      <c r="C414" t="s">
        <v>16</v>
      </c>
      <c r="D414">
        <v>476</v>
      </c>
      <c r="E414" s="4">
        <v>46030</v>
      </c>
      <c r="F414" s="4">
        <v>46044</v>
      </c>
      <c r="G414" s="4">
        <v>46041</v>
      </c>
      <c r="H414">
        <v>485</v>
      </c>
      <c r="I414" t="s">
        <v>775</v>
      </c>
      <c r="J414">
        <v>6</v>
      </c>
      <c r="K414" t="s">
        <v>1563</v>
      </c>
    </row>
    <row r="415" spans="1:11">
      <c r="A415" t="s">
        <v>776</v>
      </c>
      <c r="B415" t="s">
        <v>35</v>
      </c>
      <c r="C415" t="s">
        <v>12</v>
      </c>
      <c r="D415">
        <v>81</v>
      </c>
      <c r="E415" s="4">
        <v>46042</v>
      </c>
      <c r="F415" s="4">
        <v>46053</v>
      </c>
      <c r="G415" s="4">
        <v>46052</v>
      </c>
      <c r="H415">
        <v>83</v>
      </c>
      <c r="I415" t="s">
        <v>212</v>
      </c>
      <c r="J415">
        <v>4</v>
      </c>
      <c r="K415" t="s">
        <v>1563</v>
      </c>
    </row>
    <row r="416" spans="1:11">
      <c r="A416" t="s">
        <v>777</v>
      </c>
      <c r="B416" t="s">
        <v>70</v>
      </c>
      <c r="C416" t="s">
        <v>16</v>
      </c>
      <c r="D416">
        <v>632</v>
      </c>
      <c r="E416" s="4">
        <v>46133</v>
      </c>
      <c r="F416" s="4">
        <v>46148</v>
      </c>
      <c r="G416" s="4">
        <v>46148</v>
      </c>
      <c r="H416">
        <v>643</v>
      </c>
      <c r="I416" t="s">
        <v>426</v>
      </c>
      <c r="J416">
        <v>6</v>
      </c>
      <c r="K416" t="s">
        <v>1563</v>
      </c>
    </row>
    <row r="417" spans="1:11">
      <c r="A417" t="s">
        <v>778</v>
      </c>
      <c r="B417" t="s">
        <v>81</v>
      </c>
      <c r="C417" t="s">
        <v>23</v>
      </c>
      <c r="D417">
        <v>218</v>
      </c>
      <c r="E417" s="4">
        <v>46041</v>
      </c>
      <c r="F417" s="4">
        <v>46048</v>
      </c>
      <c r="G417" s="4">
        <v>46057</v>
      </c>
      <c r="H417">
        <v>222</v>
      </c>
      <c r="I417" t="s">
        <v>779</v>
      </c>
      <c r="J417">
        <v>1</v>
      </c>
      <c r="K417" t="s">
        <v>1563</v>
      </c>
    </row>
    <row r="418" spans="1:11">
      <c r="A418" t="s">
        <v>780</v>
      </c>
      <c r="B418" t="s">
        <v>46</v>
      </c>
      <c r="C418" t="s">
        <v>12</v>
      </c>
      <c r="D418">
        <v>248</v>
      </c>
      <c r="E418" s="4">
        <v>46104</v>
      </c>
      <c r="F418" s="4">
        <v>46117</v>
      </c>
      <c r="G418" s="4">
        <v>46116</v>
      </c>
      <c r="H418">
        <v>239</v>
      </c>
      <c r="I418" t="s">
        <v>183</v>
      </c>
      <c r="J418">
        <v>19</v>
      </c>
      <c r="K418" t="s">
        <v>1563</v>
      </c>
    </row>
    <row r="419" spans="1:11">
      <c r="A419" t="s">
        <v>782</v>
      </c>
      <c r="B419" t="s">
        <v>67</v>
      </c>
      <c r="C419" t="s">
        <v>16</v>
      </c>
      <c r="D419">
        <v>354</v>
      </c>
      <c r="E419" s="4">
        <v>46157</v>
      </c>
      <c r="F419" s="4">
        <v>46171</v>
      </c>
      <c r="G419" s="4">
        <v>46171</v>
      </c>
      <c r="H419">
        <v>356</v>
      </c>
      <c r="I419" t="s">
        <v>783</v>
      </c>
      <c r="J419">
        <v>11</v>
      </c>
      <c r="K419" t="s">
        <v>1563</v>
      </c>
    </row>
    <row r="420" spans="1:11">
      <c r="A420" t="s">
        <v>784</v>
      </c>
      <c r="B420" t="s">
        <v>19</v>
      </c>
      <c r="C420" t="s">
        <v>23</v>
      </c>
      <c r="D420">
        <v>916</v>
      </c>
      <c r="E420" s="4">
        <v>46048</v>
      </c>
      <c r="F420" s="4">
        <v>46054</v>
      </c>
      <c r="G420" s="4">
        <v>46051</v>
      </c>
      <c r="H420">
        <v>915</v>
      </c>
      <c r="I420" t="s">
        <v>785</v>
      </c>
      <c r="J420">
        <v>7</v>
      </c>
      <c r="K420" t="s">
        <v>1563</v>
      </c>
    </row>
    <row r="421" spans="1:11">
      <c r="A421" t="s">
        <v>786</v>
      </c>
      <c r="B421" t="s">
        <v>22</v>
      </c>
      <c r="C421" t="s">
        <v>12</v>
      </c>
      <c r="D421">
        <v>813</v>
      </c>
      <c r="E421" s="4">
        <v>46113</v>
      </c>
      <c r="F421" s="4">
        <v>46118</v>
      </c>
      <c r="G421" s="4">
        <v>46116</v>
      </c>
      <c r="H421">
        <v>808</v>
      </c>
      <c r="I421" t="s">
        <v>204</v>
      </c>
      <c r="J421">
        <v>44</v>
      </c>
      <c r="K421" t="s">
        <v>1563</v>
      </c>
    </row>
    <row r="422" spans="1:11">
      <c r="A422" t="s">
        <v>787</v>
      </c>
      <c r="B422" t="s">
        <v>19</v>
      </c>
      <c r="C422" t="s">
        <v>16</v>
      </c>
      <c r="D422">
        <v>185</v>
      </c>
      <c r="E422" s="4">
        <v>46056</v>
      </c>
      <c r="F422" s="4">
        <v>46067</v>
      </c>
      <c r="G422" s="4">
        <v>46064</v>
      </c>
      <c r="H422">
        <v>185</v>
      </c>
      <c r="I422" t="s">
        <v>788</v>
      </c>
      <c r="J422">
        <v>9</v>
      </c>
      <c r="K422" t="s">
        <v>1563</v>
      </c>
    </row>
    <row r="423" spans="1:11">
      <c r="A423" t="s">
        <v>789</v>
      </c>
      <c r="B423" t="s">
        <v>26</v>
      </c>
      <c r="C423" t="s">
        <v>12</v>
      </c>
      <c r="D423">
        <v>402</v>
      </c>
      <c r="E423" s="4">
        <v>46072</v>
      </c>
      <c r="F423" s="4">
        <v>46085</v>
      </c>
      <c r="G423" s="4">
        <v>46083</v>
      </c>
      <c r="H423">
        <v>399</v>
      </c>
      <c r="I423" t="s">
        <v>183</v>
      </c>
      <c r="J423">
        <v>5</v>
      </c>
      <c r="K423" t="s">
        <v>1563</v>
      </c>
    </row>
    <row r="424" spans="1:11">
      <c r="A424" t="s">
        <v>790</v>
      </c>
      <c r="B424" t="s">
        <v>49</v>
      </c>
      <c r="C424" t="s">
        <v>12</v>
      </c>
      <c r="D424">
        <v>806</v>
      </c>
      <c r="E424" s="4">
        <v>46055</v>
      </c>
      <c r="F424" s="4">
        <v>46061</v>
      </c>
      <c r="G424" s="4">
        <v>46059</v>
      </c>
      <c r="H424">
        <v>794</v>
      </c>
      <c r="I424" t="s">
        <v>700</v>
      </c>
      <c r="J424">
        <v>7</v>
      </c>
      <c r="K424" t="s">
        <v>1563</v>
      </c>
    </row>
    <row r="425" spans="1:11">
      <c r="A425" t="s">
        <v>791</v>
      </c>
      <c r="B425" t="s">
        <v>40</v>
      </c>
      <c r="C425" t="s">
        <v>16</v>
      </c>
      <c r="D425">
        <v>641</v>
      </c>
      <c r="E425" s="4">
        <v>46046</v>
      </c>
      <c r="F425" s="4">
        <v>46058</v>
      </c>
      <c r="G425" s="4">
        <v>46058</v>
      </c>
      <c r="H425">
        <v>629</v>
      </c>
      <c r="I425" t="s">
        <v>792</v>
      </c>
      <c r="J425">
        <v>24</v>
      </c>
      <c r="K425" t="s">
        <v>1563</v>
      </c>
    </row>
    <row r="426" spans="1:11">
      <c r="A426" t="s">
        <v>793</v>
      </c>
      <c r="B426" t="s">
        <v>43</v>
      </c>
      <c r="C426" t="s">
        <v>23</v>
      </c>
      <c r="D426">
        <v>880</v>
      </c>
      <c r="E426" s="4">
        <v>46132</v>
      </c>
      <c r="F426" s="4">
        <v>46145</v>
      </c>
      <c r="G426" s="4">
        <v>46144</v>
      </c>
      <c r="H426">
        <v>887</v>
      </c>
      <c r="I426" t="s">
        <v>512</v>
      </c>
      <c r="J426">
        <v>46</v>
      </c>
      <c r="K426" t="s">
        <v>1563</v>
      </c>
    </row>
    <row r="427" spans="1:11">
      <c r="A427" t="s">
        <v>794</v>
      </c>
      <c r="B427" t="s">
        <v>64</v>
      </c>
      <c r="C427" t="s">
        <v>16</v>
      </c>
      <c r="D427">
        <v>917</v>
      </c>
      <c r="E427" s="4">
        <v>46027</v>
      </c>
      <c r="F427" s="4">
        <v>46034</v>
      </c>
      <c r="G427" s="4">
        <v>46039</v>
      </c>
      <c r="H427">
        <v>919</v>
      </c>
      <c r="I427" t="s">
        <v>795</v>
      </c>
      <c r="J427">
        <v>48</v>
      </c>
      <c r="K427" t="s">
        <v>1563</v>
      </c>
    </row>
    <row r="428" spans="1:11">
      <c r="A428" t="s">
        <v>796</v>
      </c>
      <c r="B428" t="s">
        <v>29</v>
      </c>
      <c r="C428" t="s">
        <v>16</v>
      </c>
      <c r="D428">
        <v>136</v>
      </c>
      <c r="E428" s="4">
        <v>46049</v>
      </c>
      <c r="F428" s="4">
        <v>46055</v>
      </c>
      <c r="G428" s="4">
        <v>46062</v>
      </c>
      <c r="H428">
        <v>110</v>
      </c>
      <c r="I428" t="s">
        <v>452</v>
      </c>
      <c r="J428">
        <v>1</v>
      </c>
      <c r="K428" t="s">
        <v>1563</v>
      </c>
    </row>
    <row r="429" spans="1:11">
      <c r="A429" t="s">
        <v>797</v>
      </c>
      <c r="B429" t="s">
        <v>120</v>
      </c>
      <c r="C429" t="s">
        <v>16</v>
      </c>
      <c r="D429">
        <v>907</v>
      </c>
      <c r="E429" s="4">
        <v>46055</v>
      </c>
      <c r="F429" s="4">
        <v>46066</v>
      </c>
      <c r="G429" s="4">
        <v>46066</v>
      </c>
      <c r="H429">
        <v>765</v>
      </c>
      <c r="I429" t="s">
        <v>150</v>
      </c>
      <c r="J429">
        <v>24</v>
      </c>
      <c r="K429" t="s">
        <v>1563</v>
      </c>
    </row>
    <row r="430" spans="1:11">
      <c r="A430" t="s">
        <v>798</v>
      </c>
      <c r="B430" t="s">
        <v>49</v>
      </c>
      <c r="C430" t="s">
        <v>12</v>
      </c>
      <c r="D430">
        <v>337</v>
      </c>
      <c r="E430" s="4">
        <v>46108</v>
      </c>
      <c r="F430" s="4">
        <v>46116</v>
      </c>
      <c r="G430" s="4">
        <v>46113</v>
      </c>
      <c r="H430">
        <v>333</v>
      </c>
      <c r="I430" t="s">
        <v>59</v>
      </c>
      <c r="J430">
        <v>0</v>
      </c>
      <c r="K430" t="s">
        <v>1563</v>
      </c>
    </row>
    <row r="431" spans="1:11">
      <c r="A431" t="s">
        <v>799</v>
      </c>
      <c r="B431" t="s">
        <v>11</v>
      </c>
      <c r="C431" t="s">
        <v>16</v>
      </c>
      <c r="D431">
        <v>367</v>
      </c>
      <c r="E431" s="4">
        <v>46100</v>
      </c>
      <c r="F431" s="4">
        <v>46115</v>
      </c>
      <c r="G431" s="4">
        <v>46113</v>
      </c>
      <c r="H431">
        <v>368</v>
      </c>
      <c r="I431" t="s">
        <v>272</v>
      </c>
      <c r="J431">
        <v>1</v>
      </c>
      <c r="K431" t="s">
        <v>1563</v>
      </c>
    </row>
    <row r="432" spans="1:11">
      <c r="A432" t="s">
        <v>801</v>
      </c>
      <c r="B432" t="s">
        <v>22</v>
      </c>
      <c r="C432" t="s">
        <v>12</v>
      </c>
      <c r="D432">
        <v>883</v>
      </c>
      <c r="E432" s="4">
        <v>46123</v>
      </c>
      <c r="F432" s="4">
        <v>46138</v>
      </c>
      <c r="G432" s="4">
        <v>46136</v>
      </c>
      <c r="H432">
        <v>897</v>
      </c>
      <c r="I432" t="s">
        <v>30</v>
      </c>
      <c r="J432">
        <v>64</v>
      </c>
      <c r="K432" t="s">
        <v>1563</v>
      </c>
    </row>
    <row r="433" spans="1:11">
      <c r="A433" t="s">
        <v>802</v>
      </c>
      <c r="B433" t="s">
        <v>26</v>
      </c>
      <c r="C433" t="s">
        <v>12</v>
      </c>
      <c r="D433">
        <v>962</v>
      </c>
      <c r="E433" s="4">
        <v>46064</v>
      </c>
      <c r="F433" s="4">
        <v>46071</v>
      </c>
      <c r="G433" s="4">
        <v>46068</v>
      </c>
      <c r="H433">
        <v>950</v>
      </c>
      <c r="I433" t="s">
        <v>682</v>
      </c>
      <c r="J433">
        <v>18</v>
      </c>
      <c r="K433" t="s">
        <v>1563</v>
      </c>
    </row>
    <row r="434" spans="1:11">
      <c r="A434" t="s">
        <v>803</v>
      </c>
      <c r="B434" t="s">
        <v>100</v>
      </c>
      <c r="C434" t="s">
        <v>12</v>
      </c>
      <c r="D434">
        <v>743</v>
      </c>
      <c r="E434" s="4">
        <v>46150</v>
      </c>
      <c r="F434" s="4">
        <v>46157</v>
      </c>
      <c r="G434" s="4">
        <v>46156</v>
      </c>
      <c r="H434">
        <v>737</v>
      </c>
      <c r="I434" t="s">
        <v>505</v>
      </c>
      <c r="J434">
        <v>2</v>
      </c>
      <c r="K434" t="s">
        <v>1563</v>
      </c>
    </row>
    <row r="435" spans="1:11">
      <c r="A435" t="s">
        <v>804</v>
      </c>
      <c r="B435" t="s">
        <v>35</v>
      </c>
      <c r="C435" t="s">
        <v>16</v>
      </c>
      <c r="D435">
        <v>844</v>
      </c>
      <c r="E435" s="4">
        <v>46061</v>
      </c>
      <c r="F435" s="4">
        <v>46073</v>
      </c>
      <c r="G435" s="4">
        <v>46077</v>
      </c>
      <c r="H435">
        <v>830</v>
      </c>
      <c r="I435" t="s">
        <v>805</v>
      </c>
      <c r="J435">
        <v>31</v>
      </c>
      <c r="K435" t="s">
        <v>1563</v>
      </c>
    </row>
    <row r="436" spans="1:11">
      <c r="A436" t="s">
        <v>806</v>
      </c>
      <c r="B436" t="s">
        <v>26</v>
      </c>
      <c r="C436" t="s">
        <v>12</v>
      </c>
      <c r="D436">
        <v>508</v>
      </c>
      <c r="E436" s="4">
        <v>46170</v>
      </c>
      <c r="F436" s="4">
        <v>46178</v>
      </c>
      <c r="G436" s="4">
        <v>46178</v>
      </c>
      <c r="H436">
        <v>509</v>
      </c>
      <c r="I436" t="s">
        <v>807</v>
      </c>
      <c r="J436">
        <v>4</v>
      </c>
      <c r="K436" t="s">
        <v>1563</v>
      </c>
    </row>
    <row r="437" spans="1:11">
      <c r="A437" t="s">
        <v>808</v>
      </c>
      <c r="B437" t="s">
        <v>120</v>
      </c>
      <c r="C437" t="s">
        <v>16</v>
      </c>
      <c r="D437">
        <v>84</v>
      </c>
      <c r="E437" s="4">
        <v>46157</v>
      </c>
      <c r="F437" s="4">
        <v>46162</v>
      </c>
      <c r="G437" s="4">
        <v>46161</v>
      </c>
      <c r="H437">
        <v>68</v>
      </c>
      <c r="I437" t="s">
        <v>467</v>
      </c>
      <c r="J437">
        <v>3</v>
      </c>
      <c r="K437" t="s">
        <v>1563</v>
      </c>
    </row>
    <row r="438" spans="1:11">
      <c r="A438" t="s">
        <v>809</v>
      </c>
      <c r="B438" t="s">
        <v>22</v>
      </c>
      <c r="C438" t="s">
        <v>16</v>
      </c>
      <c r="D438">
        <v>84</v>
      </c>
      <c r="E438" s="4">
        <v>46173</v>
      </c>
      <c r="F438" s="4">
        <v>46182</v>
      </c>
      <c r="G438" s="4">
        <v>46188</v>
      </c>
      <c r="H438">
        <v>69</v>
      </c>
      <c r="I438" t="s">
        <v>810</v>
      </c>
      <c r="J438">
        <v>3</v>
      </c>
      <c r="K438" t="s">
        <v>1563</v>
      </c>
    </row>
    <row r="439" spans="1:11">
      <c r="A439" t="s">
        <v>811</v>
      </c>
      <c r="B439" t="s">
        <v>11</v>
      </c>
      <c r="C439" t="s">
        <v>12</v>
      </c>
      <c r="D439">
        <v>646</v>
      </c>
      <c r="E439" s="4">
        <v>46111</v>
      </c>
      <c r="F439" s="4">
        <v>46123</v>
      </c>
      <c r="G439" s="4">
        <v>46122</v>
      </c>
      <c r="H439">
        <v>647</v>
      </c>
      <c r="I439" t="s">
        <v>469</v>
      </c>
      <c r="J439">
        <v>4</v>
      </c>
      <c r="K439" t="s">
        <v>1563</v>
      </c>
    </row>
    <row r="440" spans="1:11">
      <c r="A440" t="s">
        <v>812</v>
      </c>
      <c r="B440" t="s">
        <v>49</v>
      </c>
      <c r="C440" t="s">
        <v>16</v>
      </c>
      <c r="D440">
        <v>640</v>
      </c>
      <c r="E440" s="4">
        <v>46161</v>
      </c>
      <c r="F440" s="4">
        <v>46166</v>
      </c>
      <c r="G440" s="4">
        <v>46173</v>
      </c>
      <c r="H440">
        <v>644</v>
      </c>
      <c r="I440" t="s">
        <v>813</v>
      </c>
      <c r="J440">
        <v>1</v>
      </c>
      <c r="K440" t="s">
        <v>1563</v>
      </c>
    </row>
    <row r="441" spans="1:11">
      <c r="A441" t="s">
        <v>814</v>
      </c>
      <c r="B441" t="s">
        <v>46</v>
      </c>
      <c r="C441" t="s">
        <v>16</v>
      </c>
      <c r="D441">
        <v>375</v>
      </c>
      <c r="E441" s="4">
        <v>46099</v>
      </c>
      <c r="F441" s="4">
        <v>46112</v>
      </c>
      <c r="G441" s="4">
        <v>46109</v>
      </c>
      <c r="H441">
        <v>376</v>
      </c>
      <c r="I441" t="s">
        <v>815</v>
      </c>
      <c r="J441">
        <v>17</v>
      </c>
      <c r="K441" t="s">
        <v>1563</v>
      </c>
    </row>
    <row r="442" spans="1:11">
      <c r="A442" t="s">
        <v>816</v>
      </c>
      <c r="B442" t="s">
        <v>43</v>
      </c>
      <c r="C442" t="s">
        <v>16</v>
      </c>
      <c r="D442">
        <v>87</v>
      </c>
      <c r="E442" s="4">
        <v>46117</v>
      </c>
      <c r="F442" s="4">
        <v>46132</v>
      </c>
      <c r="G442" s="4">
        <v>46132</v>
      </c>
      <c r="H442">
        <v>88</v>
      </c>
      <c r="I442" t="s">
        <v>594</v>
      </c>
      <c r="J442">
        <v>3</v>
      </c>
      <c r="K442" t="s">
        <v>1563</v>
      </c>
    </row>
    <row r="443" spans="1:11">
      <c r="A443" t="s">
        <v>817</v>
      </c>
      <c r="B443" t="s">
        <v>177</v>
      </c>
      <c r="C443" t="s">
        <v>12</v>
      </c>
      <c r="D443">
        <v>960</v>
      </c>
      <c r="E443" s="4">
        <v>46084</v>
      </c>
      <c r="F443" s="4">
        <v>46098</v>
      </c>
      <c r="G443" s="4">
        <v>46107</v>
      </c>
      <c r="H443">
        <v>824</v>
      </c>
      <c r="I443" t="s">
        <v>670</v>
      </c>
      <c r="J443">
        <v>13</v>
      </c>
      <c r="K443" t="s">
        <v>1563</v>
      </c>
    </row>
    <row r="444" spans="1:11">
      <c r="A444" t="s">
        <v>818</v>
      </c>
      <c r="B444" t="s">
        <v>40</v>
      </c>
      <c r="C444" t="s">
        <v>12</v>
      </c>
      <c r="D444">
        <v>506</v>
      </c>
      <c r="E444" s="4">
        <v>46160</v>
      </c>
      <c r="F444" s="4">
        <v>46169</v>
      </c>
      <c r="G444" s="4"/>
      <c r="I444" t="s">
        <v>819</v>
      </c>
      <c r="K444" t="s">
        <v>1565</v>
      </c>
    </row>
    <row r="445" spans="1:11">
      <c r="A445" t="s">
        <v>820</v>
      </c>
      <c r="B445" t="s">
        <v>29</v>
      </c>
      <c r="C445" t="s">
        <v>12</v>
      </c>
      <c r="D445">
        <v>320</v>
      </c>
      <c r="E445" s="4">
        <v>46089</v>
      </c>
      <c r="F445" s="4">
        <v>46100</v>
      </c>
      <c r="G445" s="4">
        <v>46100</v>
      </c>
      <c r="H445">
        <v>315</v>
      </c>
      <c r="I445" t="s">
        <v>821</v>
      </c>
      <c r="J445">
        <v>3</v>
      </c>
      <c r="K445" t="s">
        <v>1563</v>
      </c>
    </row>
    <row r="446" spans="1:11">
      <c r="A446" t="s">
        <v>822</v>
      </c>
      <c r="B446" t="s">
        <v>46</v>
      </c>
      <c r="C446" t="s">
        <v>16</v>
      </c>
      <c r="D446">
        <v>630</v>
      </c>
      <c r="E446" s="4">
        <v>46118</v>
      </c>
      <c r="F446" s="4">
        <v>46130</v>
      </c>
      <c r="G446" s="4">
        <v>46128</v>
      </c>
      <c r="H446">
        <v>638</v>
      </c>
      <c r="I446" t="s">
        <v>569</v>
      </c>
      <c r="J446">
        <v>19</v>
      </c>
      <c r="K446" t="s">
        <v>1563</v>
      </c>
    </row>
    <row r="447" spans="1:11">
      <c r="A447" t="s">
        <v>823</v>
      </c>
      <c r="B447" t="s">
        <v>67</v>
      </c>
      <c r="C447" t="s">
        <v>23</v>
      </c>
      <c r="D447">
        <v>477</v>
      </c>
      <c r="E447" s="4">
        <v>46094</v>
      </c>
      <c r="F447" s="4">
        <v>46099</v>
      </c>
      <c r="G447" s="4">
        <v>46103</v>
      </c>
      <c r="H447">
        <v>482</v>
      </c>
      <c r="I447" t="s">
        <v>824</v>
      </c>
      <c r="J447">
        <v>20</v>
      </c>
      <c r="K447" t="s">
        <v>1563</v>
      </c>
    </row>
    <row r="448" spans="1:11">
      <c r="A448" t="s">
        <v>825</v>
      </c>
      <c r="B448" t="s">
        <v>26</v>
      </c>
      <c r="C448" t="s">
        <v>12</v>
      </c>
      <c r="D448">
        <v>835</v>
      </c>
      <c r="E448" s="4">
        <v>46069</v>
      </c>
      <c r="F448" s="4">
        <v>46081</v>
      </c>
      <c r="G448" s="4">
        <v>46085</v>
      </c>
      <c r="H448">
        <v>745</v>
      </c>
      <c r="I448" t="s">
        <v>505</v>
      </c>
      <c r="J448">
        <v>17</v>
      </c>
      <c r="K448" t="s">
        <v>1563</v>
      </c>
    </row>
    <row r="449" spans="1:11">
      <c r="A449" t="s">
        <v>826</v>
      </c>
      <c r="B449" t="s">
        <v>49</v>
      </c>
      <c r="C449" t="s">
        <v>16</v>
      </c>
      <c r="D449">
        <v>962</v>
      </c>
      <c r="E449" s="4">
        <v>46125</v>
      </c>
      <c r="F449" s="4">
        <v>46139</v>
      </c>
      <c r="G449" s="4">
        <v>46146</v>
      </c>
      <c r="H449">
        <v>979</v>
      </c>
      <c r="I449" t="s">
        <v>381</v>
      </c>
      <c r="J449">
        <v>14</v>
      </c>
      <c r="K449" t="s">
        <v>1563</v>
      </c>
    </row>
    <row r="450" spans="1:11">
      <c r="A450" t="s">
        <v>827</v>
      </c>
      <c r="B450" t="s">
        <v>43</v>
      </c>
      <c r="C450" t="s">
        <v>16</v>
      </c>
      <c r="D450">
        <v>384</v>
      </c>
      <c r="E450" s="4">
        <v>46126</v>
      </c>
      <c r="F450" s="4">
        <v>46135</v>
      </c>
      <c r="G450" s="4">
        <v>46135</v>
      </c>
      <c r="H450">
        <v>382</v>
      </c>
      <c r="I450" t="s">
        <v>769</v>
      </c>
      <c r="J450">
        <v>4</v>
      </c>
      <c r="K450" t="s">
        <v>1563</v>
      </c>
    </row>
    <row r="451" spans="1:11">
      <c r="A451" t="s">
        <v>828</v>
      </c>
      <c r="B451" t="s">
        <v>49</v>
      </c>
      <c r="C451" t="s">
        <v>23</v>
      </c>
      <c r="D451">
        <v>693</v>
      </c>
      <c r="E451" s="4">
        <v>46128</v>
      </c>
      <c r="F451" s="4">
        <v>46136</v>
      </c>
      <c r="G451" s="4">
        <v>46134</v>
      </c>
      <c r="H451">
        <v>701</v>
      </c>
      <c r="I451" t="s">
        <v>142</v>
      </c>
      <c r="J451">
        <v>5</v>
      </c>
      <c r="K451" t="s">
        <v>1563</v>
      </c>
    </row>
    <row r="452" spans="1:11">
      <c r="A452" t="s">
        <v>829</v>
      </c>
      <c r="B452" t="s">
        <v>46</v>
      </c>
      <c r="C452" t="s">
        <v>16</v>
      </c>
      <c r="D452">
        <v>225</v>
      </c>
      <c r="E452" s="4">
        <v>46170</v>
      </c>
      <c r="F452" s="4">
        <v>46185</v>
      </c>
      <c r="G452" s="4">
        <v>46186</v>
      </c>
      <c r="H452">
        <v>228</v>
      </c>
      <c r="I452" t="s">
        <v>92</v>
      </c>
      <c r="J452">
        <v>10</v>
      </c>
      <c r="K452" t="s">
        <v>1563</v>
      </c>
    </row>
    <row r="453" spans="1:11">
      <c r="A453" t="s">
        <v>830</v>
      </c>
      <c r="B453" t="s">
        <v>43</v>
      </c>
      <c r="C453" t="s">
        <v>16</v>
      </c>
      <c r="D453">
        <v>755</v>
      </c>
      <c r="E453" s="4">
        <v>46173</v>
      </c>
      <c r="F453" s="4">
        <v>46179</v>
      </c>
      <c r="G453" s="4">
        <v>46187</v>
      </c>
      <c r="H453">
        <v>765</v>
      </c>
      <c r="I453" t="s">
        <v>831</v>
      </c>
      <c r="J453">
        <v>50</v>
      </c>
      <c r="K453" t="s">
        <v>1563</v>
      </c>
    </row>
    <row r="454" spans="1:11">
      <c r="A454" t="s">
        <v>832</v>
      </c>
      <c r="B454" t="s">
        <v>43</v>
      </c>
      <c r="C454" t="s">
        <v>23</v>
      </c>
      <c r="D454">
        <v>737</v>
      </c>
      <c r="E454" s="4">
        <v>46110</v>
      </c>
      <c r="F454" s="4">
        <v>46116</v>
      </c>
      <c r="G454" s="4">
        <v>46117</v>
      </c>
      <c r="H454">
        <v>733</v>
      </c>
      <c r="I454" t="s">
        <v>833</v>
      </c>
      <c r="J454">
        <v>6</v>
      </c>
      <c r="K454" t="s">
        <v>1563</v>
      </c>
    </row>
    <row r="455" spans="1:11">
      <c r="A455" t="s">
        <v>834</v>
      </c>
      <c r="B455" t="s">
        <v>11</v>
      </c>
      <c r="C455" t="s">
        <v>16</v>
      </c>
      <c r="D455">
        <v>734</v>
      </c>
      <c r="E455" s="4">
        <v>46148</v>
      </c>
      <c r="F455" s="4">
        <v>46155</v>
      </c>
      <c r="G455" s="4">
        <v>46153</v>
      </c>
      <c r="H455">
        <v>739</v>
      </c>
      <c r="I455" t="s">
        <v>722</v>
      </c>
      <c r="J455">
        <v>11</v>
      </c>
      <c r="K455" t="s">
        <v>1563</v>
      </c>
    </row>
    <row r="456" spans="1:11">
      <c r="A456" t="s">
        <v>835</v>
      </c>
      <c r="B456" t="s">
        <v>120</v>
      </c>
      <c r="C456" t="s">
        <v>12</v>
      </c>
      <c r="D456">
        <v>564</v>
      </c>
      <c r="E456" s="4">
        <v>46062</v>
      </c>
      <c r="F456" s="4">
        <v>46076</v>
      </c>
      <c r="G456" s="4">
        <v>46074</v>
      </c>
      <c r="H456">
        <v>497</v>
      </c>
      <c r="I456" t="s">
        <v>836</v>
      </c>
      <c r="J456">
        <v>23</v>
      </c>
      <c r="K456" t="s">
        <v>1563</v>
      </c>
    </row>
    <row r="457" spans="1:11">
      <c r="A457" t="s">
        <v>837</v>
      </c>
      <c r="B457" t="s">
        <v>40</v>
      </c>
      <c r="C457" t="s">
        <v>12</v>
      </c>
      <c r="D457">
        <v>409</v>
      </c>
      <c r="E457" s="4">
        <v>46149</v>
      </c>
      <c r="F457" s="4">
        <v>46157</v>
      </c>
      <c r="G457" s="4">
        <v>46156</v>
      </c>
      <c r="H457">
        <v>407</v>
      </c>
      <c r="I457" t="s">
        <v>307</v>
      </c>
      <c r="J457">
        <v>20</v>
      </c>
      <c r="K457" t="s">
        <v>1563</v>
      </c>
    </row>
    <row r="458" spans="1:11">
      <c r="A458" t="s">
        <v>838</v>
      </c>
      <c r="B458" t="s">
        <v>100</v>
      </c>
      <c r="C458" t="s">
        <v>16</v>
      </c>
      <c r="D458">
        <v>915</v>
      </c>
      <c r="E458" s="4">
        <v>46048</v>
      </c>
      <c r="F458" s="4">
        <v>46062</v>
      </c>
      <c r="G458" s="4">
        <v>46060</v>
      </c>
      <c r="H458">
        <v>801</v>
      </c>
      <c r="I458" t="s">
        <v>452</v>
      </c>
      <c r="J458">
        <v>16</v>
      </c>
      <c r="K458" t="s">
        <v>1563</v>
      </c>
    </row>
    <row r="459" spans="1:11">
      <c r="A459" t="s">
        <v>839</v>
      </c>
      <c r="B459" t="s">
        <v>67</v>
      </c>
      <c r="C459" t="s">
        <v>23</v>
      </c>
      <c r="D459">
        <v>243</v>
      </c>
      <c r="E459" s="4">
        <v>46122</v>
      </c>
      <c r="F459" s="4">
        <v>46127</v>
      </c>
      <c r="G459" s="4">
        <v>46125</v>
      </c>
      <c r="H459">
        <v>238</v>
      </c>
      <c r="I459" t="s">
        <v>840</v>
      </c>
      <c r="J459">
        <v>4</v>
      </c>
      <c r="K459" t="s">
        <v>1563</v>
      </c>
    </row>
    <row r="460" spans="1:11">
      <c r="A460" t="s">
        <v>841</v>
      </c>
      <c r="B460" t="s">
        <v>177</v>
      </c>
      <c r="C460" t="s">
        <v>16</v>
      </c>
      <c r="D460">
        <v>172</v>
      </c>
      <c r="E460" s="4">
        <v>46043</v>
      </c>
      <c r="F460" s="4">
        <v>46050</v>
      </c>
      <c r="G460" s="4">
        <v>46049</v>
      </c>
      <c r="H460">
        <v>170</v>
      </c>
      <c r="I460" t="s">
        <v>401</v>
      </c>
      <c r="J460">
        <v>3</v>
      </c>
      <c r="K460" t="s">
        <v>1563</v>
      </c>
    </row>
    <row r="461" spans="1:11">
      <c r="A461" t="s">
        <v>842</v>
      </c>
      <c r="B461" t="s">
        <v>35</v>
      </c>
      <c r="C461" t="s">
        <v>16</v>
      </c>
      <c r="D461">
        <v>966</v>
      </c>
      <c r="E461" s="4">
        <v>46144</v>
      </c>
      <c r="F461" s="4">
        <v>46152</v>
      </c>
      <c r="G461" s="4">
        <v>46152</v>
      </c>
      <c r="H461">
        <v>951</v>
      </c>
      <c r="I461" t="s">
        <v>843</v>
      </c>
      <c r="J461">
        <v>39</v>
      </c>
      <c r="K461" t="s">
        <v>1563</v>
      </c>
    </row>
    <row r="462" spans="1:11">
      <c r="A462" t="s">
        <v>844</v>
      </c>
      <c r="B462" t="s">
        <v>46</v>
      </c>
      <c r="C462" t="s">
        <v>12</v>
      </c>
      <c r="D462">
        <v>553</v>
      </c>
      <c r="E462" s="4">
        <v>46170</v>
      </c>
      <c r="F462" s="4">
        <v>46184</v>
      </c>
      <c r="G462" s="4">
        <v>46183</v>
      </c>
      <c r="H462">
        <v>552</v>
      </c>
      <c r="I462" t="s">
        <v>136</v>
      </c>
      <c r="J462">
        <v>35</v>
      </c>
      <c r="K462" t="s">
        <v>1563</v>
      </c>
    </row>
    <row r="463" spans="1:11">
      <c r="A463" t="s">
        <v>845</v>
      </c>
      <c r="B463" t="s">
        <v>26</v>
      </c>
      <c r="C463" t="s">
        <v>12</v>
      </c>
      <c r="D463">
        <v>615</v>
      </c>
      <c r="E463" s="4">
        <v>46039</v>
      </c>
      <c r="F463" s="4">
        <v>46048</v>
      </c>
      <c r="G463" s="4">
        <v>46045</v>
      </c>
      <c r="H463">
        <v>626</v>
      </c>
      <c r="I463" t="s">
        <v>167</v>
      </c>
      <c r="J463">
        <v>6</v>
      </c>
      <c r="K463" t="s">
        <v>1563</v>
      </c>
    </row>
    <row r="464" spans="1:11">
      <c r="A464" t="s">
        <v>846</v>
      </c>
      <c r="B464" t="s">
        <v>29</v>
      </c>
      <c r="C464" t="s">
        <v>16</v>
      </c>
      <c r="D464">
        <v>355</v>
      </c>
      <c r="E464" s="4">
        <v>46147</v>
      </c>
      <c r="F464" s="4">
        <v>46152</v>
      </c>
      <c r="G464" s="4">
        <v>46150</v>
      </c>
      <c r="H464">
        <v>357</v>
      </c>
      <c r="I464" t="s">
        <v>125</v>
      </c>
      <c r="J464">
        <v>2</v>
      </c>
      <c r="K464" t="s">
        <v>1563</v>
      </c>
    </row>
    <row r="465" spans="1:11">
      <c r="A465" t="s">
        <v>847</v>
      </c>
      <c r="B465" t="s">
        <v>100</v>
      </c>
      <c r="C465" t="s">
        <v>16</v>
      </c>
      <c r="D465">
        <v>988</v>
      </c>
      <c r="E465" s="4">
        <v>46107</v>
      </c>
      <c r="F465" s="4">
        <v>46117</v>
      </c>
      <c r="G465" s="4">
        <v>46114</v>
      </c>
      <c r="H465">
        <v>981</v>
      </c>
      <c r="I465" t="s">
        <v>848</v>
      </c>
      <c r="J465">
        <v>38</v>
      </c>
      <c r="K465" t="s">
        <v>1563</v>
      </c>
    </row>
    <row r="466" spans="1:11">
      <c r="A466" t="s">
        <v>849</v>
      </c>
      <c r="B466" t="s">
        <v>70</v>
      </c>
      <c r="C466" t="s">
        <v>12</v>
      </c>
      <c r="D466">
        <v>672</v>
      </c>
      <c r="E466" s="4">
        <v>46063</v>
      </c>
      <c r="F466" s="4">
        <v>46072</v>
      </c>
      <c r="G466" s="4">
        <v>46075</v>
      </c>
      <c r="H466">
        <v>668</v>
      </c>
      <c r="I466" t="s">
        <v>115</v>
      </c>
      <c r="J466">
        <v>12</v>
      </c>
      <c r="K466" t="s">
        <v>1563</v>
      </c>
    </row>
    <row r="467" spans="1:11">
      <c r="A467" t="s">
        <v>850</v>
      </c>
      <c r="B467" t="s">
        <v>11</v>
      </c>
      <c r="C467" t="s">
        <v>16</v>
      </c>
      <c r="D467">
        <v>125</v>
      </c>
      <c r="E467" s="4">
        <v>46144</v>
      </c>
      <c r="F467" s="4">
        <v>46155</v>
      </c>
      <c r="G467" s="4">
        <v>46155</v>
      </c>
      <c r="H467">
        <v>116</v>
      </c>
      <c r="I467" t="s">
        <v>737</v>
      </c>
      <c r="J467">
        <v>2</v>
      </c>
      <c r="K467" t="s">
        <v>1563</v>
      </c>
    </row>
    <row r="468" spans="1:11">
      <c r="A468" t="s">
        <v>851</v>
      </c>
      <c r="B468" t="s">
        <v>52</v>
      </c>
      <c r="C468" t="s">
        <v>12</v>
      </c>
      <c r="D468">
        <v>616</v>
      </c>
      <c r="E468" s="4">
        <v>46035</v>
      </c>
      <c r="F468" s="4">
        <v>46047</v>
      </c>
      <c r="G468" s="4">
        <v>46046</v>
      </c>
      <c r="H468">
        <v>519</v>
      </c>
      <c r="I468" t="s">
        <v>647</v>
      </c>
      <c r="J468">
        <v>0</v>
      </c>
      <c r="K468" t="s">
        <v>1563</v>
      </c>
    </row>
    <row r="469" spans="1:11">
      <c r="A469" t="s">
        <v>852</v>
      </c>
      <c r="B469" t="s">
        <v>29</v>
      </c>
      <c r="C469" t="s">
        <v>12</v>
      </c>
      <c r="D469">
        <v>176</v>
      </c>
      <c r="E469" s="4">
        <v>46175</v>
      </c>
      <c r="F469" s="4">
        <v>46180</v>
      </c>
      <c r="G469" s="4">
        <v>46183</v>
      </c>
      <c r="H469">
        <v>177</v>
      </c>
      <c r="I469" t="s">
        <v>73</v>
      </c>
      <c r="J469">
        <v>2</v>
      </c>
      <c r="K469" t="s">
        <v>1563</v>
      </c>
    </row>
    <row r="470" spans="1:11">
      <c r="A470" t="s">
        <v>853</v>
      </c>
      <c r="B470" t="s">
        <v>22</v>
      </c>
      <c r="C470" t="s">
        <v>12</v>
      </c>
      <c r="D470">
        <v>747</v>
      </c>
      <c r="E470" s="4">
        <v>46033</v>
      </c>
      <c r="F470" s="4">
        <v>46043</v>
      </c>
      <c r="G470" s="4">
        <v>46047</v>
      </c>
      <c r="H470">
        <v>643</v>
      </c>
      <c r="I470" t="s">
        <v>854</v>
      </c>
      <c r="J470">
        <v>24</v>
      </c>
      <c r="K470" t="s">
        <v>1563</v>
      </c>
    </row>
    <row r="471" spans="1:11">
      <c r="A471" t="s">
        <v>855</v>
      </c>
      <c r="B471" t="s">
        <v>43</v>
      </c>
      <c r="C471" t="s">
        <v>16</v>
      </c>
      <c r="D471">
        <v>183</v>
      </c>
      <c r="E471" s="4">
        <v>46030</v>
      </c>
      <c r="F471" s="4">
        <v>46044</v>
      </c>
      <c r="G471" s="4">
        <v>46041</v>
      </c>
      <c r="H471">
        <v>184</v>
      </c>
      <c r="I471" t="s">
        <v>856</v>
      </c>
      <c r="J471">
        <v>8</v>
      </c>
      <c r="K471" t="s">
        <v>1563</v>
      </c>
    </row>
    <row r="472" spans="1:11">
      <c r="A472" t="s">
        <v>857</v>
      </c>
      <c r="B472" t="s">
        <v>81</v>
      </c>
      <c r="C472" t="s">
        <v>12</v>
      </c>
      <c r="D472">
        <v>553</v>
      </c>
      <c r="E472" s="4">
        <v>46116</v>
      </c>
      <c r="F472" s="4">
        <v>46125</v>
      </c>
      <c r="G472" s="4">
        <v>46124</v>
      </c>
      <c r="H472">
        <v>557</v>
      </c>
      <c r="I472" t="s">
        <v>605</v>
      </c>
      <c r="J472">
        <v>1</v>
      </c>
      <c r="K472" t="s">
        <v>1563</v>
      </c>
    </row>
    <row r="473" spans="1:11">
      <c r="A473" t="s">
        <v>858</v>
      </c>
      <c r="B473" t="s">
        <v>46</v>
      </c>
      <c r="C473" t="s">
        <v>12</v>
      </c>
      <c r="D473">
        <v>263</v>
      </c>
      <c r="E473" s="4">
        <v>46132</v>
      </c>
      <c r="F473" s="4">
        <v>46141</v>
      </c>
      <c r="G473" s="4">
        <v>46139</v>
      </c>
      <c r="H473">
        <v>264</v>
      </c>
      <c r="I473" t="s">
        <v>391</v>
      </c>
      <c r="J473">
        <v>17</v>
      </c>
      <c r="K473" t="s">
        <v>1563</v>
      </c>
    </row>
    <row r="474" spans="1:11">
      <c r="A474" t="s">
        <v>859</v>
      </c>
      <c r="B474" t="s">
        <v>177</v>
      </c>
      <c r="C474" t="s">
        <v>16</v>
      </c>
      <c r="D474">
        <v>707</v>
      </c>
      <c r="E474" s="4">
        <v>46110</v>
      </c>
      <c r="F474" s="4">
        <v>46116</v>
      </c>
      <c r="G474" s="4">
        <v>46124</v>
      </c>
      <c r="H474">
        <v>702</v>
      </c>
      <c r="I474" t="s">
        <v>1564</v>
      </c>
      <c r="J474">
        <v>33</v>
      </c>
      <c r="K474" t="s">
        <v>1563</v>
      </c>
    </row>
    <row r="475" spans="1:11">
      <c r="A475" t="s">
        <v>860</v>
      </c>
      <c r="B475" t="s">
        <v>32</v>
      </c>
      <c r="C475" t="s">
        <v>12</v>
      </c>
      <c r="D475">
        <v>131</v>
      </c>
      <c r="E475" s="4">
        <v>46110</v>
      </c>
      <c r="F475" s="4">
        <v>46115</v>
      </c>
      <c r="G475" s="4">
        <v>46112</v>
      </c>
      <c r="H475">
        <v>130</v>
      </c>
      <c r="I475" t="s">
        <v>711</v>
      </c>
      <c r="J475">
        <v>1</v>
      </c>
      <c r="K475" t="s">
        <v>1563</v>
      </c>
    </row>
    <row r="476" spans="1:11">
      <c r="A476" t="s">
        <v>861</v>
      </c>
      <c r="B476" t="s">
        <v>49</v>
      </c>
      <c r="C476" t="s">
        <v>12</v>
      </c>
      <c r="D476">
        <v>289</v>
      </c>
      <c r="E476" s="4">
        <v>46077</v>
      </c>
      <c r="F476" s="4">
        <v>46083</v>
      </c>
      <c r="G476" s="4"/>
      <c r="I476" t="s">
        <v>862</v>
      </c>
      <c r="K476" t="s">
        <v>1565</v>
      </c>
    </row>
    <row r="477" spans="1:11">
      <c r="A477" t="s">
        <v>863</v>
      </c>
      <c r="B477" t="s">
        <v>11</v>
      </c>
      <c r="C477" t="s">
        <v>12</v>
      </c>
      <c r="D477">
        <v>979</v>
      </c>
      <c r="E477" s="4">
        <v>46029</v>
      </c>
      <c r="F477" s="4">
        <v>46034</v>
      </c>
      <c r="G477" s="4">
        <v>46036</v>
      </c>
      <c r="H477">
        <v>981</v>
      </c>
      <c r="I477" t="s">
        <v>864</v>
      </c>
      <c r="J477">
        <v>31</v>
      </c>
      <c r="K477" t="s">
        <v>1563</v>
      </c>
    </row>
    <row r="478" spans="1:11">
      <c r="A478" t="s">
        <v>865</v>
      </c>
      <c r="B478" t="s">
        <v>35</v>
      </c>
      <c r="C478" t="s">
        <v>12</v>
      </c>
      <c r="D478">
        <v>600</v>
      </c>
      <c r="E478" s="4">
        <v>46068</v>
      </c>
      <c r="F478" s="4">
        <v>46077</v>
      </c>
      <c r="G478" s="4">
        <v>46074</v>
      </c>
      <c r="H478">
        <v>540</v>
      </c>
      <c r="I478" t="s">
        <v>668</v>
      </c>
      <c r="J478">
        <v>35</v>
      </c>
      <c r="K478" t="s">
        <v>1563</v>
      </c>
    </row>
    <row r="479" spans="1:11">
      <c r="A479" t="s">
        <v>866</v>
      </c>
      <c r="B479" t="s">
        <v>40</v>
      </c>
      <c r="C479" t="s">
        <v>23</v>
      </c>
      <c r="D479">
        <v>565</v>
      </c>
      <c r="E479" s="4">
        <v>46051</v>
      </c>
      <c r="F479" s="4">
        <v>46066</v>
      </c>
      <c r="G479" s="4">
        <v>46074</v>
      </c>
      <c r="H479">
        <v>560</v>
      </c>
      <c r="I479" t="s">
        <v>636</v>
      </c>
      <c r="J479">
        <v>12</v>
      </c>
      <c r="K479" t="s">
        <v>1563</v>
      </c>
    </row>
    <row r="480" spans="1:11">
      <c r="A480" t="s">
        <v>867</v>
      </c>
      <c r="B480" t="s">
        <v>177</v>
      </c>
      <c r="C480" t="s">
        <v>23</v>
      </c>
      <c r="D480">
        <v>540</v>
      </c>
      <c r="E480" s="4">
        <v>46121</v>
      </c>
      <c r="F480" s="4">
        <v>46132</v>
      </c>
      <c r="G480" s="4">
        <v>46129</v>
      </c>
      <c r="H480">
        <v>541</v>
      </c>
      <c r="I480" t="s">
        <v>314</v>
      </c>
      <c r="J480">
        <v>16</v>
      </c>
      <c r="K480" t="s">
        <v>1563</v>
      </c>
    </row>
    <row r="481" spans="1:11">
      <c r="A481" t="s">
        <v>868</v>
      </c>
      <c r="B481" t="s">
        <v>19</v>
      </c>
      <c r="C481" t="s">
        <v>16</v>
      </c>
      <c r="D481">
        <v>353</v>
      </c>
      <c r="E481" s="4">
        <v>46050</v>
      </c>
      <c r="F481" s="4">
        <v>46055</v>
      </c>
      <c r="G481" s="4">
        <v>46052</v>
      </c>
      <c r="H481">
        <v>355</v>
      </c>
      <c r="I481" t="s">
        <v>27</v>
      </c>
      <c r="J481">
        <v>0</v>
      </c>
      <c r="K481" t="s">
        <v>1563</v>
      </c>
    </row>
    <row r="482" spans="1:11">
      <c r="A482" t="s">
        <v>869</v>
      </c>
      <c r="B482" t="s">
        <v>177</v>
      </c>
      <c r="C482" t="s">
        <v>23</v>
      </c>
      <c r="D482">
        <v>214</v>
      </c>
      <c r="E482" s="4">
        <v>46106</v>
      </c>
      <c r="F482" s="4">
        <v>46112</v>
      </c>
      <c r="G482" s="4">
        <v>46109</v>
      </c>
      <c r="H482">
        <v>213</v>
      </c>
      <c r="I482" t="s">
        <v>748</v>
      </c>
      <c r="J482">
        <v>11</v>
      </c>
      <c r="K482" t="s">
        <v>1563</v>
      </c>
    </row>
    <row r="483" spans="1:11">
      <c r="A483" t="s">
        <v>871</v>
      </c>
      <c r="B483" t="s">
        <v>64</v>
      </c>
      <c r="C483" t="s">
        <v>12</v>
      </c>
      <c r="D483">
        <v>585</v>
      </c>
      <c r="E483" s="4">
        <v>46095</v>
      </c>
      <c r="F483" s="4">
        <v>46103</v>
      </c>
      <c r="G483" s="4">
        <v>46103</v>
      </c>
      <c r="H483">
        <v>582</v>
      </c>
      <c r="I483" t="s">
        <v>872</v>
      </c>
      <c r="J483">
        <v>5</v>
      </c>
      <c r="K483" t="s">
        <v>1563</v>
      </c>
    </row>
    <row r="484" spans="1:11">
      <c r="A484" t="s">
        <v>873</v>
      </c>
      <c r="B484" t="s">
        <v>177</v>
      </c>
      <c r="C484" t="s">
        <v>16</v>
      </c>
      <c r="D484">
        <v>887</v>
      </c>
      <c r="E484" s="4">
        <v>46040</v>
      </c>
      <c r="F484" s="4">
        <v>46049</v>
      </c>
      <c r="G484" s="4">
        <v>46056</v>
      </c>
      <c r="H484">
        <v>899</v>
      </c>
      <c r="I484" t="s">
        <v>874</v>
      </c>
      <c r="J484">
        <v>17</v>
      </c>
      <c r="K484" t="s">
        <v>1563</v>
      </c>
    </row>
    <row r="485" spans="1:11">
      <c r="A485" t="s">
        <v>875</v>
      </c>
      <c r="B485" t="s">
        <v>29</v>
      </c>
      <c r="C485" t="s">
        <v>16</v>
      </c>
      <c r="D485">
        <v>190</v>
      </c>
      <c r="E485" s="4">
        <v>46094</v>
      </c>
      <c r="F485" s="4">
        <v>46102</v>
      </c>
      <c r="G485" s="4">
        <v>46099</v>
      </c>
      <c r="H485">
        <v>192</v>
      </c>
      <c r="I485" t="s">
        <v>876</v>
      </c>
      <c r="J485">
        <v>2</v>
      </c>
      <c r="K485" t="s">
        <v>1563</v>
      </c>
    </row>
    <row r="486" spans="1:11">
      <c r="A486" t="s">
        <v>877</v>
      </c>
      <c r="B486" t="s">
        <v>120</v>
      </c>
      <c r="C486" t="s">
        <v>23</v>
      </c>
      <c r="D486">
        <v>352</v>
      </c>
      <c r="E486" s="4">
        <v>46148</v>
      </c>
      <c r="F486" s="4">
        <v>46153</v>
      </c>
      <c r="G486" s="4">
        <v>46152</v>
      </c>
      <c r="H486">
        <v>352</v>
      </c>
      <c r="I486" t="s">
        <v>878</v>
      </c>
      <c r="J486">
        <v>7</v>
      </c>
      <c r="K486" t="s">
        <v>1563</v>
      </c>
    </row>
    <row r="487" spans="1:11">
      <c r="A487" t="s">
        <v>879</v>
      </c>
      <c r="B487" t="s">
        <v>19</v>
      </c>
      <c r="C487" t="s">
        <v>12</v>
      </c>
      <c r="D487">
        <v>550</v>
      </c>
      <c r="E487" s="4">
        <v>46171</v>
      </c>
      <c r="F487" s="4">
        <v>46185</v>
      </c>
      <c r="G487" s="4">
        <v>46182</v>
      </c>
      <c r="H487">
        <v>558</v>
      </c>
      <c r="I487" t="s">
        <v>821</v>
      </c>
      <c r="J487">
        <v>22</v>
      </c>
      <c r="K487" t="s">
        <v>1563</v>
      </c>
    </row>
    <row r="488" spans="1:11">
      <c r="A488" t="s">
        <v>880</v>
      </c>
      <c r="B488" t="s">
        <v>64</v>
      </c>
      <c r="C488" t="s">
        <v>12</v>
      </c>
      <c r="D488">
        <v>557</v>
      </c>
      <c r="E488" s="4">
        <v>46082</v>
      </c>
      <c r="F488" s="4">
        <v>46090</v>
      </c>
      <c r="G488" s="4">
        <v>46089</v>
      </c>
      <c r="H488">
        <v>553</v>
      </c>
      <c r="I488" t="s">
        <v>881</v>
      </c>
      <c r="J488">
        <v>27</v>
      </c>
      <c r="K488" t="s">
        <v>1563</v>
      </c>
    </row>
    <row r="489" spans="1:11">
      <c r="A489" t="s">
        <v>882</v>
      </c>
      <c r="B489" t="s">
        <v>54</v>
      </c>
      <c r="C489" t="s">
        <v>12</v>
      </c>
      <c r="D489">
        <v>548</v>
      </c>
      <c r="E489" s="4">
        <v>46080</v>
      </c>
      <c r="F489" s="4">
        <v>46094</v>
      </c>
      <c r="G489" s="4">
        <v>46094</v>
      </c>
      <c r="H489">
        <v>557</v>
      </c>
      <c r="I489" t="s">
        <v>461</v>
      </c>
      <c r="J489">
        <v>4</v>
      </c>
      <c r="K489" t="s">
        <v>1563</v>
      </c>
    </row>
    <row r="490" spans="1:11">
      <c r="A490" t="s">
        <v>883</v>
      </c>
      <c r="B490" t="s">
        <v>11</v>
      </c>
      <c r="C490" t="s">
        <v>23</v>
      </c>
      <c r="D490">
        <v>414</v>
      </c>
      <c r="E490" s="4">
        <v>46130</v>
      </c>
      <c r="F490" s="4">
        <v>46138</v>
      </c>
      <c r="G490" s="4">
        <v>46147</v>
      </c>
      <c r="H490">
        <v>413</v>
      </c>
      <c r="I490" t="s">
        <v>388</v>
      </c>
      <c r="J490">
        <v>9</v>
      </c>
      <c r="K490" t="s">
        <v>1563</v>
      </c>
    </row>
    <row r="491" spans="1:11">
      <c r="A491" t="s">
        <v>884</v>
      </c>
      <c r="B491" t="s">
        <v>67</v>
      </c>
      <c r="C491" t="s">
        <v>16</v>
      </c>
      <c r="D491">
        <v>854</v>
      </c>
      <c r="E491" s="4">
        <v>46075</v>
      </c>
      <c r="F491" s="4">
        <v>46081</v>
      </c>
      <c r="G491" s="4">
        <v>46078</v>
      </c>
      <c r="H491">
        <v>745</v>
      </c>
      <c r="I491" t="s">
        <v>301</v>
      </c>
      <c r="J491">
        <v>7</v>
      </c>
      <c r="K491" t="s">
        <v>1563</v>
      </c>
    </row>
    <row r="492" spans="1:11">
      <c r="A492" t="s">
        <v>885</v>
      </c>
      <c r="B492" t="s">
        <v>22</v>
      </c>
      <c r="C492" t="s">
        <v>12</v>
      </c>
      <c r="D492">
        <v>904</v>
      </c>
      <c r="E492" s="4">
        <v>46073</v>
      </c>
      <c r="F492" s="4">
        <v>46088</v>
      </c>
      <c r="G492" s="4">
        <v>46085</v>
      </c>
      <c r="H492">
        <v>821</v>
      </c>
      <c r="I492" t="s">
        <v>540</v>
      </c>
      <c r="J492">
        <v>37</v>
      </c>
      <c r="K492" t="s">
        <v>1563</v>
      </c>
    </row>
    <row r="493" spans="1:11">
      <c r="A493" t="s">
        <v>886</v>
      </c>
      <c r="B493" t="s">
        <v>46</v>
      </c>
      <c r="C493" t="s">
        <v>12</v>
      </c>
      <c r="D493">
        <v>873</v>
      </c>
      <c r="E493" s="4">
        <v>46062</v>
      </c>
      <c r="F493" s="4">
        <v>46071</v>
      </c>
      <c r="G493" s="4">
        <v>46070</v>
      </c>
      <c r="H493">
        <v>858</v>
      </c>
      <c r="I493" t="s">
        <v>887</v>
      </c>
      <c r="J493">
        <v>82</v>
      </c>
      <c r="K493" t="s">
        <v>1563</v>
      </c>
    </row>
    <row r="494" spans="1:11">
      <c r="A494" t="s">
        <v>888</v>
      </c>
      <c r="B494" t="s">
        <v>29</v>
      </c>
      <c r="C494" t="s">
        <v>23</v>
      </c>
      <c r="D494">
        <v>984</v>
      </c>
      <c r="E494" s="4">
        <v>46035</v>
      </c>
      <c r="F494" s="4">
        <v>46046</v>
      </c>
      <c r="G494" s="4">
        <v>46049</v>
      </c>
      <c r="H494">
        <v>983</v>
      </c>
      <c r="I494" t="s">
        <v>512</v>
      </c>
      <c r="J494">
        <v>8</v>
      </c>
      <c r="K494" t="s">
        <v>1563</v>
      </c>
    </row>
    <row r="495" spans="1:11">
      <c r="A495" t="s">
        <v>890</v>
      </c>
      <c r="B495" t="s">
        <v>67</v>
      </c>
      <c r="C495" t="s">
        <v>12</v>
      </c>
      <c r="D495">
        <v>698</v>
      </c>
      <c r="E495" s="4">
        <v>46161</v>
      </c>
      <c r="F495" s="4">
        <v>46170</v>
      </c>
      <c r="G495" s="4">
        <v>46167</v>
      </c>
      <c r="H495">
        <v>703</v>
      </c>
      <c r="I495" t="s">
        <v>891</v>
      </c>
      <c r="J495">
        <v>10</v>
      </c>
      <c r="K495" t="s">
        <v>1563</v>
      </c>
    </row>
    <row r="496" spans="1:11">
      <c r="A496" t="s">
        <v>892</v>
      </c>
      <c r="B496" t="s">
        <v>35</v>
      </c>
      <c r="C496" t="s">
        <v>12</v>
      </c>
      <c r="D496">
        <v>487</v>
      </c>
      <c r="E496" s="4">
        <v>46125</v>
      </c>
      <c r="F496" s="4">
        <v>46131</v>
      </c>
      <c r="G496" s="4">
        <v>46129</v>
      </c>
      <c r="H496">
        <v>442</v>
      </c>
      <c r="I496" t="s">
        <v>98</v>
      </c>
      <c r="J496">
        <v>6</v>
      </c>
      <c r="K496" t="s">
        <v>1563</v>
      </c>
    </row>
    <row r="497" spans="1:11">
      <c r="A497" t="s">
        <v>893</v>
      </c>
      <c r="B497" t="s">
        <v>32</v>
      </c>
      <c r="C497" t="s">
        <v>23</v>
      </c>
      <c r="D497">
        <v>793</v>
      </c>
      <c r="E497" s="4">
        <v>46159</v>
      </c>
      <c r="F497" s="4">
        <v>46164</v>
      </c>
      <c r="G497" s="4">
        <v>46162</v>
      </c>
      <c r="H497">
        <v>803</v>
      </c>
      <c r="I497" t="s">
        <v>894</v>
      </c>
      <c r="J497">
        <v>42</v>
      </c>
      <c r="K497" t="s">
        <v>1563</v>
      </c>
    </row>
    <row r="498" spans="1:11">
      <c r="A498" t="s">
        <v>895</v>
      </c>
      <c r="B498" t="s">
        <v>70</v>
      </c>
      <c r="C498" t="s">
        <v>23</v>
      </c>
      <c r="D498">
        <v>718</v>
      </c>
      <c r="E498" s="4">
        <v>46051</v>
      </c>
      <c r="F498" s="4">
        <v>46062</v>
      </c>
      <c r="G498" s="4">
        <v>46059</v>
      </c>
      <c r="H498">
        <v>706</v>
      </c>
      <c r="I498" t="s">
        <v>739</v>
      </c>
      <c r="J498">
        <v>9</v>
      </c>
      <c r="K498" t="s">
        <v>1563</v>
      </c>
    </row>
    <row r="499" spans="1:11">
      <c r="A499" t="s">
        <v>896</v>
      </c>
      <c r="B499" t="s">
        <v>70</v>
      </c>
      <c r="C499" t="s">
        <v>12</v>
      </c>
      <c r="D499">
        <v>194</v>
      </c>
      <c r="E499" s="4">
        <v>46120</v>
      </c>
      <c r="F499" s="4">
        <v>46129</v>
      </c>
      <c r="G499" s="4">
        <v>46128</v>
      </c>
      <c r="H499">
        <v>192</v>
      </c>
      <c r="I499" t="s">
        <v>505</v>
      </c>
      <c r="J499">
        <v>4</v>
      </c>
      <c r="K499" t="s">
        <v>1563</v>
      </c>
    </row>
    <row r="500" spans="1:11">
      <c r="A500" t="s">
        <v>897</v>
      </c>
      <c r="B500" t="s">
        <v>54</v>
      </c>
      <c r="C500" t="s">
        <v>23</v>
      </c>
      <c r="D500">
        <v>240</v>
      </c>
      <c r="E500" s="4">
        <v>46089</v>
      </c>
      <c r="F500" s="4">
        <v>46102</v>
      </c>
      <c r="G500" s="4">
        <v>46102</v>
      </c>
      <c r="H500">
        <v>236</v>
      </c>
      <c r="I500" t="s">
        <v>898</v>
      </c>
      <c r="J500">
        <v>2</v>
      </c>
      <c r="K500" t="s">
        <v>1563</v>
      </c>
    </row>
    <row r="501" spans="1:11">
      <c r="A501" t="s">
        <v>899</v>
      </c>
      <c r="B501" t="s">
        <v>177</v>
      </c>
      <c r="C501" t="s">
        <v>16</v>
      </c>
      <c r="D501">
        <v>601</v>
      </c>
      <c r="E501" s="4">
        <v>46137</v>
      </c>
      <c r="F501" s="4">
        <v>46147</v>
      </c>
      <c r="G501" s="4">
        <v>46146</v>
      </c>
      <c r="H501">
        <v>595</v>
      </c>
      <c r="I501" t="s">
        <v>901</v>
      </c>
      <c r="J501">
        <v>1</v>
      </c>
      <c r="K501" t="s">
        <v>1563</v>
      </c>
    </row>
    <row r="502" spans="1:11">
      <c r="A502" t="s">
        <v>902</v>
      </c>
      <c r="B502" t="s">
        <v>67</v>
      </c>
      <c r="C502" t="s">
        <v>16</v>
      </c>
      <c r="D502">
        <v>792</v>
      </c>
      <c r="E502" s="4">
        <v>46114</v>
      </c>
      <c r="F502" s="4">
        <v>46126</v>
      </c>
      <c r="G502" s="4">
        <v>46127</v>
      </c>
      <c r="H502">
        <v>789</v>
      </c>
      <c r="I502" t="s">
        <v>255</v>
      </c>
      <c r="J502">
        <v>9</v>
      </c>
      <c r="K502" t="s">
        <v>1563</v>
      </c>
    </row>
    <row r="503" spans="1:11">
      <c r="A503" t="s">
        <v>903</v>
      </c>
      <c r="B503" t="s">
        <v>46</v>
      </c>
      <c r="C503" t="s">
        <v>16</v>
      </c>
      <c r="D503">
        <v>875</v>
      </c>
      <c r="E503" s="4">
        <v>46168</v>
      </c>
      <c r="F503" s="4">
        <v>46183</v>
      </c>
      <c r="G503" s="4">
        <v>46186</v>
      </c>
      <c r="H503">
        <v>885</v>
      </c>
      <c r="I503" t="s">
        <v>904</v>
      </c>
      <c r="J503">
        <v>70</v>
      </c>
      <c r="K503" t="s">
        <v>1563</v>
      </c>
    </row>
    <row r="504" spans="1:11">
      <c r="A504" t="s">
        <v>905</v>
      </c>
      <c r="B504" t="s">
        <v>49</v>
      </c>
      <c r="C504" t="s">
        <v>16</v>
      </c>
      <c r="D504">
        <v>337</v>
      </c>
      <c r="E504" s="4">
        <v>46103</v>
      </c>
      <c r="F504" s="4">
        <v>46112</v>
      </c>
      <c r="G504" s="4">
        <v>46119</v>
      </c>
      <c r="H504">
        <v>338</v>
      </c>
      <c r="I504" t="s">
        <v>906</v>
      </c>
      <c r="J504">
        <v>1</v>
      </c>
      <c r="K504" t="s">
        <v>1563</v>
      </c>
    </row>
    <row r="505" spans="1:11">
      <c r="A505" t="s">
        <v>907</v>
      </c>
      <c r="B505" t="s">
        <v>29</v>
      </c>
      <c r="C505" t="s">
        <v>16</v>
      </c>
      <c r="D505">
        <v>552</v>
      </c>
      <c r="E505" s="4">
        <v>46078</v>
      </c>
      <c r="F505" s="4">
        <v>46089</v>
      </c>
      <c r="G505" s="4">
        <v>46089</v>
      </c>
      <c r="H505">
        <v>559</v>
      </c>
      <c r="I505" t="s">
        <v>162</v>
      </c>
      <c r="J505">
        <v>3</v>
      </c>
      <c r="K505" t="s">
        <v>1563</v>
      </c>
    </row>
    <row r="506" spans="1:11">
      <c r="A506" t="s">
        <v>908</v>
      </c>
      <c r="B506" t="s">
        <v>32</v>
      </c>
      <c r="C506" t="s">
        <v>16</v>
      </c>
      <c r="D506">
        <v>980</v>
      </c>
      <c r="E506" s="4">
        <v>46079</v>
      </c>
      <c r="F506" s="4">
        <v>46094</v>
      </c>
      <c r="G506" s="4">
        <v>46091</v>
      </c>
      <c r="H506">
        <v>977</v>
      </c>
      <c r="I506" t="s">
        <v>792</v>
      </c>
      <c r="J506">
        <v>65</v>
      </c>
      <c r="K506" t="s">
        <v>1563</v>
      </c>
    </row>
    <row r="507" spans="1:11">
      <c r="A507" t="s">
        <v>909</v>
      </c>
      <c r="B507" t="s">
        <v>35</v>
      </c>
      <c r="C507" t="s">
        <v>12</v>
      </c>
      <c r="D507">
        <v>488</v>
      </c>
      <c r="E507" s="4">
        <v>46170</v>
      </c>
      <c r="F507" s="4">
        <v>46180</v>
      </c>
      <c r="G507" s="4">
        <v>46179</v>
      </c>
      <c r="H507">
        <v>481</v>
      </c>
      <c r="I507" t="s">
        <v>407</v>
      </c>
      <c r="J507">
        <v>20</v>
      </c>
      <c r="K507" t="s">
        <v>1563</v>
      </c>
    </row>
    <row r="508" spans="1:11">
      <c r="A508" t="s">
        <v>910</v>
      </c>
      <c r="B508" t="s">
        <v>32</v>
      </c>
      <c r="C508" t="s">
        <v>23</v>
      </c>
      <c r="D508">
        <v>764</v>
      </c>
      <c r="E508" s="4">
        <v>46042</v>
      </c>
      <c r="F508" s="4">
        <v>46051</v>
      </c>
      <c r="G508" s="4">
        <v>46058</v>
      </c>
      <c r="H508">
        <v>759</v>
      </c>
      <c r="I508" t="s">
        <v>911</v>
      </c>
      <c r="J508">
        <v>32</v>
      </c>
      <c r="K508" t="s">
        <v>1563</v>
      </c>
    </row>
    <row r="509" spans="1:11">
      <c r="A509" t="s">
        <v>912</v>
      </c>
      <c r="B509" t="s">
        <v>81</v>
      </c>
      <c r="C509" t="s">
        <v>16</v>
      </c>
      <c r="D509">
        <v>858</v>
      </c>
      <c r="E509" s="4">
        <v>46067</v>
      </c>
      <c r="F509" s="4">
        <v>46077</v>
      </c>
      <c r="G509" s="4">
        <v>46075</v>
      </c>
      <c r="H509">
        <v>711</v>
      </c>
      <c r="I509" t="s">
        <v>401</v>
      </c>
      <c r="J509">
        <v>2</v>
      </c>
      <c r="K509" t="s">
        <v>1563</v>
      </c>
    </row>
    <row r="510" spans="1:11">
      <c r="A510" t="s">
        <v>913</v>
      </c>
      <c r="B510" t="s">
        <v>19</v>
      </c>
      <c r="C510" t="s">
        <v>16</v>
      </c>
      <c r="D510">
        <v>565</v>
      </c>
      <c r="E510" s="4">
        <v>46047</v>
      </c>
      <c r="F510" s="4">
        <v>46059</v>
      </c>
      <c r="G510" s="4">
        <v>46058</v>
      </c>
      <c r="H510">
        <v>564</v>
      </c>
      <c r="I510" t="s">
        <v>571</v>
      </c>
      <c r="J510">
        <v>10</v>
      </c>
      <c r="K510" t="s">
        <v>1563</v>
      </c>
    </row>
    <row r="511" spans="1:11">
      <c r="A511" t="s">
        <v>914</v>
      </c>
      <c r="B511" t="s">
        <v>64</v>
      </c>
      <c r="C511" t="s">
        <v>23</v>
      </c>
      <c r="D511">
        <v>771</v>
      </c>
      <c r="E511" s="4">
        <v>46143</v>
      </c>
      <c r="F511" s="4">
        <v>46149</v>
      </c>
      <c r="G511" s="4">
        <v>46155</v>
      </c>
      <c r="H511">
        <v>642</v>
      </c>
      <c r="I511" t="s">
        <v>824</v>
      </c>
      <c r="J511">
        <v>24</v>
      </c>
      <c r="K511" t="s">
        <v>1563</v>
      </c>
    </row>
    <row r="512" spans="1:11">
      <c r="A512" t="s">
        <v>915</v>
      </c>
      <c r="B512" t="s">
        <v>52</v>
      </c>
      <c r="C512" t="s">
        <v>12</v>
      </c>
      <c r="D512">
        <v>122</v>
      </c>
      <c r="E512" s="4">
        <v>46118</v>
      </c>
      <c r="F512" s="4">
        <v>46123</v>
      </c>
      <c r="G512" s="4">
        <v>46121</v>
      </c>
      <c r="H512">
        <v>121</v>
      </c>
      <c r="I512" t="s">
        <v>407</v>
      </c>
      <c r="J512">
        <v>2</v>
      </c>
      <c r="K512" t="s">
        <v>1563</v>
      </c>
    </row>
    <row r="513" spans="1:11">
      <c r="A513" t="s">
        <v>916</v>
      </c>
      <c r="B513" t="s">
        <v>70</v>
      </c>
      <c r="C513" t="s">
        <v>12</v>
      </c>
      <c r="D513">
        <v>132</v>
      </c>
      <c r="E513" s="4">
        <v>46173</v>
      </c>
      <c r="F513" s="4">
        <v>46179</v>
      </c>
      <c r="G513" s="4">
        <v>46179</v>
      </c>
      <c r="H513">
        <v>132</v>
      </c>
      <c r="I513" t="s">
        <v>547</v>
      </c>
      <c r="J513">
        <v>0</v>
      </c>
      <c r="K513" t="s">
        <v>1563</v>
      </c>
    </row>
    <row r="514" spans="1:11">
      <c r="A514" t="s">
        <v>917</v>
      </c>
      <c r="B514" t="s">
        <v>43</v>
      </c>
      <c r="C514" t="s">
        <v>12</v>
      </c>
      <c r="D514">
        <v>693</v>
      </c>
      <c r="E514" s="4">
        <v>46041</v>
      </c>
      <c r="F514" s="4">
        <v>46052</v>
      </c>
      <c r="G514" s="4">
        <v>46050</v>
      </c>
      <c r="H514">
        <v>697</v>
      </c>
      <c r="I514" t="s">
        <v>918</v>
      </c>
      <c r="J514">
        <v>2</v>
      </c>
      <c r="K514" t="s">
        <v>1563</v>
      </c>
    </row>
    <row r="515" spans="1:11">
      <c r="A515" t="s">
        <v>919</v>
      </c>
      <c r="B515" t="s">
        <v>40</v>
      </c>
      <c r="C515" t="s">
        <v>16</v>
      </c>
      <c r="D515">
        <v>975</v>
      </c>
      <c r="E515" s="4">
        <v>46028</v>
      </c>
      <c r="F515" s="4">
        <v>46033</v>
      </c>
      <c r="G515" s="4">
        <v>46033</v>
      </c>
      <c r="H515">
        <v>971</v>
      </c>
      <c r="I515" t="s">
        <v>623</v>
      </c>
      <c r="J515">
        <v>61</v>
      </c>
      <c r="K515" t="s">
        <v>1563</v>
      </c>
    </row>
    <row r="516" spans="1:11">
      <c r="A516" t="s">
        <v>920</v>
      </c>
      <c r="B516" t="s">
        <v>120</v>
      </c>
      <c r="C516" t="s">
        <v>16</v>
      </c>
      <c r="D516">
        <v>400</v>
      </c>
      <c r="E516" s="4">
        <v>46102</v>
      </c>
      <c r="F516" s="4">
        <v>46110</v>
      </c>
      <c r="G516" s="4">
        <v>46107</v>
      </c>
      <c r="H516">
        <v>396</v>
      </c>
      <c r="I516" t="s">
        <v>815</v>
      </c>
      <c r="J516">
        <v>0</v>
      </c>
      <c r="K516" t="s">
        <v>1563</v>
      </c>
    </row>
    <row r="517" spans="1:11">
      <c r="A517" t="s">
        <v>921</v>
      </c>
      <c r="B517" t="s">
        <v>29</v>
      </c>
      <c r="C517" t="s">
        <v>12</v>
      </c>
      <c r="D517">
        <v>884</v>
      </c>
      <c r="E517" s="4">
        <v>46043</v>
      </c>
      <c r="F517" s="4">
        <v>46049</v>
      </c>
      <c r="G517" s="4">
        <v>46050</v>
      </c>
      <c r="H517">
        <v>893</v>
      </c>
      <c r="I517" t="s">
        <v>105</v>
      </c>
      <c r="J517">
        <v>7</v>
      </c>
      <c r="K517" t="s">
        <v>1563</v>
      </c>
    </row>
    <row r="518" spans="1:11">
      <c r="A518" t="s">
        <v>922</v>
      </c>
      <c r="B518" t="s">
        <v>11</v>
      </c>
      <c r="C518" t="s">
        <v>16</v>
      </c>
      <c r="D518">
        <v>758</v>
      </c>
      <c r="E518" s="4">
        <v>46041</v>
      </c>
      <c r="F518" s="4">
        <v>46052</v>
      </c>
      <c r="G518" s="4">
        <v>46052</v>
      </c>
      <c r="H518">
        <v>754</v>
      </c>
      <c r="I518" t="s">
        <v>923</v>
      </c>
      <c r="J518">
        <v>6</v>
      </c>
      <c r="K518" t="s">
        <v>1563</v>
      </c>
    </row>
    <row r="519" spans="1:11">
      <c r="A519" t="s">
        <v>924</v>
      </c>
      <c r="B519" t="s">
        <v>32</v>
      </c>
      <c r="C519" t="s">
        <v>12</v>
      </c>
      <c r="D519">
        <v>85</v>
      </c>
      <c r="E519" s="4">
        <v>46151</v>
      </c>
      <c r="F519" s="4">
        <v>46158</v>
      </c>
      <c r="G519" s="4">
        <v>46156</v>
      </c>
      <c r="H519">
        <v>84</v>
      </c>
      <c r="I519" t="s">
        <v>77</v>
      </c>
      <c r="J519">
        <v>4</v>
      </c>
      <c r="K519" t="s">
        <v>1563</v>
      </c>
    </row>
    <row r="520" spans="1:11">
      <c r="A520" t="s">
        <v>925</v>
      </c>
      <c r="B520" t="s">
        <v>177</v>
      </c>
      <c r="C520" t="s">
        <v>12</v>
      </c>
      <c r="D520">
        <v>624</v>
      </c>
      <c r="E520" s="4">
        <v>46094</v>
      </c>
      <c r="F520" s="4">
        <v>46103</v>
      </c>
      <c r="G520" s="4">
        <v>46112</v>
      </c>
      <c r="H520">
        <v>635</v>
      </c>
      <c r="I520" t="s">
        <v>753</v>
      </c>
      <c r="J520">
        <v>7</v>
      </c>
      <c r="K520" t="s">
        <v>1563</v>
      </c>
    </row>
    <row r="521" spans="1:11">
      <c r="A521" t="s">
        <v>926</v>
      </c>
      <c r="B521" t="s">
        <v>64</v>
      </c>
      <c r="C521" t="s">
        <v>12</v>
      </c>
      <c r="D521">
        <v>806</v>
      </c>
      <c r="E521" s="4">
        <v>46070</v>
      </c>
      <c r="F521" s="4">
        <v>46077</v>
      </c>
      <c r="G521" s="4">
        <v>46075</v>
      </c>
      <c r="H521">
        <v>751</v>
      </c>
      <c r="I521" t="s">
        <v>547</v>
      </c>
      <c r="J521">
        <v>35</v>
      </c>
      <c r="K521" t="s">
        <v>1563</v>
      </c>
    </row>
    <row r="522" spans="1:11">
      <c r="A522" t="s">
        <v>927</v>
      </c>
      <c r="B522" t="s">
        <v>52</v>
      </c>
      <c r="C522" t="s">
        <v>12</v>
      </c>
      <c r="D522">
        <v>251</v>
      </c>
      <c r="E522" s="4">
        <v>46039</v>
      </c>
      <c r="F522" s="4">
        <v>46054</v>
      </c>
      <c r="G522" s="4">
        <v>46062</v>
      </c>
      <c r="H522">
        <v>248</v>
      </c>
      <c r="I522" t="s">
        <v>156</v>
      </c>
      <c r="J522">
        <v>1</v>
      </c>
      <c r="K522" t="s">
        <v>1563</v>
      </c>
    </row>
    <row r="523" spans="1:11">
      <c r="A523" t="s">
        <v>928</v>
      </c>
      <c r="B523" t="s">
        <v>11</v>
      </c>
      <c r="C523" t="s">
        <v>12</v>
      </c>
      <c r="D523">
        <v>189</v>
      </c>
      <c r="E523" s="4">
        <v>46130</v>
      </c>
      <c r="F523" s="4">
        <v>46145</v>
      </c>
      <c r="G523" s="4">
        <v>46142</v>
      </c>
      <c r="H523">
        <v>186</v>
      </c>
      <c r="I523" t="s">
        <v>385</v>
      </c>
      <c r="J523">
        <v>2</v>
      </c>
      <c r="K523" t="s">
        <v>1563</v>
      </c>
    </row>
    <row r="524" spans="1:11">
      <c r="A524" t="s">
        <v>930</v>
      </c>
      <c r="B524" t="s">
        <v>40</v>
      </c>
      <c r="C524" t="s">
        <v>12</v>
      </c>
      <c r="D524">
        <v>722</v>
      </c>
      <c r="E524" s="4">
        <v>46081</v>
      </c>
      <c r="F524" s="4">
        <v>46092</v>
      </c>
      <c r="G524" s="4">
        <v>46095</v>
      </c>
      <c r="H524">
        <v>719</v>
      </c>
      <c r="I524" t="s">
        <v>931</v>
      </c>
      <c r="J524">
        <v>2</v>
      </c>
      <c r="K524" t="s">
        <v>1563</v>
      </c>
    </row>
    <row r="525" spans="1:11">
      <c r="A525" t="s">
        <v>932</v>
      </c>
      <c r="B525" t="s">
        <v>43</v>
      </c>
      <c r="C525" t="s">
        <v>12</v>
      </c>
      <c r="D525">
        <v>775</v>
      </c>
      <c r="E525" s="4">
        <v>46071</v>
      </c>
      <c r="F525" s="4">
        <v>46079</v>
      </c>
      <c r="G525" s="4">
        <v>46081</v>
      </c>
      <c r="H525">
        <v>764</v>
      </c>
      <c r="I525" t="s">
        <v>421</v>
      </c>
      <c r="J525">
        <v>29</v>
      </c>
      <c r="K525" t="s">
        <v>1563</v>
      </c>
    </row>
    <row r="526" spans="1:11">
      <c r="A526" t="s">
        <v>933</v>
      </c>
      <c r="B526" t="s">
        <v>26</v>
      </c>
      <c r="C526" t="s">
        <v>16</v>
      </c>
      <c r="D526">
        <v>752</v>
      </c>
      <c r="E526" s="4">
        <v>46118</v>
      </c>
      <c r="F526" s="4">
        <v>46126</v>
      </c>
      <c r="G526" s="4"/>
      <c r="I526" t="s">
        <v>934</v>
      </c>
      <c r="K526" t="s">
        <v>1565</v>
      </c>
    </row>
    <row r="527" spans="1:11">
      <c r="A527" t="s">
        <v>935</v>
      </c>
      <c r="B527" t="s">
        <v>81</v>
      </c>
      <c r="C527" t="s">
        <v>12</v>
      </c>
      <c r="D527">
        <v>753</v>
      </c>
      <c r="E527" s="4">
        <v>46141</v>
      </c>
      <c r="F527" s="4">
        <v>46149</v>
      </c>
      <c r="G527" s="4">
        <v>46149</v>
      </c>
      <c r="H527">
        <v>624</v>
      </c>
      <c r="I527" t="s">
        <v>936</v>
      </c>
      <c r="J527">
        <v>3</v>
      </c>
      <c r="K527" t="s">
        <v>1563</v>
      </c>
    </row>
    <row r="528" spans="1:11">
      <c r="A528" t="s">
        <v>937</v>
      </c>
      <c r="B528" t="s">
        <v>32</v>
      </c>
      <c r="C528" t="s">
        <v>12</v>
      </c>
      <c r="D528">
        <v>824</v>
      </c>
      <c r="E528" s="4">
        <v>46147</v>
      </c>
      <c r="F528" s="4">
        <v>46155</v>
      </c>
      <c r="G528" s="4">
        <v>46153</v>
      </c>
      <c r="H528">
        <v>821</v>
      </c>
      <c r="I528" t="s">
        <v>938</v>
      </c>
      <c r="J528">
        <v>14</v>
      </c>
      <c r="K528" t="s">
        <v>1563</v>
      </c>
    </row>
    <row r="529" spans="1:11">
      <c r="A529" t="s">
        <v>939</v>
      </c>
      <c r="B529" t="s">
        <v>22</v>
      </c>
      <c r="C529" t="s">
        <v>16</v>
      </c>
      <c r="D529">
        <v>761</v>
      </c>
      <c r="E529" s="4">
        <v>46160</v>
      </c>
      <c r="F529" s="4">
        <v>46172</v>
      </c>
      <c r="G529" s="4">
        <v>46176</v>
      </c>
      <c r="H529">
        <v>750</v>
      </c>
      <c r="I529" t="s">
        <v>716</v>
      </c>
      <c r="J529">
        <v>56</v>
      </c>
      <c r="K529" t="s">
        <v>1563</v>
      </c>
    </row>
    <row r="530" spans="1:11">
      <c r="A530" t="s">
        <v>940</v>
      </c>
      <c r="B530" t="s">
        <v>81</v>
      </c>
      <c r="C530" t="s">
        <v>12</v>
      </c>
      <c r="D530">
        <v>168</v>
      </c>
      <c r="E530" s="4">
        <v>46069</v>
      </c>
      <c r="F530" s="4">
        <v>46083</v>
      </c>
      <c r="G530" s="4">
        <v>46087</v>
      </c>
      <c r="H530">
        <v>167</v>
      </c>
      <c r="I530" t="s">
        <v>941</v>
      </c>
      <c r="J530">
        <v>2</v>
      </c>
      <c r="K530" t="s">
        <v>1563</v>
      </c>
    </row>
    <row r="531" spans="1:11">
      <c r="A531" t="s">
        <v>942</v>
      </c>
      <c r="B531" t="s">
        <v>46</v>
      </c>
      <c r="C531" t="s">
        <v>16</v>
      </c>
      <c r="D531">
        <v>494</v>
      </c>
      <c r="E531" s="4">
        <v>46052</v>
      </c>
      <c r="F531" s="4">
        <v>46061</v>
      </c>
      <c r="G531" s="4">
        <v>46059</v>
      </c>
      <c r="H531">
        <v>493</v>
      </c>
      <c r="I531" t="s">
        <v>320</v>
      </c>
      <c r="J531">
        <v>20</v>
      </c>
      <c r="K531" t="s">
        <v>1563</v>
      </c>
    </row>
    <row r="532" spans="1:11">
      <c r="A532" t="s">
        <v>943</v>
      </c>
      <c r="B532" t="s">
        <v>22</v>
      </c>
      <c r="C532" t="s">
        <v>16</v>
      </c>
      <c r="D532">
        <v>633</v>
      </c>
      <c r="E532" s="4">
        <v>46068</v>
      </c>
      <c r="F532" s="4">
        <v>46077</v>
      </c>
      <c r="G532" s="4">
        <v>46074</v>
      </c>
      <c r="H532">
        <v>577</v>
      </c>
      <c r="I532" t="s">
        <v>944</v>
      </c>
      <c r="J532">
        <v>49</v>
      </c>
      <c r="K532" t="s">
        <v>1563</v>
      </c>
    </row>
    <row r="533" spans="1:11">
      <c r="A533" t="s">
        <v>945</v>
      </c>
      <c r="B533" t="s">
        <v>100</v>
      </c>
      <c r="C533" t="s">
        <v>16</v>
      </c>
      <c r="D533">
        <v>193</v>
      </c>
      <c r="E533" s="4">
        <v>46094</v>
      </c>
      <c r="F533" s="4">
        <v>46099</v>
      </c>
      <c r="G533" s="4">
        <v>46097</v>
      </c>
      <c r="H533">
        <v>190</v>
      </c>
      <c r="I533" t="s">
        <v>906</v>
      </c>
      <c r="J533">
        <v>4</v>
      </c>
      <c r="K533" t="s">
        <v>1563</v>
      </c>
    </row>
    <row r="534" spans="1:11">
      <c r="A534" t="s">
        <v>947</v>
      </c>
      <c r="B534" t="s">
        <v>29</v>
      </c>
      <c r="C534" t="s">
        <v>23</v>
      </c>
      <c r="D534">
        <v>302</v>
      </c>
      <c r="E534" s="4">
        <v>46060</v>
      </c>
      <c r="F534" s="4">
        <v>46068</v>
      </c>
      <c r="G534" s="4">
        <v>46071</v>
      </c>
      <c r="H534">
        <v>306</v>
      </c>
      <c r="I534" t="s">
        <v>948</v>
      </c>
      <c r="J534">
        <v>3</v>
      </c>
      <c r="K534" t="s">
        <v>1563</v>
      </c>
    </row>
    <row r="535" spans="1:11">
      <c r="A535" t="s">
        <v>949</v>
      </c>
      <c r="B535" t="s">
        <v>11</v>
      </c>
      <c r="C535" t="s">
        <v>12</v>
      </c>
      <c r="D535">
        <v>738</v>
      </c>
      <c r="E535" s="4">
        <v>46073</v>
      </c>
      <c r="F535" s="4">
        <v>46086</v>
      </c>
      <c r="G535" s="4">
        <v>46083</v>
      </c>
      <c r="H535">
        <v>751</v>
      </c>
      <c r="I535" t="s">
        <v>647</v>
      </c>
      <c r="J535">
        <v>14</v>
      </c>
      <c r="K535" t="s">
        <v>1563</v>
      </c>
    </row>
    <row r="536" spans="1:11">
      <c r="A536" t="s">
        <v>950</v>
      </c>
      <c r="B536" t="s">
        <v>32</v>
      </c>
      <c r="C536" t="s">
        <v>16</v>
      </c>
      <c r="D536">
        <v>217</v>
      </c>
      <c r="E536" s="4">
        <v>46087</v>
      </c>
      <c r="F536" s="4">
        <v>46095</v>
      </c>
      <c r="G536" s="4">
        <v>46093</v>
      </c>
      <c r="H536">
        <v>220</v>
      </c>
      <c r="I536" t="s">
        <v>951</v>
      </c>
      <c r="J536">
        <v>9</v>
      </c>
      <c r="K536" t="s">
        <v>1563</v>
      </c>
    </row>
    <row r="537" spans="1:11">
      <c r="A537" t="s">
        <v>952</v>
      </c>
      <c r="B537" t="s">
        <v>100</v>
      </c>
      <c r="C537" t="s">
        <v>16</v>
      </c>
      <c r="D537">
        <v>863</v>
      </c>
      <c r="E537" s="4">
        <v>46058</v>
      </c>
      <c r="F537" s="4">
        <v>46063</v>
      </c>
      <c r="G537" s="4">
        <v>46063</v>
      </c>
      <c r="H537">
        <v>847</v>
      </c>
      <c r="I537" t="s">
        <v>209</v>
      </c>
      <c r="J537">
        <v>10</v>
      </c>
      <c r="K537" t="s">
        <v>1563</v>
      </c>
    </row>
    <row r="538" spans="1:11">
      <c r="A538" t="s">
        <v>953</v>
      </c>
      <c r="B538" t="s">
        <v>49</v>
      </c>
      <c r="C538" t="s">
        <v>12</v>
      </c>
      <c r="D538">
        <v>896</v>
      </c>
      <c r="E538" s="4">
        <v>46114</v>
      </c>
      <c r="F538" s="4">
        <v>46123</v>
      </c>
      <c r="G538" s="4">
        <v>46123</v>
      </c>
      <c r="H538">
        <v>910</v>
      </c>
      <c r="I538" t="s">
        <v>461</v>
      </c>
      <c r="J538">
        <v>8</v>
      </c>
      <c r="K538" t="s">
        <v>1563</v>
      </c>
    </row>
    <row r="539" spans="1:11">
      <c r="A539" t="s">
        <v>954</v>
      </c>
      <c r="B539" t="s">
        <v>46</v>
      </c>
      <c r="C539" t="s">
        <v>12</v>
      </c>
      <c r="D539">
        <v>132</v>
      </c>
      <c r="E539" s="4">
        <v>46060</v>
      </c>
      <c r="F539" s="4">
        <v>46070</v>
      </c>
      <c r="G539" s="4">
        <v>46068</v>
      </c>
      <c r="H539">
        <v>131</v>
      </c>
      <c r="I539" t="s">
        <v>731</v>
      </c>
      <c r="J539">
        <v>1</v>
      </c>
      <c r="K539" t="s">
        <v>1563</v>
      </c>
    </row>
    <row r="540" spans="1:11">
      <c r="A540" t="s">
        <v>955</v>
      </c>
      <c r="B540" t="s">
        <v>177</v>
      </c>
      <c r="C540" t="s">
        <v>23</v>
      </c>
      <c r="D540">
        <v>89</v>
      </c>
      <c r="E540" s="4">
        <v>46108</v>
      </c>
      <c r="F540" s="4">
        <v>46115</v>
      </c>
      <c r="G540" s="4">
        <v>46114</v>
      </c>
      <c r="H540">
        <v>90</v>
      </c>
      <c r="I540" t="s">
        <v>956</v>
      </c>
      <c r="J540">
        <v>2</v>
      </c>
      <c r="K540" t="s">
        <v>1563</v>
      </c>
    </row>
    <row r="541" spans="1:11">
      <c r="A541" t="s">
        <v>957</v>
      </c>
      <c r="B541" t="s">
        <v>46</v>
      </c>
      <c r="C541" t="s">
        <v>12</v>
      </c>
      <c r="D541">
        <v>308</v>
      </c>
      <c r="E541" s="4">
        <v>46092</v>
      </c>
      <c r="F541" s="4">
        <v>46099</v>
      </c>
      <c r="G541" s="4">
        <v>46100</v>
      </c>
      <c r="H541">
        <v>303</v>
      </c>
      <c r="I541" t="s">
        <v>958</v>
      </c>
      <c r="J541">
        <v>29</v>
      </c>
      <c r="K541" t="s">
        <v>1563</v>
      </c>
    </row>
    <row r="542" spans="1:11">
      <c r="A542" t="s">
        <v>959</v>
      </c>
      <c r="B542" t="s">
        <v>22</v>
      </c>
      <c r="C542" t="s">
        <v>23</v>
      </c>
      <c r="D542">
        <v>838</v>
      </c>
      <c r="E542" s="4">
        <v>46091</v>
      </c>
      <c r="F542" s="4">
        <v>46104</v>
      </c>
      <c r="G542" s="4">
        <v>46111</v>
      </c>
      <c r="H542">
        <v>822</v>
      </c>
      <c r="I542" t="s">
        <v>960</v>
      </c>
      <c r="J542">
        <v>8</v>
      </c>
      <c r="K542" t="s">
        <v>1563</v>
      </c>
    </row>
    <row r="543" spans="1:11">
      <c r="A543" t="s">
        <v>961</v>
      </c>
      <c r="B543" t="s">
        <v>64</v>
      </c>
      <c r="C543" t="s">
        <v>16</v>
      </c>
      <c r="D543">
        <v>728</v>
      </c>
      <c r="E543" s="4">
        <v>46083</v>
      </c>
      <c r="F543" s="4">
        <v>46091</v>
      </c>
      <c r="G543" s="4">
        <v>46088</v>
      </c>
      <c r="H543">
        <v>735</v>
      </c>
      <c r="I543" t="s">
        <v>490</v>
      </c>
      <c r="J543">
        <v>13</v>
      </c>
      <c r="K543" t="s">
        <v>1563</v>
      </c>
    </row>
    <row r="544" spans="1:11">
      <c r="A544" t="s">
        <v>962</v>
      </c>
      <c r="B544" t="s">
        <v>52</v>
      </c>
      <c r="C544" t="s">
        <v>12</v>
      </c>
      <c r="D544">
        <v>436</v>
      </c>
      <c r="E544" s="4">
        <v>46080</v>
      </c>
      <c r="F544" s="4">
        <v>46090</v>
      </c>
      <c r="G544" s="4">
        <v>46090</v>
      </c>
      <c r="H544">
        <v>371</v>
      </c>
      <c r="I544" t="s">
        <v>963</v>
      </c>
      <c r="J544">
        <v>3</v>
      </c>
      <c r="K544" t="s">
        <v>1563</v>
      </c>
    </row>
    <row r="545" spans="1:11">
      <c r="A545" t="s">
        <v>964</v>
      </c>
      <c r="B545" t="s">
        <v>67</v>
      </c>
      <c r="C545" t="s">
        <v>12</v>
      </c>
      <c r="D545">
        <v>316</v>
      </c>
      <c r="E545" s="4">
        <v>46083</v>
      </c>
      <c r="F545" s="4">
        <v>46095</v>
      </c>
      <c r="G545" s="4">
        <v>46096</v>
      </c>
      <c r="H545">
        <v>311</v>
      </c>
      <c r="I545" t="s">
        <v>101</v>
      </c>
      <c r="J545">
        <v>8</v>
      </c>
      <c r="K545" t="s">
        <v>1563</v>
      </c>
    </row>
    <row r="546" spans="1:11">
      <c r="A546" t="s">
        <v>966</v>
      </c>
      <c r="B546" t="s">
        <v>40</v>
      </c>
      <c r="C546" t="s">
        <v>16</v>
      </c>
      <c r="D546">
        <v>894</v>
      </c>
      <c r="E546" s="4">
        <v>46028</v>
      </c>
      <c r="F546" s="4">
        <v>46033</v>
      </c>
      <c r="G546" s="4">
        <v>46032</v>
      </c>
      <c r="H546">
        <v>890</v>
      </c>
      <c r="I546" t="s">
        <v>906</v>
      </c>
      <c r="J546">
        <v>51</v>
      </c>
      <c r="K546" t="s">
        <v>1563</v>
      </c>
    </row>
    <row r="547" spans="1:11">
      <c r="A547" t="s">
        <v>967</v>
      </c>
      <c r="B547" t="s">
        <v>120</v>
      </c>
      <c r="C547" t="s">
        <v>12</v>
      </c>
      <c r="D547">
        <v>906</v>
      </c>
      <c r="E547" s="4">
        <v>46139</v>
      </c>
      <c r="F547" s="4">
        <v>46144</v>
      </c>
      <c r="G547" s="4">
        <v>46144</v>
      </c>
      <c r="H547">
        <v>919</v>
      </c>
      <c r="I547" t="s">
        <v>968</v>
      </c>
      <c r="J547">
        <v>21</v>
      </c>
      <c r="K547" t="s">
        <v>1563</v>
      </c>
    </row>
    <row r="548" spans="1:11">
      <c r="A548" t="s">
        <v>969</v>
      </c>
      <c r="B548" t="s">
        <v>70</v>
      </c>
      <c r="C548" t="s">
        <v>12</v>
      </c>
      <c r="D548">
        <v>255</v>
      </c>
      <c r="E548" s="4">
        <v>46034</v>
      </c>
      <c r="F548" s="4">
        <v>46044</v>
      </c>
      <c r="G548" s="4">
        <v>46041</v>
      </c>
      <c r="H548">
        <v>252</v>
      </c>
      <c r="I548" t="s">
        <v>970</v>
      </c>
      <c r="J548">
        <v>1</v>
      </c>
      <c r="K548" t="s">
        <v>1563</v>
      </c>
    </row>
    <row r="549" spans="1:11">
      <c r="A549" t="s">
        <v>971</v>
      </c>
      <c r="B549" t="s">
        <v>177</v>
      </c>
      <c r="C549" t="s">
        <v>12</v>
      </c>
      <c r="D549">
        <v>864</v>
      </c>
      <c r="E549" s="4">
        <v>46145</v>
      </c>
      <c r="F549" s="4">
        <v>46150</v>
      </c>
      <c r="G549" s="4">
        <v>46148</v>
      </c>
      <c r="H549">
        <v>866</v>
      </c>
      <c r="I549" t="s">
        <v>240</v>
      </c>
      <c r="J549">
        <v>37</v>
      </c>
      <c r="K549" t="s">
        <v>1563</v>
      </c>
    </row>
    <row r="550" spans="1:11">
      <c r="A550" t="s">
        <v>972</v>
      </c>
      <c r="B550" t="s">
        <v>32</v>
      </c>
      <c r="C550" t="s">
        <v>16</v>
      </c>
      <c r="D550">
        <v>221</v>
      </c>
      <c r="E550" s="4">
        <v>46125</v>
      </c>
      <c r="F550" s="4">
        <v>46137</v>
      </c>
      <c r="G550" s="4">
        <v>46134</v>
      </c>
      <c r="H550">
        <v>222</v>
      </c>
      <c r="I550" t="s">
        <v>815</v>
      </c>
      <c r="J550">
        <v>9</v>
      </c>
      <c r="K550" t="s">
        <v>1563</v>
      </c>
    </row>
    <row r="551" spans="1:11">
      <c r="A551" t="s">
        <v>973</v>
      </c>
      <c r="B551" t="s">
        <v>52</v>
      </c>
      <c r="C551" t="s">
        <v>16</v>
      </c>
      <c r="D551">
        <v>160</v>
      </c>
      <c r="E551" s="4">
        <v>46095</v>
      </c>
      <c r="F551" s="4">
        <v>46104</v>
      </c>
      <c r="G551" s="4">
        <v>46102</v>
      </c>
      <c r="H551">
        <v>145</v>
      </c>
      <c r="I551" t="s">
        <v>294</v>
      </c>
      <c r="J551">
        <v>3</v>
      </c>
      <c r="K551" t="s">
        <v>1563</v>
      </c>
    </row>
    <row r="552" spans="1:11">
      <c r="A552" t="s">
        <v>974</v>
      </c>
      <c r="B552" t="s">
        <v>35</v>
      </c>
      <c r="C552" t="s">
        <v>16</v>
      </c>
      <c r="D552">
        <v>802</v>
      </c>
      <c r="E552" s="4">
        <v>46149</v>
      </c>
      <c r="F552" s="4">
        <v>46161</v>
      </c>
      <c r="G552" s="4">
        <v>46159</v>
      </c>
      <c r="H552">
        <v>787</v>
      </c>
      <c r="I552" t="s">
        <v>904</v>
      </c>
      <c r="J552">
        <v>24</v>
      </c>
      <c r="K552" t="s">
        <v>1563</v>
      </c>
    </row>
    <row r="553" spans="1:11">
      <c r="A553" t="s">
        <v>975</v>
      </c>
      <c r="B553" t="s">
        <v>32</v>
      </c>
      <c r="C553" t="s">
        <v>16</v>
      </c>
      <c r="D553">
        <v>751</v>
      </c>
      <c r="E553" s="4">
        <v>46153</v>
      </c>
      <c r="F553" s="4">
        <v>46159</v>
      </c>
      <c r="G553" s="4">
        <v>46159</v>
      </c>
      <c r="H553">
        <v>713</v>
      </c>
      <c r="I553" t="s">
        <v>366</v>
      </c>
      <c r="J553">
        <v>21</v>
      </c>
      <c r="K553" t="s">
        <v>1563</v>
      </c>
    </row>
    <row r="554" spans="1:11">
      <c r="A554" t="s">
        <v>976</v>
      </c>
      <c r="B554" t="s">
        <v>49</v>
      </c>
      <c r="C554" t="s">
        <v>12</v>
      </c>
      <c r="D554">
        <v>646</v>
      </c>
      <c r="E554" s="4">
        <v>46116</v>
      </c>
      <c r="F554" s="4">
        <v>46128</v>
      </c>
      <c r="G554" s="4">
        <v>46125</v>
      </c>
      <c r="H554">
        <v>651</v>
      </c>
      <c r="I554" t="s">
        <v>113</v>
      </c>
      <c r="J554">
        <v>7</v>
      </c>
      <c r="K554" t="s">
        <v>1563</v>
      </c>
    </row>
    <row r="555" spans="1:11">
      <c r="A555" t="s">
        <v>977</v>
      </c>
      <c r="B555" t="s">
        <v>67</v>
      </c>
      <c r="C555" t="s">
        <v>16</v>
      </c>
      <c r="D555">
        <v>427</v>
      </c>
      <c r="E555" s="4">
        <v>46170</v>
      </c>
      <c r="F555" s="4">
        <v>46181</v>
      </c>
      <c r="G555" s="4">
        <v>46179</v>
      </c>
      <c r="H555">
        <v>434</v>
      </c>
      <c r="I555" t="s">
        <v>978</v>
      </c>
      <c r="J555">
        <v>13</v>
      </c>
      <c r="K555" t="s">
        <v>1563</v>
      </c>
    </row>
    <row r="556" spans="1:11">
      <c r="A556" t="s">
        <v>979</v>
      </c>
      <c r="B556" t="s">
        <v>11</v>
      </c>
      <c r="C556" t="s">
        <v>23</v>
      </c>
      <c r="D556">
        <v>940</v>
      </c>
      <c r="E556" s="4">
        <v>46054</v>
      </c>
      <c r="F556" s="4">
        <v>46064</v>
      </c>
      <c r="G556" s="4">
        <v>46061</v>
      </c>
      <c r="H556">
        <v>786</v>
      </c>
      <c r="I556" t="s">
        <v>980</v>
      </c>
      <c r="J556">
        <v>25</v>
      </c>
      <c r="K556" t="s">
        <v>1563</v>
      </c>
    </row>
    <row r="557" spans="1:11">
      <c r="A557" t="s">
        <v>981</v>
      </c>
      <c r="B557" t="s">
        <v>35</v>
      </c>
      <c r="C557" t="s">
        <v>16</v>
      </c>
      <c r="D557">
        <v>85</v>
      </c>
      <c r="E557" s="4">
        <v>46049</v>
      </c>
      <c r="F557" s="4">
        <v>46061</v>
      </c>
      <c r="G557" s="4">
        <v>46065</v>
      </c>
      <c r="H557">
        <v>70</v>
      </c>
      <c r="I557" t="s">
        <v>944</v>
      </c>
      <c r="J557">
        <v>0</v>
      </c>
      <c r="K557" t="s">
        <v>1563</v>
      </c>
    </row>
    <row r="558" spans="1:11">
      <c r="A558" t="s">
        <v>982</v>
      </c>
      <c r="B558" t="s">
        <v>43</v>
      </c>
      <c r="C558" t="s">
        <v>12</v>
      </c>
      <c r="D558">
        <v>171</v>
      </c>
      <c r="E558" s="4">
        <v>46173</v>
      </c>
      <c r="F558" s="4">
        <v>46185</v>
      </c>
      <c r="G558" s="4">
        <v>46184</v>
      </c>
      <c r="H558">
        <v>170</v>
      </c>
      <c r="I558" t="s">
        <v>983</v>
      </c>
      <c r="J558">
        <v>3</v>
      </c>
      <c r="K558" t="s">
        <v>1563</v>
      </c>
    </row>
    <row r="559" spans="1:11">
      <c r="A559" t="s">
        <v>984</v>
      </c>
      <c r="B559" t="s">
        <v>29</v>
      </c>
      <c r="C559" t="s">
        <v>12</v>
      </c>
      <c r="D559">
        <v>826</v>
      </c>
      <c r="E559" s="4">
        <v>46033</v>
      </c>
      <c r="F559" s="4">
        <v>46042</v>
      </c>
      <c r="G559" s="4"/>
      <c r="I559" t="s">
        <v>985</v>
      </c>
      <c r="K559" t="s">
        <v>1565</v>
      </c>
    </row>
    <row r="560" spans="1:11">
      <c r="A560" t="s">
        <v>986</v>
      </c>
      <c r="B560" t="s">
        <v>35</v>
      </c>
      <c r="C560" t="s">
        <v>23</v>
      </c>
      <c r="D560">
        <v>921</v>
      </c>
      <c r="E560" s="4">
        <v>46079</v>
      </c>
      <c r="F560" s="4">
        <v>46090</v>
      </c>
      <c r="G560" s="4">
        <v>46097</v>
      </c>
      <c r="H560">
        <v>775</v>
      </c>
      <c r="I560" t="s">
        <v>987</v>
      </c>
      <c r="J560">
        <v>44</v>
      </c>
      <c r="K560" t="s">
        <v>1563</v>
      </c>
    </row>
    <row r="561" spans="1:11">
      <c r="A561" t="s">
        <v>988</v>
      </c>
      <c r="B561" t="s">
        <v>67</v>
      </c>
      <c r="C561" t="s">
        <v>16</v>
      </c>
      <c r="D561">
        <v>296</v>
      </c>
      <c r="E561" s="4">
        <v>46079</v>
      </c>
      <c r="F561" s="4">
        <v>46091</v>
      </c>
      <c r="G561" s="4">
        <v>46100</v>
      </c>
      <c r="H561">
        <v>292</v>
      </c>
      <c r="I561" t="s">
        <v>989</v>
      </c>
      <c r="J561">
        <v>0</v>
      </c>
      <c r="K561" t="s">
        <v>1563</v>
      </c>
    </row>
    <row r="562" spans="1:11">
      <c r="A562" t="s">
        <v>990</v>
      </c>
      <c r="B562" t="s">
        <v>35</v>
      </c>
      <c r="C562" t="s">
        <v>12</v>
      </c>
      <c r="D562">
        <v>486</v>
      </c>
      <c r="E562" s="4">
        <v>46111</v>
      </c>
      <c r="F562" s="4">
        <v>46123</v>
      </c>
      <c r="G562" s="4">
        <v>46121</v>
      </c>
      <c r="H562">
        <v>390</v>
      </c>
      <c r="I562" t="s">
        <v>589</v>
      </c>
      <c r="J562">
        <v>21</v>
      </c>
      <c r="K562" t="s">
        <v>1563</v>
      </c>
    </row>
    <row r="563" spans="1:11">
      <c r="A563" t="s">
        <v>991</v>
      </c>
      <c r="B563" t="s">
        <v>120</v>
      </c>
      <c r="C563" t="s">
        <v>12</v>
      </c>
      <c r="D563">
        <v>766</v>
      </c>
      <c r="E563" s="4">
        <v>46070</v>
      </c>
      <c r="F563" s="4">
        <v>46084</v>
      </c>
      <c r="G563" s="4">
        <v>46083</v>
      </c>
      <c r="H563">
        <v>711</v>
      </c>
      <c r="I563" t="s">
        <v>992</v>
      </c>
      <c r="J563">
        <v>13</v>
      </c>
      <c r="K563" t="s">
        <v>1563</v>
      </c>
    </row>
    <row r="564" spans="1:11">
      <c r="A564" t="s">
        <v>993</v>
      </c>
      <c r="B564" t="s">
        <v>67</v>
      </c>
      <c r="C564" t="s">
        <v>12</v>
      </c>
      <c r="D564">
        <v>740</v>
      </c>
      <c r="E564" s="4">
        <v>46117</v>
      </c>
      <c r="F564" s="4">
        <v>46123</v>
      </c>
      <c r="G564" s="4">
        <v>46121</v>
      </c>
      <c r="H564">
        <v>746</v>
      </c>
      <c r="I564" t="s">
        <v>994</v>
      </c>
      <c r="J564">
        <v>17</v>
      </c>
      <c r="K564" t="s">
        <v>1563</v>
      </c>
    </row>
    <row r="565" spans="1:11">
      <c r="A565" t="s">
        <v>995</v>
      </c>
      <c r="B565" t="s">
        <v>70</v>
      </c>
      <c r="C565" t="s">
        <v>16</v>
      </c>
      <c r="D565">
        <v>250</v>
      </c>
      <c r="E565" s="4">
        <v>46058</v>
      </c>
      <c r="F565" s="4">
        <v>46072</v>
      </c>
      <c r="G565" s="4">
        <v>46081</v>
      </c>
      <c r="H565">
        <v>250</v>
      </c>
      <c r="I565" t="s">
        <v>923</v>
      </c>
      <c r="J565">
        <v>6</v>
      </c>
      <c r="K565" t="s">
        <v>1563</v>
      </c>
    </row>
    <row r="566" spans="1:11">
      <c r="A566" t="s">
        <v>996</v>
      </c>
      <c r="B566" t="s">
        <v>49</v>
      </c>
      <c r="C566" t="s">
        <v>12</v>
      </c>
      <c r="D566">
        <v>846</v>
      </c>
      <c r="E566" s="4">
        <v>46056</v>
      </c>
      <c r="F566" s="4">
        <v>46067</v>
      </c>
      <c r="G566" s="4">
        <v>46066</v>
      </c>
      <c r="H566">
        <v>830</v>
      </c>
      <c r="I566" t="s">
        <v>968</v>
      </c>
      <c r="J566">
        <v>8</v>
      </c>
      <c r="K566" t="s">
        <v>1563</v>
      </c>
    </row>
    <row r="567" spans="1:11">
      <c r="A567" t="s">
        <v>997</v>
      </c>
      <c r="B567" t="s">
        <v>49</v>
      </c>
      <c r="C567" t="s">
        <v>12</v>
      </c>
      <c r="D567">
        <v>988</v>
      </c>
      <c r="E567" s="4">
        <v>46100</v>
      </c>
      <c r="F567" s="4">
        <v>46111</v>
      </c>
      <c r="G567" s="4">
        <v>46119</v>
      </c>
      <c r="H567">
        <v>976</v>
      </c>
      <c r="I567" t="s">
        <v>68</v>
      </c>
      <c r="J567">
        <v>14</v>
      </c>
      <c r="K567" t="s">
        <v>1563</v>
      </c>
    </row>
    <row r="568" spans="1:11">
      <c r="A568" t="s">
        <v>998</v>
      </c>
      <c r="B568" t="s">
        <v>26</v>
      </c>
      <c r="C568" t="s">
        <v>12</v>
      </c>
      <c r="D568">
        <v>969</v>
      </c>
      <c r="E568" s="4">
        <v>46125</v>
      </c>
      <c r="F568" s="4">
        <v>46133</v>
      </c>
      <c r="G568" s="4">
        <v>46132</v>
      </c>
      <c r="H568">
        <v>900</v>
      </c>
      <c r="I568" t="s">
        <v>461</v>
      </c>
      <c r="J568">
        <v>21</v>
      </c>
      <c r="K568" t="s">
        <v>1563</v>
      </c>
    </row>
    <row r="569" spans="1:11">
      <c r="A569" t="s">
        <v>999</v>
      </c>
      <c r="B569" t="s">
        <v>49</v>
      </c>
      <c r="C569" t="s">
        <v>12</v>
      </c>
      <c r="D569">
        <v>118</v>
      </c>
      <c r="E569" s="4">
        <v>46055</v>
      </c>
      <c r="F569" s="4">
        <v>46068</v>
      </c>
      <c r="G569" s="4">
        <v>46067</v>
      </c>
      <c r="H569">
        <v>117</v>
      </c>
      <c r="I569" t="s">
        <v>187</v>
      </c>
      <c r="J569">
        <v>1</v>
      </c>
      <c r="K569" t="s">
        <v>1563</v>
      </c>
    </row>
    <row r="570" spans="1:11">
      <c r="A570" t="s">
        <v>1000</v>
      </c>
      <c r="B570" t="s">
        <v>11</v>
      </c>
      <c r="C570" t="s">
        <v>12</v>
      </c>
      <c r="D570">
        <v>967</v>
      </c>
      <c r="E570" s="4">
        <v>46061</v>
      </c>
      <c r="F570" s="4">
        <v>46068</v>
      </c>
      <c r="G570" s="4">
        <v>46067</v>
      </c>
      <c r="H570">
        <v>954</v>
      </c>
      <c r="I570" t="s">
        <v>891</v>
      </c>
      <c r="J570">
        <v>22</v>
      </c>
      <c r="K570" t="s">
        <v>1563</v>
      </c>
    </row>
    <row r="571" spans="1:11">
      <c r="A571" t="s">
        <v>1001</v>
      </c>
      <c r="B571" t="s">
        <v>100</v>
      </c>
      <c r="C571" t="s">
        <v>12</v>
      </c>
      <c r="D571">
        <v>296</v>
      </c>
      <c r="E571" s="4">
        <v>46094</v>
      </c>
      <c r="F571" s="4">
        <v>46106</v>
      </c>
      <c r="G571" s="4">
        <v>46103</v>
      </c>
      <c r="H571">
        <v>285</v>
      </c>
      <c r="I571" t="s">
        <v>503</v>
      </c>
      <c r="J571">
        <v>8</v>
      </c>
      <c r="K571" t="s">
        <v>1563</v>
      </c>
    </row>
    <row r="572" spans="1:11">
      <c r="A572" t="s">
        <v>1002</v>
      </c>
      <c r="B572" t="s">
        <v>26</v>
      </c>
      <c r="C572" t="s">
        <v>12</v>
      </c>
      <c r="D572">
        <v>469</v>
      </c>
      <c r="E572" s="4">
        <v>46047</v>
      </c>
      <c r="F572" s="4">
        <v>46056</v>
      </c>
      <c r="G572" s="4">
        <v>46054</v>
      </c>
      <c r="H572">
        <v>470</v>
      </c>
      <c r="I572" t="s">
        <v>1003</v>
      </c>
      <c r="J572">
        <v>3</v>
      </c>
      <c r="K572" t="s">
        <v>1563</v>
      </c>
    </row>
    <row r="573" spans="1:11">
      <c r="A573" t="s">
        <v>1004</v>
      </c>
      <c r="B573" t="s">
        <v>49</v>
      </c>
      <c r="C573" t="s">
        <v>23</v>
      </c>
      <c r="D573">
        <v>270</v>
      </c>
      <c r="E573" s="4">
        <v>46054</v>
      </c>
      <c r="F573" s="4">
        <v>46063</v>
      </c>
      <c r="G573" s="4"/>
      <c r="I573" t="s">
        <v>1005</v>
      </c>
      <c r="K573" t="s">
        <v>1565</v>
      </c>
    </row>
    <row r="574" spans="1:11">
      <c r="A574" t="s">
        <v>1006</v>
      </c>
      <c r="B574" t="s">
        <v>49</v>
      </c>
      <c r="C574" t="s">
        <v>12</v>
      </c>
      <c r="D574">
        <v>883</v>
      </c>
      <c r="E574" s="4">
        <v>46138</v>
      </c>
      <c r="F574" s="4">
        <v>46150</v>
      </c>
      <c r="G574" s="4">
        <v>46156</v>
      </c>
      <c r="H574">
        <v>894</v>
      </c>
      <c r="I574" t="s">
        <v>310</v>
      </c>
      <c r="J574">
        <v>2</v>
      </c>
      <c r="K574" t="s">
        <v>1563</v>
      </c>
    </row>
    <row r="575" spans="1:11">
      <c r="A575" t="s">
        <v>1007</v>
      </c>
      <c r="B575" t="s">
        <v>100</v>
      </c>
      <c r="C575" t="s">
        <v>23</v>
      </c>
      <c r="D575">
        <v>690</v>
      </c>
      <c r="E575" s="4">
        <v>46063</v>
      </c>
      <c r="F575" s="4">
        <v>46077</v>
      </c>
      <c r="G575" s="4">
        <v>46080</v>
      </c>
      <c r="H575">
        <v>695</v>
      </c>
      <c r="I575" t="s">
        <v>833</v>
      </c>
      <c r="J575">
        <v>17</v>
      </c>
      <c r="K575" t="s">
        <v>1563</v>
      </c>
    </row>
    <row r="576" spans="1:11">
      <c r="A576" t="s">
        <v>1008</v>
      </c>
      <c r="B576" t="s">
        <v>29</v>
      </c>
      <c r="C576" t="s">
        <v>12</v>
      </c>
      <c r="D576">
        <v>991</v>
      </c>
      <c r="E576" s="4">
        <v>46118</v>
      </c>
      <c r="F576" s="4">
        <v>46128</v>
      </c>
      <c r="G576" s="4">
        <v>46127</v>
      </c>
      <c r="H576">
        <v>993</v>
      </c>
      <c r="I576" t="s">
        <v>1009</v>
      </c>
      <c r="J576">
        <v>3</v>
      </c>
      <c r="K576" t="s">
        <v>1563</v>
      </c>
    </row>
    <row r="577" spans="1:11">
      <c r="A577" t="s">
        <v>1010</v>
      </c>
      <c r="B577" t="s">
        <v>43</v>
      </c>
      <c r="C577" t="s">
        <v>12</v>
      </c>
      <c r="D577">
        <v>197</v>
      </c>
      <c r="E577" s="4">
        <v>46099</v>
      </c>
      <c r="F577" s="4">
        <v>46112</v>
      </c>
      <c r="G577" s="4">
        <v>46120</v>
      </c>
      <c r="H577">
        <v>199</v>
      </c>
      <c r="I577" t="s">
        <v>189</v>
      </c>
      <c r="J577">
        <v>10</v>
      </c>
      <c r="K577" t="s">
        <v>1563</v>
      </c>
    </row>
    <row r="578" spans="1:11">
      <c r="A578" t="s">
        <v>1011</v>
      </c>
      <c r="B578" t="s">
        <v>35</v>
      </c>
      <c r="C578" t="s">
        <v>23</v>
      </c>
      <c r="D578">
        <v>557</v>
      </c>
      <c r="E578" s="4">
        <v>46143</v>
      </c>
      <c r="F578" s="4">
        <v>46152</v>
      </c>
      <c r="G578" s="4">
        <v>46152</v>
      </c>
      <c r="H578">
        <v>549</v>
      </c>
      <c r="I578" t="s">
        <v>1012</v>
      </c>
      <c r="J578">
        <v>25</v>
      </c>
      <c r="K578" t="s">
        <v>1563</v>
      </c>
    </row>
    <row r="579" spans="1:11">
      <c r="A579" t="s">
        <v>1013</v>
      </c>
      <c r="B579" t="s">
        <v>19</v>
      </c>
      <c r="C579" t="s">
        <v>12</v>
      </c>
      <c r="D579">
        <v>808</v>
      </c>
      <c r="E579" s="4">
        <v>46121</v>
      </c>
      <c r="F579" s="4">
        <v>46126</v>
      </c>
      <c r="G579" s="4">
        <v>46126</v>
      </c>
      <c r="H579">
        <v>810</v>
      </c>
      <c r="I579" t="s">
        <v>1014</v>
      </c>
      <c r="J579">
        <v>24</v>
      </c>
      <c r="K579" t="s">
        <v>1563</v>
      </c>
    </row>
    <row r="580" spans="1:11">
      <c r="A580" t="s">
        <v>1015</v>
      </c>
      <c r="B580" t="s">
        <v>29</v>
      </c>
      <c r="C580" t="s">
        <v>12</v>
      </c>
      <c r="D580">
        <v>621</v>
      </c>
      <c r="E580" s="4">
        <v>46085</v>
      </c>
      <c r="F580" s="4">
        <v>46094</v>
      </c>
      <c r="G580" s="4">
        <v>46099</v>
      </c>
      <c r="H580">
        <v>616</v>
      </c>
      <c r="I580" t="s">
        <v>983</v>
      </c>
      <c r="J580">
        <v>8</v>
      </c>
      <c r="K580" t="s">
        <v>1563</v>
      </c>
    </row>
    <row r="581" spans="1:11">
      <c r="A581" t="s">
        <v>1016</v>
      </c>
      <c r="B581" t="s">
        <v>52</v>
      </c>
      <c r="C581" t="s">
        <v>12</v>
      </c>
      <c r="D581">
        <v>447</v>
      </c>
      <c r="E581" s="4">
        <v>46136</v>
      </c>
      <c r="F581" s="4">
        <v>46142</v>
      </c>
      <c r="G581" s="4">
        <v>46142</v>
      </c>
      <c r="H581">
        <v>445</v>
      </c>
      <c r="I581" t="s">
        <v>664</v>
      </c>
      <c r="J581">
        <v>9</v>
      </c>
      <c r="K581" t="s">
        <v>1563</v>
      </c>
    </row>
    <row r="582" spans="1:11">
      <c r="A582" t="s">
        <v>1017</v>
      </c>
      <c r="B582" t="s">
        <v>26</v>
      </c>
      <c r="C582" t="s">
        <v>12</v>
      </c>
      <c r="D582">
        <v>396</v>
      </c>
      <c r="E582" s="4">
        <v>46075</v>
      </c>
      <c r="F582" s="4">
        <v>46087</v>
      </c>
      <c r="G582" s="4">
        <v>46085</v>
      </c>
      <c r="H582">
        <v>398</v>
      </c>
      <c r="I582" t="s">
        <v>434</v>
      </c>
      <c r="J582">
        <v>8</v>
      </c>
      <c r="K582" t="s">
        <v>1563</v>
      </c>
    </row>
    <row r="583" spans="1:11">
      <c r="A583" t="s">
        <v>1018</v>
      </c>
      <c r="B583" t="s">
        <v>81</v>
      </c>
      <c r="C583" t="s">
        <v>16</v>
      </c>
      <c r="D583">
        <v>678</v>
      </c>
      <c r="E583" s="4">
        <v>46173</v>
      </c>
      <c r="F583" s="4">
        <v>46182</v>
      </c>
      <c r="G583" s="4">
        <v>46183</v>
      </c>
      <c r="H583">
        <v>610</v>
      </c>
      <c r="I583" t="s">
        <v>1019</v>
      </c>
      <c r="J583">
        <v>3</v>
      </c>
      <c r="K583" t="s">
        <v>1563</v>
      </c>
    </row>
    <row r="584" spans="1:11">
      <c r="A584" t="s">
        <v>1020</v>
      </c>
      <c r="B584" t="s">
        <v>52</v>
      </c>
      <c r="C584" t="s">
        <v>16</v>
      </c>
      <c r="D584">
        <v>379</v>
      </c>
      <c r="E584" s="4">
        <v>46135</v>
      </c>
      <c r="F584" s="4">
        <v>46150</v>
      </c>
      <c r="G584" s="4">
        <v>46147</v>
      </c>
      <c r="H584">
        <v>304</v>
      </c>
      <c r="I584" t="s">
        <v>831</v>
      </c>
      <c r="J584">
        <v>7</v>
      </c>
      <c r="K584" t="s">
        <v>1563</v>
      </c>
    </row>
    <row r="585" spans="1:11">
      <c r="A585" t="s">
        <v>1021</v>
      </c>
      <c r="B585" t="s">
        <v>54</v>
      </c>
      <c r="C585" t="s">
        <v>12</v>
      </c>
      <c r="D585">
        <v>630</v>
      </c>
      <c r="E585" s="4">
        <v>46166</v>
      </c>
      <c r="F585" s="4">
        <v>46177</v>
      </c>
      <c r="G585" s="4">
        <v>46176</v>
      </c>
      <c r="H585">
        <v>625</v>
      </c>
      <c r="I585" t="s">
        <v>854</v>
      </c>
      <c r="J585">
        <v>9</v>
      </c>
      <c r="K585" t="s">
        <v>1563</v>
      </c>
    </row>
    <row r="586" spans="1:11">
      <c r="A586" t="s">
        <v>1022</v>
      </c>
      <c r="B586" t="s">
        <v>46</v>
      </c>
      <c r="C586" t="s">
        <v>12</v>
      </c>
      <c r="D586">
        <v>612</v>
      </c>
      <c r="E586" s="4">
        <v>46081</v>
      </c>
      <c r="F586" s="4">
        <v>46086</v>
      </c>
      <c r="G586" s="4">
        <v>46090</v>
      </c>
      <c r="H586">
        <v>607</v>
      </c>
      <c r="I586" t="s">
        <v>994</v>
      </c>
      <c r="J586">
        <v>11</v>
      </c>
      <c r="K586" t="s">
        <v>1563</v>
      </c>
    </row>
    <row r="587" spans="1:11">
      <c r="A587" t="s">
        <v>1023</v>
      </c>
      <c r="B587" t="s">
        <v>46</v>
      </c>
      <c r="C587" t="s">
        <v>12</v>
      </c>
      <c r="D587">
        <v>581</v>
      </c>
      <c r="E587" s="4">
        <v>46108</v>
      </c>
      <c r="F587" s="4">
        <v>46114</v>
      </c>
      <c r="G587" s="4">
        <v>46113</v>
      </c>
      <c r="H587">
        <v>499</v>
      </c>
      <c r="I587" t="s">
        <v>1024</v>
      </c>
      <c r="J587">
        <v>42</v>
      </c>
      <c r="K587" t="s">
        <v>1563</v>
      </c>
    </row>
    <row r="588" spans="1:11">
      <c r="A588" t="s">
        <v>1025</v>
      </c>
      <c r="B588" t="s">
        <v>67</v>
      </c>
      <c r="C588" t="s">
        <v>12</v>
      </c>
      <c r="D588">
        <v>457</v>
      </c>
      <c r="E588" s="4">
        <v>46037</v>
      </c>
      <c r="F588" s="4">
        <v>46044</v>
      </c>
      <c r="G588" s="4">
        <v>46041</v>
      </c>
      <c r="H588">
        <v>459</v>
      </c>
      <c r="I588" t="s">
        <v>731</v>
      </c>
      <c r="J588">
        <v>5</v>
      </c>
      <c r="K588" t="s">
        <v>1563</v>
      </c>
    </row>
    <row r="589" spans="1:11">
      <c r="A589" t="s">
        <v>1026</v>
      </c>
      <c r="B589" t="s">
        <v>29</v>
      </c>
      <c r="C589" t="s">
        <v>12</v>
      </c>
      <c r="D589">
        <v>938</v>
      </c>
      <c r="E589" s="4">
        <v>46050</v>
      </c>
      <c r="F589" s="4">
        <v>46060</v>
      </c>
      <c r="G589" s="4">
        <v>46060</v>
      </c>
      <c r="H589">
        <v>771</v>
      </c>
      <c r="I589" t="s">
        <v>1027</v>
      </c>
      <c r="J589">
        <v>10</v>
      </c>
      <c r="K589" t="s">
        <v>1563</v>
      </c>
    </row>
    <row r="590" spans="1:11">
      <c r="A590" t="s">
        <v>1028</v>
      </c>
      <c r="B590" t="s">
        <v>70</v>
      </c>
      <c r="C590" t="s">
        <v>16</v>
      </c>
      <c r="D590">
        <v>547</v>
      </c>
      <c r="E590" s="4">
        <v>46030</v>
      </c>
      <c r="F590" s="4">
        <v>46041</v>
      </c>
      <c r="G590" s="4">
        <v>46043</v>
      </c>
      <c r="H590">
        <v>551</v>
      </c>
      <c r="I590" t="s">
        <v>279</v>
      </c>
      <c r="J590">
        <v>4</v>
      </c>
      <c r="K590" t="s">
        <v>1563</v>
      </c>
    </row>
    <row r="591" spans="1:11">
      <c r="A591" t="s">
        <v>1029</v>
      </c>
      <c r="B591" t="s">
        <v>52</v>
      </c>
      <c r="C591" t="s">
        <v>12</v>
      </c>
      <c r="D591">
        <v>741</v>
      </c>
      <c r="E591" s="4">
        <v>46061</v>
      </c>
      <c r="F591" s="4">
        <v>46072</v>
      </c>
      <c r="G591" s="4">
        <v>46069</v>
      </c>
      <c r="H591">
        <v>751</v>
      </c>
      <c r="I591" t="s">
        <v>734</v>
      </c>
      <c r="J591">
        <v>18</v>
      </c>
      <c r="K591" t="s">
        <v>1563</v>
      </c>
    </row>
    <row r="592" spans="1:11">
      <c r="A592" t="s">
        <v>1030</v>
      </c>
      <c r="B592" t="s">
        <v>49</v>
      </c>
      <c r="C592" t="s">
        <v>16</v>
      </c>
      <c r="D592">
        <v>215</v>
      </c>
      <c r="E592" s="4">
        <v>46075</v>
      </c>
      <c r="F592" s="4">
        <v>46085</v>
      </c>
      <c r="G592" s="4">
        <v>46084</v>
      </c>
      <c r="H592">
        <v>185</v>
      </c>
      <c r="I592" t="s">
        <v>266</v>
      </c>
      <c r="J592">
        <v>2</v>
      </c>
      <c r="K592" t="s">
        <v>1563</v>
      </c>
    </row>
    <row r="593" spans="1:11">
      <c r="A593" t="s">
        <v>1031</v>
      </c>
      <c r="B593" t="s">
        <v>52</v>
      </c>
      <c r="C593" t="s">
        <v>16</v>
      </c>
      <c r="D593">
        <v>431</v>
      </c>
      <c r="E593" s="4">
        <v>46073</v>
      </c>
      <c r="F593" s="4">
        <v>46079</v>
      </c>
      <c r="G593" s="4">
        <v>46077</v>
      </c>
      <c r="H593">
        <v>423</v>
      </c>
      <c r="I593" t="s">
        <v>92</v>
      </c>
      <c r="J593">
        <v>7</v>
      </c>
      <c r="K593" t="s">
        <v>1563</v>
      </c>
    </row>
    <row r="594" spans="1:11">
      <c r="A594" t="s">
        <v>1032</v>
      </c>
      <c r="B594" t="s">
        <v>11</v>
      </c>
      <c r="C594" t="s">
        <v>23</v>
      </c>
      <c r="D594">
        <v>766</v>
      </c>
      <c r="E594" s="4">
        <v>46091</v>
      </c>
      <c r="F594" s="4">
        <v>46096</v>
      </c>
      <c r="G594" s="4">
        <v>46096</v>
      </c>
      <c r="H594">
        <v>767</v>
      </c>
      <c r="I594" t="s">
        <v>785</v>
      </c>
      <c r="J594">
        <v>2</v>
      </c>
      <c r="K594" t="s">
        <v>1563</v>
      </c>
    </row>
    <row r="595" spans="1:11">
      <c r="A595" t="s">
        <v>1033</v>
      </c>
      <c r="B595" t="s">
        <v>19</v>
      </c>
      <c r="C595" t="s">
        <v>12</v>
      </c>
      <c r="D595">
        <v>261</v>
      </c>
      <c r="E595" s="4">
        <v>46101</v>
      </c>
      <c r="F595" s="4">
        <v>46106</v>
      </c>
      <c r="G595" s="4">
        <v>46104</v>
      </c>
      <c r="H595">
        <v>253</v>
      </c>
      <c r="I595" t="s">
        <v>57</v>
      </c>
      <c r="J595">
        <v>5</v>
      </c>
      <c r="K595" t="s">
        <v>1563</v>
      </c>
    </row>
    <row r="596" spans="1:11">
      <c r="A596" t="s">
        <v>1034</v>
      </c>
      <c r="B596" t="s">
        <v>26</v>
      </c>
      <c r="C596" t="s">
        <v>23</v>
      </c>
      <c r="D596">
        <v>724</v>
      </c>
      <c r="E596" s="4">
        <v>46052</v>
      </c>
      <c r="F596" s="4">
        <v>46064</v>
      </c>
      <c r="G596" s="4">
        <v>46061</v>
      </c>
      <c r="H596">
        <v>722</v>
      </c>
      <c r="I596" t="s">
        <v>1035</v>
      </c>
      <c r="J596">
        <v>6</v>
      </c>
      <c r="K596" t="s">
        <v>1563</v>
      </c>
    </row>
    <row r="597" spans="1:11">
      <c r="A597" t="s">
        <v>1036</v>
      </c>
      <c r="B597" t="s">
        <v>120</v>
      </c>
      <c r="C597" t="s">
        <v>12</v>
      </c>
      <c r="D597">
        <v>651</v>
      </c>
      <c r="E597" s="4">
        <v>46116</v>
      </c>
      <c r="F597" s="4">
        <v>46129</v>
      </c>
      <c r="G597" s="4">
        <v>46126</v>
      </c>
      <c r="H597">
        <v>620</v>
      </c>
      <c r="I597" t="s">
        <v>1009</v>
      </c>
      <c r="J597">
        <v>36</v>
      </c>
      <c r="K597" t="s">
        <v>1563</v>
      </c>
    </row>
    <row r="598" spans="1:11">
      <c r="A598" t="s">
        <v>1037</v>
      </c>
      <c r="B598" t="s">
        <v>22</v>
      </c>
      <c r="C598" t="s">
        <v>16</v>
      </c>
      <c r="D598">
        <v>440</v>
      </c>
      <c r="E598" s="4">
        <v>46107</v>
      </c>
      <c r="F598" s="4">
        <v>46115</v>
      </c>
      <c r="G598" s="4">
        <v>46121</v>
      </c>
      <c r="H598">
        <v>441</v>
      </c>
      <c r="I598" t="s">
        <v>235</v>
      </c>
      <c r="J598">
        <v>7</v>
      </c>
      <c r="K598" t="s">
        <v>1563</v>
      </c>
    </row>
    <row r="599" spans="1:11">
      <c r="A599" t="s">
        <v>1038</v>
      </c>
      <c r="B599" t="s">
        <v>49</v>
      </c>
      <c r="C599" t="s">
        <v>12</v>
      </c>
      <c r="D599">
        <v>650</v>
      </c>
      <c r="E599" s="4">
        <v>46113</v>
      </c>
      <c r="F599" s="4">
        <v>46126</v>
      </c>
      <c r="G599" s="4">
        <v>46123</v>
      </c>
      <c r="H599">
        <v>581</v>
      </c>
      <c r="I599" t="s">
        <v>1039</v>
      </c>
      <c r="J599">
        <v>7</v>
      </c>
      <c r="K599" t="s">
        <v>1563</v>
      </c>
    </row>
    <row r="600" spans="1:11">
      <c r="A600" t="s">
        <v>1040</v>
      </c>
      <c r="B600" t="s">
        <v>81</v>
      </c>
      <c r="C600" t="s">
        <v>23</v>
      </c>
      <c r="D600">
        <v>994</v>
      </c>
      <c r="E600" s="4">
        <v>46115</v>
      </c>
      <c r="F600" s="4">
        <v>46121</v>
      </c>
      <c r="G600" s="4">
        <v>46118</v>
      </c>
      <c r="H600">
        <v>980</v>
      </c>
      <c r="I600" t="s">
        <v>1041</v>
      </c>
      <c r="J600">
        <v>4</v>
      </c>
      <c r="K600" t="s">
        <v>1563</v>
      </c>
    </row>
    <row r="601" spans="1:11">
      <c r="A601" t="s">
        <v>1042</v>
      </c>
      <c r="B601" t="s">
        <v>67</v>
      </c>
      <c r="C601" t="s">
        <v>12</v>
      </c>
      <c r="D601">
        <v>880</v>
      </c>
      <c r="E601" s="4">
        <v>46149</v>
      </c>
      <c r="F601" s="4">
        <v>46156</v>
      </c>
      <c r="G601" s="4">
        <v>46153</v>
      </c>
      <c r="H601">
        <v>890</v>
      </c>
      <c r="I601" t="s">
        <v>1043</v>
      </c>
      <c r="J601">
        <v>22</v>
      </c>
      <c r="K601" t="s">
        <v>1563</v>
      </c>
    </row>
    <row r="602" spans="1:11">
      <c r="A602" t="s">
        <v>1044</v>
      </c>
      <c r="B602" t="s">
        <v>32</v>
      </c>
      <c r="C602" t="s">
        <v>16</v>
      </c>
      <c r="D602">
        <v>729</v>
      </c>
      <c r="E602" s="4">
        <v>46120</v>
      </c>
      <c r="F602" s="4">
        <v>46131</v>
      </c>
      <c r="G602" s="4">
        <v>46130</v>
      </c>
      <c r="H602">
        <v>742</v>
      </c>
      <c r="I602" t="s">
        <v>906</v>
      </c>
      <c r="J602">
        <v>31</v>
      </c>
      <c r="K602" t="s">
        <v>1563</v>
      </c>
    </row>
    <row r="603" spans="1:11">
      <c r="A603" t="s">
        <v>1045</v>
      </c>
      <c r="B603" t="s">
        <v>177</v>
      </c>
      <c r="C603" t="s">
        <v>12</v>
      </c>
      <c r="D603">
        <v>152</v>
      </c>
      <c r="E603" s="4">
        <v>46071</v>
      </c>
      <c r="F603" s="4">
        <v>46086</v>
      </c>
      <c r="G603" s="4">
        <v>46095</v>
      </c>
      <c r="H603">
        <v>152</v>
      </c>
      <c r="I603" t="s">
        <v>30</v>
      </c>
      <c r="J603">
        <v>1</v>
      </c>
      <c r="K603" t="s">
        <v>1563</v>
      </c>
    </row>
    <row r="604" spans="1:11">
      <c r="A604" t="s">
        <v>1046</v>
      </c>
      <c r="B604" t="s">
        <v>26</v>
      </c>
      <c r="C604" t="s">
        <v>12</v>
      </c>
      <c r="D604">
        <v>82</v>
      </c>
      <c r="E604" s="4">
        <v>46093</v>
      </c>
      <c r="F604" s="4">
        <v>46100</v>
      </c>
      <c r="G604" s="4">
        <v>46100</v>
      </c>
      <c r="H604">
        <v>83</v>
      </c>
      <c r="I604" t="s">
        <v>941</v>
      </c>
      <c r="J604">
        <v>1</v>
      </c>
      <c r="K604" t="s">
        <v>1563</v>
      </c>
    </row>
    <row r="605" spans="1:11">
      <c r="A605" t="s">
        <v>1047</v>
      </c>
      <c r="B605" t="s">
        <v>26</v>
      </c>
      <c r="C605" t="s">
        <v>12</v>
      </c>
      <c r="D605">
        <v>654</v>
      </c>
      <c r="E605" s="4">
        <v>46137</v>
      </c>
      <c r="F605" s="4">
        <v>46148</v>
      </c>
      <c r="G605" s="4">
        <v>46149</v>
      </c>
      <c r="H605">
        <v>559</v>
      </c>
      <c r="I605" t="s">
        <v>1048</v>
      </c>
      <c r="J605">
        <v>5</v>
      </c>
      <c r="K605" t="s">
        <v>1563</v>
      </c>
    </row>
    <row r="606" spans="1:11">
      <c r="A606" t="s">
        <v>1049</v>
      </c>
      <c r="B606" t="s">
        <v>52</v>
      </c>
      <c r="C606" t="s">
        <v>12</v>
      </c>
      <c r="D606">
        <v>105</v>
      </c>
      <c r="E606" s="4">
        <v>46132</v>
      </c>
      <c r="F606" s="4">
        <v>46145</v>
      </c>
      <c r="G606" s="4">
        <v>46144</v>
      </c>
      <c r="H606">
        <v>104</v>
      </c>
      <c r="I606" t="s">
        <v>836</v>
      </c>
      <c r="J606">
        <v>2</v>
      </c>
      <c r="K606" t="s">
        <v>1563</v>
      </c>
    </row>
    <row r="607" spans="1:11">
      <c r="A607" t="s">
        <v>1050</v>
      </c>
      <c r="B607" t="s">
        <v>22</v>
      </c>
      <c r="C607" t="s">
        <v>23</v>
      </c>
      <c r="D607">
        <v>501</v>
      </c>
      <c r="E607" s="4">
        <v>46031</v>
      </c>
      <c r="F607" s="4">
        <v>46040</v>
      </c>
      <c r="G607" s="4">
        <v>46040</v>
      </c>
      <c r="H607">
        <v>509</v>
      </c>
      <c r="I607" t="s">
        <v>535</v>
      </c>
      <c r="J607">
        <v>11</v>
      </c>
      <c r="K607" t="s">
        <v>1563</v>
      </c>
    </row>
    <row r="608" spans="1:11">
      <c r="A608" t="s">
        <v>1051</v>
      </c>
      <c r="B608" t="s">
        <v>19</v>
      </c>
      <c r="C608" t="s">
        <v>12</v>
      </c>
      <c r="D608">
        <v>492</v>
      </c>
      <c r="E608" s="4">
        <v>46085</v>
      </c>
      <c r="F608" s="4">
        <v>46091</v>
      </c>
      <c r="G608" s="4">
        <v>46090</v>
      </c>
      <c r="H608">
        <v>407</v>
      </c>
      <c r="I608" t="s">
        <v>533</v>
      </c>
      <c r="J608">
        <v>22</v>
      </c>
      <c r="K608" t="s">
        <v>1563</v>
      </c>
    </row>
    <row r="609" spans="1:11">
      <c r="A609" t="s">
        <v>1052</v>
      </c>
      <c r="B609" t="s">
        <v>35</v>
      </c>
      <c r="C609" t="s">
        <v>23</v>
      </c>
      <c r="D609">
        <v>974</v>
      </c>
      <c r="E609" s="4">
        <v>46127</v>
      </c>
      <c r="F609" s="4">
        <v>46133</v>
      </c>
      <c r="G609" s="4">
        <v>46137</v>
      </c>
      <c r="H609">
        <v>981</v>
      </c>
      <c r="I609" t="s">
        <v>824</v>
      </c>
      <c r="J609">
        <v>12</v>
      </c>
      <c r="K609" t="s">
        <v>1563</v>
      </c>
    </row>
    <row r="610" spans="1:11">
      <c r="A610" t="s">
        <v>1053</v>
      </c>
      <c r="B610" t="s">
        <v>35</v>
      </c>
      <c r="C610" t="s">
        <v>12</v>
      </c>
      <c r="D610">
        <v>318</v>
      </c>
      <c r="E610" s="4">
        <v>46096</v>
      </c>
      <c r="F610" s="4">
        <v>46104</v>
      </c>
      <c r="G610" s="4">
        <v>46104</v>
      </c>
      <c r="H610">
        <v>322</v>
      </c>
      <c r="I610" t="s">
        <v>354</v>
      </c>
      <c r="J610">
        <v>8</v>
      </c>
      <c r="K610" t="s">
        <v>1563</v>
      </c>
    </row>
    <row r="611" spans="1:11">
      <c r="A611" t="s">
        <v>1054</v>
      </c>
      <c r="B611" t="s">
        <v>81</v>
      </c>
      <c r="C611" t="s">
        <v>16</v>
      </c>
      <c r="D611">
        <v>148</v>
      </c>
      <c r="E611" s="4">
        <v>46069</v>
      </c>
      <c r="F611" s="4">
        <v>46084</v>
      </c>
      <c r="G611" s="4">
        <v>46082</v>
      </c>
      <c r="H611">
        <v>148</v>
      </c>
      <c r="I611" t="s">
        <v>244</v>
      </c>
      <c r="J611">
        <v>1</v>
      </c>
      <c r="K611" t="s">
        <v>1563</v>
      </c>
    </row>
    <row r="612" spans="1:11">
      <c r="A612" t="s">
        <v>1055</v>
      </c>
      <c r="B612" t="s">
        <v>32</v>
      </c>
      <c r="C612" t="s">
        <v>12</v>
      </c>
      <c r="D612">
        <v>639</v>
      </c>
      <c r="E612" s="4">
        <v>46152</v>
      </c>
      <c r="F612" s="4">
        <v>46162</v>
      </c>
      <c r="G612" s="4">
        <v>46167</v>
      </c>
      <c r="H612">
        <v>639</v>
      </c>
      <c r="I612" t="s">
        <v>152</v>
      </c>
      <c r="J612">
        <v>32</v>
      </c>
      <c r="K612" t="s">
        <v>1563</v>
      </c>
    </row>
    <row r="613" spans="1:11">
      <c r="A613" t="s">
        <v>1056</v>
      </c>
      <c r="B613" t="s">
        <v>49</v>
      </c>
      <c r="C613" t="s">
        <v>16</v>
      </c>
      <c r="D613">
        <v>459</v>
      </c>
      <c r="E613" s="4">
        <v>46144</v>
      </c>
      <c r="F613" s="4">
        <v>46152</v>
      </c>
      <c r="G613" s="4">
        <v>46151</v>
      </c>
      <c r="H613">
        <v>453</v>
      </c>
      <c r="I613" t="s">
        <v>383</v>
      </c>
      <c r="J613">
        <v>5</v>
      </c>
      <c r="K613" t="s">
        <v>1563</v>
      </c>
    </row>
    <row r="614" spans="1:11">
      <c r="A614" t="s">
        <v>1057</v>
      </c>
      <c r="B614" t="s">
        <v>52</v>
      </c>
      <c r="C614" t="s">
        <v>12</v>
      </c>
      <c r="D614">
        <v>526</v>
      </c>
      <c r="E614" s="4">
        <v>46118</v>
      </c>
      <c r="F614" s="4">
        <v>46129</v>
      </c>
      <c r="G614" s="4">
        <v>46129</v>
      </c>
      <c r="H614">
        <v>534</v>
      </c>
      <c r="I614" t="s">
        <v>1058</v>
      </c>
      <c r="J614">
        <v>6</v>
      </c>
      <c r="K614" t="s">
        <v>1563</v>
      </c>
    </row>
    <row r="615" spans="1:11">
      <c r="A615" t="s">
        <v>1059</v>
      </c>
      <c r="B615" t="s">
        <v>19</v>
      </c>
      <c r="C615" t="s">
        <v>23</v>
      </c>
      <c r="D615">
        <v>267</v>
      </c>
      <c r="E615" s="4">
        <v>46027</v>
      </c>
      <c r="F615" s="4">
        <v>46036</v>
      </c>
      <c r="G615" s="4">
        <v>46033</v>
      </c>
      <c r="H615">
        <v>269</v>
      </c>
      <c r="I615" t="s">
        <v>824</v>
      </c>
      <c r="J615">
        <v>3</v>
      </c>
      <c r="K615" t="s">
        <v>1563</v>
      </c>
    </row>
    <row r="616" spans="1:11">
      <c r="A616" t="s">
        <v>1060</v>
      </c>
      <c r="B616" t="s">
        <v>22</v>
      </c>
      <c r="C616" t="s">
        <v>16</v>
      </c>
      <c r="D616">
        <v>290</v>
      </c>
      <c r="E616" s="4">
        <v>46102</v>
      </c>
      <c r="F616" s="4">
        <v>46112</v>
      </c>
      <c r="G616" s="4">
        <v>46109</v>
      </c>
      <c r="H616">
        <v>289</v>
      </c>
      <c r="I616" t="s">
        <v>1061</v>
      </c>
      <c r="J616">
        <v>9</v>
      </c>
      <c r="K616" t="s">
        <v>1563</v>
      </c>
    </row>
    <row r="617" spans="1:11">
      <c r="A617" t="s">
        <v>1062</v>
      </c>
      <c r="B617" t="s">
        <v>11</v>
      </c>
      <c r="C617" t="s">
        <v>16</v>
      </c>
      <c r="D617">
        <v>281</v>
      </c>
      <c r="E617" s="4">
        <v>46057</v>
      </c>
      <c r="F617" s="4">
        <v>46071</v>
      </c>
      <c r="G617" s="4">
        <v>46073</v>
      </c>
      <c r="H617">
        <v>282</v>
      </c>
      <c r="I617" t="s">
        <v>1063</v>
      </c>
      <c r="J617">
        <v>12</v>
      </c>
      <c r="K617" t="s">
        <v>1563</v>
      </c>
    </row>
    <row r="618" spans="1:11">
      <c r="A618" t="s">
        <v>1064</v>
      </c>
      <c r="B618" t="s">
        <v>52</v>
      </c>
      <c r="C618" t="s">
        <v>12</v>
      </c>
      <c r="D618">
        <v>885</v>
      </c>
      <c r="E618" s="4">
        <v>46116</v>
      </c>
      <c r="F618" s="4">
        <v>46131</v>
      </c>
      <c r="G618" s="4">
        <v>46129</v>
      </c>
      <c r="H618">
        <v>900</v>
      </c>
      <c r="I618" t="s">
        <v>376</v>
      </c>
      <c r="J618">
        <v>15</v>
      </c>
      <c r="K618" t="s">
        <v>1563</v>
      </c>
    </row>
    <row r="619" spans="1:11">
      <c r="A619" t="s">
        <v>1065</v>
      </c>
      <c r="B619" t="s">
        <v>52</v>
      </c>
      <c r="C619" t="s">
        <v>12</v>
      </c>
      <c r="D619">
        <v>583</v>
      </c>
      <c r="E619" s="4">
        <v>46045</v>
      </c>
      <c r="F619" s="4">
        <v>46052</v>
      </c>
      <c r="G619" s="4">
        <v>46056</v>
      </c>
      <c r="H619">
        <v>572</v>
      </c>
      <c r="I619" t="s">
        <v>600</v>
      </c>
      <c r="J619">
        <v>9</v>
      </c>
      <c r="K619" t="s">
        <v>1563</v>
      </c>
    </row>
    <row r="620" spans="1:11">
      <c r="A620" t="s">
        <v>1066</v>
      </c>
      <c r="B620" t="s">
        <v>52</v>
      </c>
      <c r="C620" t="s">
        <v>16</v>
      </c>
      <c r="D620">
        <v>939</v>
      </c>
      <c r="E620" s="4">
        <v>46098</v>
      </c>
      <c r="F620" s="4">
        <v>46104</v>
      </c>
      <c r="G620" s="4">
        <v>46102</v>
      </c>
      <c r="H620">
        <v>938</v>
      </c>
      <c r="I620" t="s">
        <v>1067</v>
      </c>
      <c r="J620">
        <v>17</v>
      </c>
      <c r="K620" t="s">
        <v>1563</v>
      </c>
    </row>
    <row r="621" spans="1:11">
      <c r="A621" t="s">
        <v>1068</v>
      </c>
      <c r="B621" t="s">
        <v>177</v>
      </c>
      <c r="C621" t="s">
        <v>12</v>
      </c>
      <c r="D621">
        <v>423</v>
      </c>
      <c r="E621" s="4">
        <v>46075</v>
      </c>
      <c r="F621" s="4">
        <v>46088</v>
      </c>
      <c r="G621" s="4">
        <v>46093</v>
      </c>
      <c r="H621">
        <v>416</v>
      </c>
      <c r="I621" t="s">
        <v>75</v>
      </c>
      <c r="J621">
        <v>9</v>
      </c>
      <c r="K621" t="s">
        <v>1563</v>
      </c>
    </row>
    <row r="622" spans="1:11">
      <c r="A622" t="s">
        <v>1069</v>
      </c>
      <c r="B622" t="s">
        <v>64</v>
      </c>
      <c r="C622" t="s">
        <v>16</v>
      </c>
      <c r="D622">
        <v>239</v>
      </c>
      <c r="E622" s="4">
        <v>46144</v>
      </c>
      <c r="F622" s="4">
        <v>46153</v>
      </c>
      <c r="G622" s="4">
        <v>46153</v>
      </c>
      <c r="H622">
        <v>236</v>
      </c>
      <c r="I622" t="s">
        <v>1070</v>
      </c>
      <c r="J622">
        <v>1</v>
      </c>
      <c r="K622" t="s">
        <v>1563</v>
      </c>
    </row>
    <row r="623" spans="1:11">
      <c r="A623" t="s">
        <v>1071</v>
      </c>
      <c r="B623" t="s">
        <v>54</v>
      </c>
      <c r="C623" t="s">
        <v>12</v>
      </c>
      <c r="D623">
        <v>872</v>
      </c>
      <c r="E623" s="4">
        <v>46036</v>
      </c>
      <c r="F623" s="4">
        <v>46049</v>
      </c>
      <c r="G623" s="4">
        <v>46046</v>
      </c>
      <c r="H623">
        <v>872</v>
      </c>
      <c r="I623" t="s">
        <v>1072</v>
      </c>
      <c r="J623">
        <v>13</v>
      </c>
      <c r="K623" t="s">
        <v>1563</v>
      </c>
    </row>
    <row r="624" spans="1:11">
      <c r="A624" t="s">
        <v>1073</v>
      </c>
      <c r="B624" t="s">
        <v>81</v>
      </c>
      <c r="C624" t="s">
        <v>23</v>
      </c>
      <c r="D624">
        <v>241</v>
      </c>
      <c r="E624" s="4">
        <v>46104</v>
      </c>
      <c r="F624" s="4">
        <v>46110</v>
      </c>
      <c r="G624" s="4">
        <v>46110</v>
      </c>
      <c r="H624">
        <v>238</v>
      </c>
      <c r="I624" t="s">
        <v>552</v>
      </c>
      <c r="J624">
        <v>1</v>
      </c>
      <c r="K624" t="s">
        <v>1563</v>
      </c>
    </row>
    <row r="625" spans="1:11">
      <c r="A625" t="s">
        <v>1074</v>
      </c>
      <c r="B625" t="s">
        <v>46</v>
      </c>
      <c r="C625" t="s">
        <v>16</v>
      </c>
      <c r="D625">
        <v>973</v>
      </c>
      <c r="E625" s="4">
        <v>46052</v>
      </c>
      <c r="F625" s="4">
        <v>46059</v>
      </c>
      <c r="G625" s="4"/>
      <c r="I625" t="s">
        <v>452</v>
      </c>
      <c r="K625" t="s">
        <v>1565</v>
      </c>
    </row>
    <row r="626" spans="1:11">
      <c r="A626" t="s">
        <v>1075</v>
      </c>
      <c r="B626" t="s">
        <v>11</v>
      </c>
      <c r="C626" t="s">
        <v>16</v>
      </c>
      <c r="D626">
        <v>278</v>
      </c>
      <c r="E626" s="4">
        <v>46076</v>
      </c>
      <c r="F626" s="4">
        <v>46084</v>
      </c>
      <c r="G626" s="4">
        <v>46084</v>
      </c>
      <c r="H626">
        <v>283</v>
      </c>
      <c r="I626" t="s">
        <v>1076</v>
      </c>
      <c r="J626">
        <v>12</v>
      </c>
      <c r="K626" t="s">
        <v>1563</v>
      </c>
    </row>
    <row r="627" spans="1:11">
      <c r="A627" t="s">
        <v>1077</v>
      </c>
      <c r="B627" t="s">
        <v>19</v>
      </c>
      <c r="C627" t="s">
        <v>16</v>
      </c>
      <c r="D627">
        <v>773</v>
      </c>
      <c r="E627" s="4">
        <v>46139</v>
      </c>
      <c r="F627" s="4">
        <v>46144</v>
      </c>
      <c r="G627" s="4">
        <v>46142</v>
      </c>
      <c r="H627">
        <v>772</v>
      </c>
      <c r="I627" t="s">
        <v>266</v>
      </c>
      <c r="J627">
        <v>28</v>
      </c>
      <c r="K627" t="s">
        <v>1563</v>
      </c>
    </row>
    <row r="628" spans="1:11">
      <c r="A628" t="s">
        <v>1078</v>
      </c>
      <c r="B628" t="s">
        <v>11</v>
      </c>
      <c r="C628" t="s">
        <v>16</v>
      </c>
      <c r="D628">
        <v>121</v>
      </c>
      <c r="E628" s="4">
        <v>46068</v>
      </c>
      <c r="F628" s="4">
        <v>46079</v>
      </c>
      <c r="G628" s="4">
        <v>46078</v>
      </c>
      <c r="H628">
        <v>120</v>
      </c>
      <c r="I628" t="s">
        <v>50</v>
      </c>
      <c r="J628">
        <v>4</v>
      </c>
      <c r="K628" t="s">
        <v>1563</v>
      </c>
    </row>
    <row r="629" spans="1:11">
      <c r="A629" t="s">
        <v>1079</v>
      </c>
      <c r="B629" t="s">
        <v>64</v>
      </c>
      <c r="C629" t="s">
        <v>16</v>
      </c>
      <c r="D629">
        <v>108</v>
      </c>
      <c r="E629" s="4">
        <v>46151</v>
      </c>
      <c r="F629" s="4">
        <v>46162</v>
      </c>
      <c r="G629" s="4">
        <v>46168</v>
      </c>
      <c r="H629">
        <v>101</v>
      </c>
      <c r="I629" t="s">
        <v>944</v>
      </c>
      <c r="J629">
        <v>2</v>
      </c>
      <c r="K629" t="s">
        <v>1563</v>
      </c>
    </row>
    <row r="630" spans="1:11">
      <c r="A630" t="s">
        <v>1080</v>
      </c>
      <c r="B630" t="s">
        <v>70</v>
      </c>
      <c r="C630" t="s">
        <v>16</v>
      </c>
      <c r="D630">
        <v>870</v>
      </c>
      <c r="E630" s="4">
        <v>46113</v>
      </c>
      <c r="F630" s="4">
        <v>46123</v>
      </c>
      <c r="G630" s="4">
        <v>46127</v>
      </c>
      <c r="H630">
        <v>856</v>
      </c>
      <c r="I630" t="s">
        <v>432</v>
      </c>
      <c r="J630">
        <v>5</v>
      </c>
      <c r="K630" t="s">
        <v>1563</v>
      </c>
    </row>
    <row r="631" spans="1:11">
      <c r="A631" t="s">
        <v>1081</v>
      </c>
      <c r="B631" t="s">
        <v>177</v>
      </c>
      <c r="C631" t="s">
        <v>12</v>
      </c>
      <c r="D631">
        <v>612</v>
      </c>
      <c r="E631" s="4">
        <v>46089</v>
      </c>
      <c r="F631" s="4">
        <v>46100</v>
      </c>
      <c r="G631" s="4">
        <v>46098</v>
      </c>
      <c r="H631">
        <v>621</v>
      </c>
      <c r="I631" t="s">
        <v>547</v>
      </c>
      <c r="J631">
        <v>14</v>
      </c>
      <c r="K631" t="s">
        <v>1563</v>
      </c>
    </row>
    <row r="632" spans="1:11">
      <c r="A632" t="s">
        <v>1082</v>
      </c>
      <c r="B632" t="s">
        <v>26</v>
      </c>
      <c r="C632" t="s">
        <v>16</v>
      </c>
      <c r="D632">
        <v>428</v>
      </c>
      <c r="E632" s="4">
        <v>46140</v>
      </c>
      <c r="F632" s="4">
        <v>46150</v>
      </c>
      <c r="G632" s="4">
        <v>46153</v>
      </c>
      <c r="H632">
        <v>422</v>
      </c>
      <c r="I632" t="s">
        <v>92</v>
      </c>
      <c r="J632">
        <v>4</v>
      </c>
      <c r="K632" t="s">
        <v>1563</v>
      </c>
    </row>
    <row r="633" spans="1:11">
      <c r="A633" t="s">
        <v>1083</v>
      </c>
      <c r="B633" t="s">
        <v>43</v>
      </c>
      <c r="C633" t="s">
        <v>12</v>
      </c>
      <c r="D633">
        <v>784</v>
      </c>
      <c r="E633" s="4">
        <v>46140</v>
      </c>
      <c r="F633" s="4">
        <v>46147</v>
      </c>
      <c r="G633" s="4">
        <v>46144</v>
      </c>
      <c r="H633">
        <v>781</v>
      </c>
      <c r="I633" t="s">
        <v>152</v>
      </c>
      <c r="J633">
        <v>55</v>
      </c>
      <c r="K633" t="s">
        <v>1563</v>
      </c>
    </row>
    <row r="634" spans="1:11">
      <c r="A634" t="s">
        <v>1084</v>
      </c>
      <c r="B634" t="s">
        <v>46</v>
      </c>
      <c r="C634" t="s">
        <v>12</v>
      </c>
      <c r="D634">
        <v>665</v>
      </c>
      <c r="E634" s="4">
        <v>46079</v>
      </c>
      <c r="F634" s="4">
        <v>46088</v>
      </c>
      <c r="G634" s="4">
        <v>46093</v>
      </c>
      <c r="H634">
        <v>674</v>
      </c>
      <c r="I634" t="s">
        <v>936</v>
      </c>
      <c r="J634">
        <v>47</v>
      </c>
      <c r="K634" t="s">
        <v>1563</v>
      </c>
    </row>
    <row r="635" spans="1:11">
      <c r="A635" t="s">
        <v>1085</v>
      </c>
      <c r="B635" t="s">
        <v>46</v>
      </c>
      <c r="C635" t="s">
        <v>12</v>
      </c>
      <c r="D635">
        <v>418</v>
      </c>
      <c r="E635" s="4">
        <v>46106</v>
      </c>
      <c r="F635" s="4">
        <v>46118</v>
      </c>
      <c r="G635" s="4">
        <v>46115</v>
      </c>
      <c r="H635">
        <v>422</v>
      </c>
      <c r="I635" t="s">
        <v>160</v>
      </c>
      <c r="J635">
        <v>26</v>
      </c>
      <c r="K635" t="s">
        <v>1563</v>
      </c>
    </row>
    <row r="636" spans="1:11">
      <c r="A636" t="s">
        <v>1086</v>
      </c>
      <c r="B636" t="s">
        <v>19</v>
      </c>
      <c r="C636" t="s">
        <v>23</v>
      </c>
      <c r="D636">
        <v>940</v>
      </c>
      <c r="E636" s="4">
        <v>46115</v>
      </c>
      <c r="F636" s="4">
        <v>46120</v>
      </c>
      <c r="G636" s="4">
        <v>46117</v>
      </c>
      <c r="H636">
        <v>938</v>
      </c>
      <c r="I636" t="s">
        <v>219</v>
      </c>
      <c r="J636">
        <v>28</v>
      </c>
      <c r="K636" t="s">
        <v>1563</v>
      </c>
    </row>
    <row r="637" spans="1:11">
      <c r="A637" t="s">
        <v>1087</v>
      </c>
      <c r="B637" t="s">
        <v>11</v>
      </c>
      <c r="C637" t="s">
        <v>12</v>
      </c>
      <c r="D637">
        <v>550</v>
      </c>
      <c r="E637" s="4">
        <v>46126</v>
      </c>
      <c r="F637" s="4">
        <v>46135</v>
      </c>
      <c r="G637" s="4">
        <v>46135</v>
      </c>
      <c r="H637">
        <v>482</v>
      </c>
      <c r="I637" t="s">
        <v>1027</v>
      </c>
      <c r="J637">
        <v>2</v>
      </c>
      <c r="K637" t="s">
        <v>1563</v>
      </c>
    </row>
    <row r="638" spans="1:11">
      <c r="A638" t="s">
        <v>1088</v>
      </c>
      <c r="B638" t="s">
        <v>49</v>
      </c>
      <c r="C638" t="s">
        <v>23</v>
      </c>
      <c r="D638">
        <v>475</v>
      </c>
      <c r="E638" s="4">
        <v>46113</v>
      </c>
      <c r="F638" s="4">
        <v>46120</v>
      </c>
      <c r="G638" s="4">
        <v>46119</v>
      </c>
      <c r="H638">
        <v>480</v>
      </c>
      <c r="I638" t="s">
        <v>948</v>
      </c>
      <c r="J638">
        <v>4</v>
      </c>
      <c r="K638" t="s">
        <v>1563</v>
      </c>
    </row>
    <row r="639" spans="1:11">
      <c r="A639" t="s">
        <v>1089</v>
      </c>
      <c r="B639" t="s">
        <v>70</v>
      </c>
      <c r="C639" t="s">
        <v>16</v>
      </c>
      <c r="D639">
        <v>745</v>
      </c>
      <c r="E639" s="4">
        <v>46051</v>
      </c>
      <c r="F639" s="4">
        <v>46059</v>
      </c>
      <c r="G639" s="4">
        <v>46064</v>
      </c>
      <c r="H639">
        <v>740</v>
      </c>
      <c r="I639" t="s">
        <v>1090</v>
      </c>
      <c r="J639">
        <v>6</v>
      </c>
      <c r="K639" t="s">
        <v>1563</v>
      </c>
    </row>
    <row r="640" spans="1:11">
      <c r="A640" t="s">
        <v>1091</v>
      </c>
      <c r="B640" t="s">
        <v>67</v>
      </c>
      <c r="C640" t="s">
        <v>16</v>
      </c>
      <c r="D640">
        <v>377</v>
      </c>
      <c r="E640" s="4">
        <v>46148</v>
      </c>
      <c r="F640" s="4">
        <v>46157</v>
      </c>
      <c r="G640" s="4">
        <v>46154</v>
      </c>
      <c r="H640">
        <v>371</v>
      </c>
      <c r="I640" t="s">
        <v>1092</v>
      </c>
      <c r="J640">
        <v>19</v>
      </c>
      <c r="K640" t="s">
        <v>1563</v>
      </c>
    </row>
    <row r="641" spans="1:11">
      <c r="A641" t="s">
        <v>1093</v>
      </c>
      <c r="B641" t="s">
        <v>29</v>
      </c>
      <c r="C641" t="s">
        <v>23</v>
      </c>
      <c r="D641">
        <v>646</v>
      </c>
      <c r="E641" s="4">
        <v>46130</v>
      </c>
      <c r="F641" s="4">
        <v>46136</v>
      </c>
      <c r="G641" s="4">
        <v>46135</v>
      </c>
      <c r="H641">
        <v>544</v>
      </c>
      <c r="I641" t="s">
        <v>1094</v>
      </c>
      <c r="J641">
        <v>3</v>
      </c>
      <c r="K641" t="s">
        <v>1563</v>
      </c>
    </row>
    <row r="642" spans="1:11">
      <c r="A642" t="s">
        <v>1095</v>
      </c>
      <c r="B642" t="s">
        <v>43</v>
      </c>
      <c r="C642" t="s">
        <v>16</v>
      </c>
      <c r="D642">
        <v>360</v>
      </c>
      <c r="E642" s="4">
        <v>46045</v>
      </c>
      <c r="F642" s="4">
        <v>46058</v>
      </c>
      <c r="G642" s="4">
        <v>46059</v>
      </c>
      <c r="H642">
        <v>365</v>
      </c>
      <c r="I642" t="s">
        <v>268</v>
      </c>
      <c r="J642">
        <v>12</v>
      </c>
      <c r="K642" t="s">
        <v>1563</v>
      </c>
    </row>
    <row r="643" spans="1:11">
      <c r="A643" t="s">
        <v>1096</v>
      </c>
      <c r="B643" t="s">
        <v>54</v>
      </c>
      <c r="C643" t="s">
        <v>16</v>
      </c>
      <c r="D643">
        <v>618</v>
      </c>
      <c r="E643" s="4">
        <v>46048</v>
      </c>
      <c r="F643" s="4">
        <v>46063</v>
      </c>
      <c r="G643" s="4">
        <v>46061</v>
      </c>
      <c r="H643">
        <v>616</v>
      </c>
      <c r="I643" t="s">
        <v>398</v>
      </c>
      <c r="J643">
        <v>14</v>
      </c>
      <c r="K643" t="s">
        <v>1563</v>
      </c>
    </row>
    <row r="644" spans="1:11">
      <c r="A644" t="s">
        <v>1097</v>
      </c>
      <c r="B644" t="s">
        <v>29</v>
      </c>
      <c r="C644" t="s">
        <v>12</v>
      </c>
      <c r="D644">
        <v>969</v>
      </c>
      <c r="E644" s="4">
        <v>46087</v>
      </c>
      <c r="F644" s="4">
        <v>46096</v>
      </c>
      <c r="G644" s="4">
        <v>46095</v>
      </c>
      <c r="H644">
        <v>953</v>
      </c>
      <c r="I644" t="s">
        <v>1098</v>
      </c>
      <c r="J644">
        <v>8</v>
      </c>
      <c r="K644" t="s">
        <v>1563</v>
      </c>
    </row>
    <row r="645" spans="1:11">
      <c r="A645" t="s">
        <v>1099</v>
      </c>
      <c r="B645" t="s">
        <v>177</v>
      </c>
      <c r="C645" t="s">
        <v>23</v>
      </c>
      <c r="D645">
        <v>332</v>
      </c>
      <c r="E645" s="4">
        <v>46053</v>
      </c>
      <c r="F645" s="4">
        <v>46062</v>
      </c>
      <c r="G645" s="4">
        <v>46061</v>
      </c>
      <c r="H645">
        <v>338</v>
      </c>
      <c r="I645" t="s">
        <v>1100</v>
      </c>
      <c r="J645">
        <v>12</v>
      </c>
      <c r="K645" t="s">
        <v>1563</v>
      </c>
    </row>
    <row r="646" spans="1:11">
      <c r="A646" t="s">
        <v>1101</v>
      </c>
      <c r="B646" t="s">
        <v>120</v>
      </c>
      <c r="C646" t="s">
        <v>23</v>
      </c>
      <c r="D646">
        <v>742</v>
      </c>
      <c r="E646" s="4">
        <v>46122</v>
      </c>
      <c r="F646" s="4">
        <v>46134</v>
      </c>
      <c r="G646" s="4">
        <v>46131</v>
      </c>
      <c r="H646">
        <v>679</v>
      </c>
      <c r="I646" t="s">
        <v>980</v>
      </c>
      <c r="J646">
        <v>32</v>
      </c>
      <c r="K646" t="s">
        <v>1563</v>
      </c>
    </row>
    <row r="647" spans="1:11">
      <c r="A647" t="s">
        <v>1102</v>
      </c>
      <c r="B647" t="s">
        <v>81</v>
      </c>
      <c r="C647" t="s">
        <v>12</v>
      </c>
      <c r="D647">
        <v>741</v>
      </c>
      <c r="E647" s="4">
        <v>46172</v>
      </c>
      <c r="F647" s="4">
        <v>46179</v>
      </c>
      <c r="G647" s="4">
        <v>46187</v>
      </c>
      <c r="H647">
        <v>745</v>
      </c>
      <c r="I647" t="s">
        <v>750</v>
      </c>
      <c r="J647">
        <v>3</v>
      </c>
      <c r="K647" t="s">
        <v>1563</v>
      </c>
    </row>
    <row r="648" spans="1:11">
      <c r="A648" t="s">
        <v>1103</v>
      </c>
      <c r="B648" t="s">
        <v>46</v>
      </c>
      <c r="C648" t="s">
        <v>16</v>
      </c>
      <c r="D648">
        <v>690</v>
      </c>
      <c r="E648" s="4">
        <v>46143</v>
      </c>
      <c r="F648" s="4">
        <v>46150</v>
      </c>
      <c r="G648" s="4">
        <v>46149</v>
      </c>
      <c r="H648">
        <v>693</v>
      </c>
      <c r="I648" t="s">
        <v>1104</v>
      </c>
      <c r="J648">
        <v>67</v>
      </c>
      <c r="K648" t="s">
        <v>1563</v>
      </c>
    </row>
    <row r="649" spans="1:11">
      <c r="A649" t="s">
        <v>1105</v>
      </c>
      <c r="B649" t="s">
        <v>11</v>
      </c>
      <c r="C649" t="s">
        <v>23</v>
      </c>
      <c r="D649">
        <v>816</v>
      </c>
      <c r="E649" s="4">
        <v>46107</v>
      </c>
      <c r="F649" s="4">
        <v>46112</v>
      </c>
      <c r="G649" s="4">
        <v>46111</v>
      </c>
      <c r="H649">
        <v>808</v>
      </c>
      <c r="I649" t="s">
        <v>1106</v>
      </c>
      <c r="J649">
        <v>1</v>
      </c>
      <c r="K649" t="s">
        <v>1563</v>
      </c>
    </row>
    <row r="650" spans="1:11">
      <c r="A650" t="s">
        <v>1107</v>
      </c>
      <c r="B650" t="s">
        <v>35</v>
      </c>
      <c r="C650" t="s">
        <v>16</v>
      </c>
      <c r="D650">
        <v>654</v>
      </c>
      <c r="E650" s="4">
        <v>46071</v>
      </c>
      <c r="F650" s="4">
        <v>46079</v>
      </c>
      <c r="G650" s="4">
        <v>46083</v>
      </c>
      <c r="H650">
        <v>666</v>
      </c>
      <c r="I650" t="s">
        <v>1108</v>
      </c>
      <c r="J650">
        <v>19</v>
      </c>
      <c r="K650" t="s">
        <v>1563</v>
      </c>
    </row>
    <row r="651" spans="1:11">
      <c r="A651" t="s">
        <v>1109</v>
      </c>
      <c r="B651" t="s">
        <v>19</v>
      </c>
      <c r="C651" t="s">
        <v>16</v>
      </c>
      <c r="D651">
        <v>199</v>
      </c>
      <c r="E651" s="4">
        <v>46077</v>
      </c>
      <c r="F651" s="4">
        <v>46091</v>
      </c>
      <c r="G651" s="4">
        <v>46091</v>
      </c>
      <c r="H651">
        <v>197</v>
      </c>
      <c r="I651" t="s">
        <v>272</v>
      </c>
      <c r="J651">
        <v>5</v>
      </c>
      <c r="K651" t="s">
        <v>1563</v>
      </c>
    </row>
    <row r="652" spans="1:11">
      <c r="A652" t="s">
        <v>1110</v>
      </c>
      <c r="B652" t="s">
        <v>64</v>
      </c>
      <c r="C652" t="s">
        <v>12</v>
      </c>
      <c r="D652">
        <v>299</v>
      </c>
      <c r="E652" s="4">
        <v>46161</v>
      </c>
      <c r="F652" s="4">
        <v>46168</v>
      </c>
      <c r="G652" s="4">
        <v>46166</v>
      </c>
      <c r="H652">
        <v>278</v>
      </c>
      <c r="I652" t="s">
        <v>690</v>
      </c>
      <c r="J652">
        <v>10</v>
      </c>
      <c r="K652" t="s">
        <v>1563</v>
      </c>
    </row>
    <row r="653" spans="1:11">
      <c r="A653" t="s">
        <v>1111</v>
      </c>
      <c r="B653" t="s">
        <v>26</v>
      </c>
      <c r="C653" t="s">
        <v>12</v>
      </c>
      <c r="D653">
        <v>597</v>
      </c>
      <c r="E653" s="4">
        <v>46118</v>
      </c>
      <c r="F653" s="4">
        <v>46125</v>
      </c>
      <c r="G653" s="4">
        <v>46123</v>
      </c>
      <c r="H653">
        <v>597</v>
      </c>
      <c r="I653" t="s">
        <v>310</v>
      </c>
      <c r="J653">
        <v>8</v>
      </c>
      <c r="K653" t="s">
        <v>1563</v>
      </c>
    </row>
    <row r="654" spans="1:11">
      <c r="A654" t="s">
        <v>1112</v>
      </c>
      <c r="B654" t="s">
        <v>26</v>
      </c>
      <c r="C654" t="s">
        <v>12</v>
      </c>
      <c r="D654">
        <v>486</v>
      </c>
      <c r="E654" s="4">
        <v>46121</v>
      </c>
      <c r="F654" s="4">
        <v>46128</v>
      </c>
      <c r="G654" s="4">
        <v>46125</v>
      </c>
      <c r="H654">
        <v>451</v>
      </c>
      <c r="I654" t="s">
        <v>187</v>
      </c>
      <c r="J654">
        <v>11</v>
      </c>
      <c r="K654" t="s">
        <v>1563</v>
      </c>
    </row>
    <row r="655" spans="1:11">
      <c r="A655" t="s">
        <v>1113</v>
      </c>
      <c r="B655" t="s">
        <v>49</v>
      </c>
      <c r="C655" t="s">
        <v>12</v>
      </c>
      <c r="D655">
        <v>353</v>
      </c>
      <c r="E655" s="4">
        <v>46100</v>
      </c>
      <c r="F655" s="4">
        <v>46105</v>
      </c>
      <c r="G655" s="4">
        <v>46105</v>
      </c>
      <c r="H655">
        <v>351</v>
      </c>
      <c r="I655" t="s">
        <v>115</v>
      </c>
      <c r="J655">
        <v>2</v>
      </c>
      <c r="K655" t="s">
        <v>1563</v>
      </c>
    </row>
    <row r="656" spans="1:11">
      <c r="A656" t="s">
        <v>1114</v>
      </c>
      <c r="B656" t="s">
        <v>46</v>
      </c>
      <c r="C656" t="s">
        <v>16</v>
      </c>
      <c r="D656">
        <v>774</v>
      </c>
      <c r="E656" s="4">
        <v>46129</v>
      </c>
      <c r="F656" s="4">
        <v>46139</v>
      </c>
      <c r="G656" s="4">
        <v>46137</v>
      </c>
      <c r="H656">
        <v>765</v>
      </c>
      <c r="I656" t="s">
        <v>1115</v>
      </c>
      <c r="J656">
        <v>61</v>
      </c>
      <c r="K656" t="s">
        <v>1563</v>
      </c>
    </row>
    <row r="657" spans="1:11">
      <c r="A657" t="s">
        <v>1116</v>
      </c>
      <c r="B657" t="s">
        <v>81</v>
      </c>
      <c r="C657" t="s">
        <v>12</v>
      </c>
      <c r="D657">
        <v>485</v>
      </c>
      <c r="E657" s="4">
        <v>46118</v>
      </c>
      <c r="F657" s="4">
        <v>46126</v>
      </c>
      <c r="G657" s="4">
        <v>46125</v>
      </c>
      <c r="H657">
        <v>494</v>
      </c>
      <c r="I657" t="s">
        <v>1117</v>
      </c>
      <c r="J657">
        <v>5</v>
      </c>
      <c r="K657" t="s">
        <v>1563</v>
      </c>
    </row>
    <row r="658" spans="1:11">
      <c r="A658" t="s">
        <v>1118</v>
      </c>
      <c r="B658" t="s">
        <v>43</v>
      </c>
      <c r="C658" t="s">
        <v>12</v>
      </c>
      <c r="D658">
        <v>627</v>
      </c>
      <c r="E658" s="4">
        <v>46081</v>
      </c>
      <c r="F658" s="4">
        <v>46090</v>
      </c>
      <c r="G658" s="4">
        <v>46087</v>
      </c>
      <c r="H658">
        <v>638</v>
      </c>
      <c r="I658" t="s">
        <v>1119</v>
      </c>
      <c r="J658">
        <v>40</v>
      </c>
      <c r="K658" t="s">
        <v>1563</v>
      </c>
    </row>
    <row r="659" spans="1:11">
      <c r="A659" t="s">
        <v>1120</v>
      </c>
      <c r="B659" t="s">
        <v>64</v>
      </c>
      <c r="C659" t="s">
        <v>12</v>
      </c>
      <c r="D659">
        <v>265</v>
      </c>
      <c r="E659" s="4">
        <v>46165</v>
      </c>
      <c r="F659" s="4">
        <v>46171</v>
      </c>
      <c r="G659" s="4">
        <v>46168</v>
      </c>
      <c r="H659">
        <v>267</v>
      </c>
      <c r="I659" t="s">
        <v>305</v>
      </c>
      <c r="J659">
        <v>6</v>
      </c>
      <c r="K659" t="s">
        <v>1563</v>
      </c>
    </row>
    <row r="660" spans="1:11">
      <c r="A660" t="s">
        <v>1121</v>
      </c>
      <c r="B660" t="s">
        <v>43</v>
      </c>
      <c r="C660" t="s">
        <v>12</v>
      </c>
      <c r="D660">
        <v>791</v>
      </c>
      <c r="E660" s="4">
        <v>46122</v>
      </c>
      <c r="F660" s="4">
        <v>46132</v>
      </c>
      <c r="G660" s="4">
        <v>46130</v>
      </c>
      <c r="H660">
        <v>787</v>
      </c>
      <c r="I660" t="s">
        <v>478</v>
      </c>
      <c r="J660">
        <v>45</v>
      </c>
      <c r="K660" t="s">
        <v>1563</v>
      </c>
    </row>
    <row r="661" spans="1:11">
      <c r="A661" t="s">
        <v>1123</v>
      </c>
      <c r="B661" t="s">
        <v>11</v>
      </c>
      <c r="C661" t="s">
        <v>23</v>
      </c>
      <c r="D661">
        <v>593</v>
      </c>
      <c r="E661" s="4">
        <v>46175</v>
      </c>
      <c r="F661" s="4">
        <v>46190</v>
      </c>
      <c r="G661" s="4">
        <v>46188</v>
      </c>
      <c r="H661">
        <v>586</v>
      </c>
      <c r="I661" t="s">
        <v>1124</v>
      </c>
      <c r="J661">
        <v>11</v>
      </c>
      <c r="K661" t="s">
        <v>1563</v>
      </c>
    </row>
    <row r="662" spans="1:11">
      <c r="A662" t="s">
        <v>1125</v>
      </c>
      <c r="B662" t="s">
        <v>43</v>
      </c>
      <c r="C662" t="s">
        <v>16</v>
      </c>
      <c r="D662">
        <v>783</v>
      </c>
      <c r="E662" s="4">
        <v>46143</v>
      </c>
      <c r="F662" s="4">
        <v>46151</v>
      </c>
      <c r="G662" s="4">
        <v>46148</v>
      </c>
      <c r="H662">
        <v>778</v>
      </c>
      <c r="I662" t="s">
        <v>164</v>
      </c>
      <c r="J662">
        <v>24</v>
      </c>
      <c r="K662" t="s">
        <v>1563</v>
      </c>
    </row>
    <row r="663" spans="1:11">
      <c r="A663" t="s">
        <v>1126</v>
      </c>
      <c r="B663" t="s">
        <v>81</v>
      </c>
      <c r="C663" t="s">
        <v>16</v>
      </c>
      <c r="D663">
        <v>132</v>
      </c>
      <c r="E663" s="4">
        <v>46121</v>
      </c>
      <c r="F663" s="4">
        <v>46134</v>
      </c>
      <c r="G663" s="4">
        <v>46141</v>
      </c>
      <c r="H663">
        <v>116</v>
      </c>
      <c r="I663" t="s">
        <v>1564</v>
      </c>
      <c r="J663">
        <v>0</v>
      </c>
      <c r="K663" t="s">
        <v>1563</v>
      </c>
    </row>
    <row r="664" spans="1:11">
      <c r="A664" t="s">
        <v>1127</v>
      </c>
      <c r="B664" t="s">
        <v>120</v>
      </c>
      <c r="C664" t="s">
        <v>12</v>
      </c>
      <c r="D664">
        <v>157</v>
      </c>
      <c r="E664" s="4">
        <v>46109</v>
      </c>
      <c r="F664" s="4">
        <v>46124</v>
      </c>
      <c r="G664" s="4">
        <v>46124</v>
      </c>
      <c r="H664">
        <v>141</v>
      </c>
      <c r="I664" t="s">
        <v>864</v>
      </c>
      <c r="J664">
        <v>6</v>
      </c>
      <c r="K664" t="s">
        <v>1563</v>
      </c>
    </row>
    <row r="665" spans="1:11">
      <c r="A665" t="s">
        <v>1128</v>
      </c>
      <c r="B665" t="s">
        <v>43</v>
      </c>
      <c r="C665" t="s">
        <v>23</v>
      </c>
      <c r="D665">
        <v>222</v>
      </c>
      <c r="E665" s="4">
        <v>46151</v>
      </c>
      <c r="F665" s="4">
        <v>46159</v>
      </c>
      <c r="G665" s="4">
        <v>46156</v>
      </c>
      <c r="H665">
        <v>219</v>
      </c>
      <c r="I665" t="s">
        <v>748</v>
      </c>
      <c r="J665">
        <v>11</v>
      </c>
      <c r="K665" t="s">
        <v>1563</v>
      </c>
    </row>
    <row r="666" spans="1:11">
      <c r="A666" t="s">
        <v>1129</v>
      </c>
      <c r="B666" t="s">
        <v>11</v>
      </c>
      <c r="C666" t="s">
        <v>12</v>
      </c>
      <c r="D666">
        <v>568</v>
      </c>
      <c r="E666" s="4">
        <v>46038</v>
      </c>
      <c r="F666" s="4">
        <v>46053</v>
      </c>
      <c r="G666" s="4"/>
      <c r="I666" t="s">
        <v>970</v>
      </c>
      <c r="K666" t="s">
        <v>1565</v>
      </c>
    </row>
    <row r="667" spans="1:11">
      <c r="A667" t="s">
        <v>1130</v>
      </c>
      <c r="B667" t="s">
        <v>11</v>
      </c>
      <c r="C667" t="s">
        <v>12</v>
      </c>
      <c r="D667">
        <v>759</v>
      </c>
      <c r="E667" s="4">
        <v>46095</v>
      </c>
      <c r="F667" s="4">
        <v>46106</v>
      </c>
      <c r="G667" s="4">
        <v>46104</v>
      </c>
      <c r="H667">
        <v>771</v>
      </c>
      <c r="I667" t="s">
        <v>376</v>
      </c>
      <c r="J667">
        <v>11</v>
      </c>
      <c r="K667" t="s">
        <v>1563</v>
      </c>
    </row>
    <row r="668" spans="1:11">
      <c r="A668" t="s">
        <v>1131</v>
      </c>
      <c r="B668" t="s">
        <v>52</v>
      </c>
      <c r="C668" t="s">
        <v>12</v>
      </c>
      <c r="D668">
        <v>130</v>
      </c>
      <c r="E668" s="4">
        <v>46105</v>
      </c>
      <c r="F668" s="4">
        <v>46119</v>
      </c>
      <c r="G668" s="4">
        <v>46117</v>
      </c>
      <c r="H668">
        <v>130</v>
      </c>
      <c r="I668" t="s">
        <v>1058</v>
      </c>
      <c r="J668">
        <v>2</v>
      </c>
      <c r="K668" t="s">
        <v>1563</v>
      </c>
    </row>
    <row r="669" spans="1:11">
      <c r="A669" t="s">
        <v>1132</v>
      </c>
      <c r="B669" t="s">
        <v>52</v>
      </c>
      <c r="C669" t="s">
        <v>16</v>
      </c>
      <c r="D669">
        <v>216</v>
      </c>
      <c r="E669" s="4">
        <v>46115</v>
      </c>
      <c r="F669" s="4">
        <v>46120</v>
      </c>
      <c r="G669" s="4">
        <v>46118</v>
      </c>
      <c r="H669">
        <v>216</v>
      </c>
      <c r="I669" t="s">
        <v>158</v>
      </c>
      <c r="J669">
        <v>4</v>
      </c>
      <c r="K669" t="s">
        <v>1563</v>
      </c>
    </row>
    <row r="670" spans="1:11">
      <c r="A670" t="s">
        <v>1133</v>
      </c>
      <c r="B670" t="s">
        <v>40</v>
      </c>
      <c r="C670" t="s">
        <v>23</v>
      </c>
      <c r="D670">
        <v>178</v>
      </c>
      <c r="E670" s="4">
        <v>46138</v>
      </c>
      <c r="F670" s="4">
        <v>46151</v>
      </c>
      <c r="G670" s="4">
        <v>46149</v>
      </c>
      <c r="H670">
        <v>178</v>
      </c>
      <c r="I670" t="s">
        <v>219</v>
      </c>
      <c r="J670">
        <v>12</v>
      </c>
      <c r="K670" t="s">
        <v>1563</v>
      </c>
    </row>
    <row r="671" spans="1:11">
      <c r="A671" t="s">
        <v>1134</v>
      </c>
      <c r="B671" t="s">
        <v>54</v>
      </c>
      <c r="C671" t="s">
        <v>16</v>
      </c>
      <c r="D671">
        <v>235</v>
      </c>
      <c r="E671" s="4">
        <v>46055</v>
      </c>
      <c r="F671" s="4">
        <v>46064</v>
      </c>
      <c r="G671" s="4">
        <v>46071</v>
      </c>
      <c r="H671">
        <v>231</v>
      </c>
      <c r="I671" t="s">
        <v>283</v>
      </c>
      <c r="J671">
        <v>0</v>
      </c>
      <c r="K671" t="s">
        <v>1563</v>
      </c>
    </row>
    <row r="672" spans="1:11">
      <c r="A672" t="s">
        <v>1136</v>
      </c>
      <c r="B672" t="s">
        <v>26</v>
      </c>
      <c r="C672" t="s">
        <v>16</v>
      </c>
      <c r="D672">
        <v>497</v>
      </c>
      <c r="E672" s="4">
        <v>46123</v>
      </c>
      <c r="F672" s="4">
        <v>46135</v>
      </c>
      <c r="G672" s="4">
        <v>46135</v>
      </c>
      <c r="H672">
        <v>504</v>
      </c>
      <c r="I672" t="s">
        <v>810</v>
      </c>
      <c r="J672">
        <v>14</v>
      </c>
      <c r="K672" t="s">
        <v>1563</v>
      </c>
    </row>
    <row r="673" spans="1:11">
      <c r="A673" t="s">
        <v>1137</v>
      </c>
      <c r="B673" t="s">
        <v>11</v>
      </c>
      <c r="C673" t="s">
        <v>16</v>
      </c>
      <c r="D673">
        <v>254</v>
      </c>
      <c r="E673" s="4">
        <v>46104</v>
      </c>
      <c r="F673" s="4">
        <v>46111</v>
      </c>
      <c r="G673" s="4">
        <v>46109</v>
      </c>
      <c r="H673">
        <v>253</v>
      </c>
      <c r="I673" t="s">
        <v>813</v>
      </c>
      <c r="J673">
        <v>6</v>
      </c>
      <c r="K673" t="s">
        <v>1563</v>
      </c>
    </row>
    <row r="674" spans="1:11">
      <c r="A674" t="s">
        <v>1138</v>
      </c>
      <c r="B674" t="s">
        <v>81</v>
      </c>
      <c r="C674" t="s">
        <v>16</v>
      </c>
      <c r="D674">
        <v>99</v>
      </c>
      <c r="E674" s="4">
        <v>46103</v>
      </c>
      <c r="F674" s="4">
        <v>46116</v>
      </c>
      <c r="G674" s="4">
        <v>46116</v>
      </c>
      <c r="H674">
        <v>89</v>
      </c>
      <c r="I674" t="s">
        <v>90</v>
      </c>
      <c r="J674">
        <v>1</v>
      </c>
      <c r="K674" t="s">
        <v>1563</v>
      </c>
    </row>
    <row r="675" spans="1:11">
      <c r="A675" t="s">
        <v>1139</v>
      </c>
      <c r="B675" t="s">
        <v>120</v>
      </c>
      <c r="C675" t="s">
        <v>23</v>
      </c>
      <c r="D675">
        <v>603</v>
      </c>
      <c r="E675" s="4">
        <v>46128</v>
      </c>
      <c r="F675" s="4">
        <v>46134</v>
      </c>
      <c r="G675" s="4">
        <v>46134</v>
      </c>
      <c r="H675">
        <v>614</v>
      </c>
      <c r="I675" t="s">
        <v>1140</v>
      </c>
      <c r="J675">
        <v>31</v>
      </c>
      <c r="K675" t="s">
        <v>1563</v>
      </c>
    </row>
    <row r="676" spans="1:11">
      <c r="A676" t="s">
        <v>1141</v>
      </c>
      <c r="B676" t="s">
        <v>67</v>
      </c>
      <c r="C676" t="s">
        <v>12</v>
      </c>
      <c r="D676">
        <v>858</v>
      </c>
      <c r="E676" s="4">
        <v>46038</v>
      </c>
      <c r="F676" s="4">
        <v>46045</v>
      </c>
      <c r="G676" s="4">
        <v>46043</v>
      </c>
      <c r="H676">
        <v>863</v>
      </c>
      <c r="I676" t="s">
        <v>540</v>
      </c>
      <c r="J676">
        <v>12</v>
      </c>
      <c r="K676" t="s">
        <v>1563</v>
      </c>
    </row>
    <row r="677" spans="1:11">
      <c r="A677" t="s">
        <v>1142</v>
      </c>
      <c r="B677" t="s">
        <v>11</v>
      </c>
      <c r="C677" t="s">
        <v>12</v>
      </c>
      <c r="D677">
        <v>779</v>
      </c>
      <c r="E677" s="4">
        <v>46092</v>
      </c>
      <c r="F677" s="4">
        <v>46100</v>
      </c>
      <c r="G677" s="4">
        <v>46097</v>
      </c>
      <c r="H677">
        <v>768</v>
      </c>
      <c r="I677" t="s">
        <v>403</v>
      </c>
      <c r="J677">
        <v>22</v>
      </c>
      <c r="K677" t="s">
        <v>1563</v>
      </c>
    </row>
    <row r="678" spans="1:11">
      <c r="A678" t="s">
        <v>1143</v>
      </c>
      <c r="B678" t="s">
        <v>35</v>
      </c>
      <c r="C678" t="s">
        <v>16</v>
      </c>
      <c r="D678">
        <v>412</v>
      </c>
      <c r="E678" s="4">
        <v>46173</v>
      </c>
      <c r="F678" s="4">
        <v>46188</v>
      </c>
      <c r="G678" s="4">
        <v>46185</v>
      </c>
      <c r="H678">
        <v>411</v>
      </c>
      <c r="I678" t="s">
        <v>150</v>
      </c>
      <c r="J678">
        <v>11</v>
      </c>
      <c r="K678" t="s">
        <v>1563</v>
      </c>
    </row>
    <row r="679" spans="1:11">
      <c r="A679" t="s">
        <v>1145</v>
      </c>
      <c r="B679" t="s">
        <v>11</v>
      </c>
      <c r="C679" t="s">
        <v>16</v>
      </c>
      <c r="D679">
        <v>685</v>
      </c>
      <c r="E679" s="4">
        <v>46097</v>
      </c>
      <c r="F679" s="4">
        <v>46107</v>
      </c>
      <c r="G679" s="4">
        <v>46106</v>
      </c>
      <c r="H679">
        <v>681</v>
      </c>
      <c r="I679" t="s">
        <v>90</v>
      </c>
      <c r="J679">
        <v>24</v>
      </c>
      <c r="K679" t="s">
        <v>1563</v>
      </c>
    </row>
    <row r="680" spans="1:11">
      <c r="A680" t="s">
        <v>1146</v>
      </c>
      <c r="B680" t="s">
        <v>32</v>
      </c>
      <c r="C680" t="s">
        <v>12</v>
      </c>
      <c r="D680">
        <v>346</v>
      </c>
      <c r="E680" s="4">
        <v>46128</v>
      </c>
      <c r="F680" s="4">
        <v>46142</v>
      </c>
      <c r="G680" s="4">
        <v>46140</v>
      </c>
      <c r="H680">
        <v>350</v>
      </c>
      <c r="I680" t="s">
        <v>178</v>
      </c>
      <c r="J680">
        <v>13</v>
      </c>
      <c r="K680" t="s">
        <v>1563</v>
      </c>
    </row>
    <row r="681" spans="1:11">
      <c r="A681" t="s">
        <v>1148</v>
      </c>
      <c r="B681" t="s">
        <v>32</v>
      </c>
      <c r="C681" t="s">
        <v>12</v>
      </c>
      <c r="D681">
        <v>954</v>
      </c>
      <c r="E681" s="4">
        <v>46090</v>
      </c>
      <c r="F681" s="4">
        <v>46101</v>
      </c>
      <c r="G681" s="4">
        <v>46099</v>
      </c>
      <c r="H681">
        <v>948</v>
      </c>
      <c r="I681" t="s">
        <v>204</v>
      </c>
      <c r="J681">
        <v>18</v>
      </c>
      <c r="K681" t="s">
        <v>1563</v>
      </c>
    </row>
    <row r="682" spans="1:11">
      <c r="A682" t="s">
        <v>1149</v>
      </c>
      <c r="B682" t="s">
        <v>120</v>
      </c>
      <c r="C682" t="s">
        <v>12</v>
      </c>
      <c r="D682">
        <v>468</v>
      </c>
      <c r="E682" s="4">
        <v>46047</v>
      </c>
      <c r="F682" s="4">
        <v>46061</v>
      </c>
      <c r="G682" s="4">
        <v>46058</v>
      </c>
      <c r="H682">
        <v>468</v>
      </c>
      <c r="I682" t="s">
        <v>711</v>
      </c>
      <c r="J682">
        <v>2</v>
      </c>
      <c r="K682" t="s">
        <v>1563</v>
      </c>
    </row>
    <row r="683" spans="1:11">
      <c r="A683" t="s">
        <v>1150</v>
      </c>
      <c r="B683" t="s">
        <v>70</v>
      </c>
      <c r="C683" t="s">
        <v>12</v>
      </c>
      <c r="D683">
        <v>952</v>
      </c>
      <c r="E683" s="4">
        <v>46103</v>
      </c>
      <c r="F683" s="4">
        <v>46115</v>
      </c>
      <c r="G683" s="4">
        <v>46114</v>
      </c>
      <c r="H683">
        <v>794</v>
      </c>
      <c r="I683" t="s">
        <v>336</v>
      </c>
      <c r="J683">
        <v>0</v>
      </c>
      <c r="K683" t="s">
        <v>1563</v>
      </c>
    </row>
    <row r="684" spans="1:11">
      <c r="A684" t="s">
        <v>1152</v>
      </c>
      <c r="B684" t="s">
        <v>46</v>
      </c>
      <c r="C684" t="s">
        <v>16</v>
      </c>
      <c r="D684">
        <v>733</v>
      </c>
      <c r="E684" s="4">
        <v>46093</v>
      </c>
      <c r="F684" s="4">
        <v>46102</v>
      </c>
      <c r="G684" s="4">
        <v>46101</v>
      </c>
      <c r="H684">
        <v>737</v>
      </c>
      <c r="I684" t="s">
        <v>1153</v>
      </c>
      <c r="J684">
        <v>4</v>
      </c>
      <c r="K684" t="s">
        <v>1563</v>
      </c>
    </row>
    <row r="685" spans="1:11">
      <c r="A685" t="s">
        <v>1154</v>
      </c>
      <c r="B685" t="s">
        <v>32</v>
      </c>
      <c r="C685" t="s">
        <v>16</v>
      </c>
      <c r="D685">
        <v>454</v>
      </c>
      <c r="E685" s="4">
        <v>46141</v>
      </c>
      <c r="F685" s="4">
        <v>46151</v>
      </c>
      <c r="G685" s="4">
        <v>46149</v>
      </c>
      <c r="H685">
        <v>452</v>
      </c>
      <c r="I685" t="s">
        <v>1155</v>
      </c>
      <c r="J685">
        <v>31</v>
      </c>
      <c r="K685" t="s">
        <v>1563</v>
      </c>
    </row>
    <row r="686" spans="1:11">
      <c r="A686" t="s">
        <v>1156</v>
      </c>
      <c r="B686" t="s">
        <v>11</v>
      </c>
      <c r="C686" t="s">
        <v>16</v>
      </c>
      <c r="D686">
        <v>158</v>
      </c>
      <c r="E686" s="4">
        <v>46123</v>
      </c>
      <c r="F686" s="4">
        <v>46129</v>
      </c>
      <c r="G686" s="4">
        <v>46127</v>
      </c>
      <c r="H686">
        <v>157</v>
      </c>
      <c r="I686" t="s">
        <v>597</v>
      </c>
      <c r="J686">
        <v>3</v>
      </c>
      <c r="K686" t="s">
        <v>1563</v>
      </c>
    </row>
    <row r="687" spans="1:11">
      <c r="A687" t="s">
        <v>1157</v>
      </c>
      <c r="B687" t="s">
        <v>46</v>
      </c>
      <c r="C687" t="s">
        <v>16</v>
      </c>
      <c r="D687">
        <v>444</v>
      </c>
      <c r="E687" s="4">
        <v>46124</v>
      </c>
      <c r="F687" s="4">
        <v>46136</v>
      </c>
      <c r="G687" s="4">
        <v>46134</v>
      </c>
      <c r="H687">
        <v>435</v>
      </c>
      <c r="I687" t="s">
        <v>71</v>
      </c>
      <c r="J687">
        <v>18</v>
      </c>
      <c r="K687" t="s">
        <v>1563</v>
      </c>
    </row>
    <row r="688" spans="1:11">
      <c r="A688" t="s">
        <v>1159</v>
      </c>
      <c r="B688" t="s">
        <v>35</v>
      </c>
      <c r="C688" t="s">
        <v>16</v>
      </c>
      <c r="D688">
        <v>578</v>
      </c>
      <c r="E688" s="4">
        <v>46176</v>
      </c>
      <c r="F688" s="4">
        <v>46187</v>
      </c>
      <c r="G688" s="4">
        <v>46194</v>
      </c>
      <c r="H688">
        <v>583</v>
      </c>
      <c r="I688" t="s">
        <v>1160</v>
      </c>
      <c r="J688">
        <v>9</v>
      </c>
      <c r="K688" t="s">
        <v>1563</v>
      </c>
    </row>
    <row r="689" spans="1:11">
      <c r="A689" t="s">
        <v>1161</v>
      </c>
      <c r="B689" t="s">
        <v>43</v>
      </c>
      <c r="C689" t="s">
        <v>16</v>
      </c>
      <c r="D689">
        <v>307</v>
      </c>
      <c r="E689" s="4">
        <v>46040</v>
      </c>
      <c r="F689" s="4">
        <v>46052</v>
      </c>
      <c r="G689" s="4">
        <v>46050</v>
      </c>
      <c r="H689">
        <v>312</v>
      </c>
      <c r="I689" t="s">
        <v>298</v>
      </c>
      <c r="J689">
        <v>6</v>
      </c>
      <c r="K689" t="s">
        <v>1563</v>
      </c>
    </row>
    <row r="690" spans="1:11">
      <c r="A690" t="s">
        <v>1162</v>
      </c>
      <c r="B690" t="s">
        <v>11</v>
      </c>
      <c r="C690" t="s">
        <v>12</v>
      </c>
      <c r="D690">
        <v>106</v>
      </c>
      <c r="E690" s="4">
        <v>46152</v>
      </c>
      <c r="F690" s="4">
        <v>46163</v>
      </c>
      <c r="G690" s="4">
        <v>46170</v>
      </c>
      <c r="H690">
        <v>105</v>
      </c>
      <c r="I690" t="s">
        <v>1163</v>
      </c>
      <c r="J690">
        <v>3</v>
      </c>
      <c r="K690" t="s">
        <v>1563</v>
      </c>
    </row>
    <row r="691" spans="1:11">
      <c r="A691" t="s">
        <v>1164</v>
      </c>
      <c r="B691" t="s">
        <v>32</v>
      </c>
      <c r="C691" t="s">
        <v>12</v>
      </c>
      <c r="D691">
        <v>489</v>
      </c>
      <c r="E691" s="4">
        <v>46030</v>
      </c>
      <c r="F691" s="4">
        <v>46041</v>
      </c>
      <c r="G691" s="4"/>
      <c r="I691" t="s">
        <v>352</v>
      </c>
      <c r="K691" t="s">
        <v>1565</v>
      </c>
    </row>
    <row r="692" spans="1:11">
      <c r="A692" t="s">
        <v>1165</v>
      </c>
      <c r="B692" t="s">
        <v>29</v>
      </c>
      <c r="C692" t="s">
        <v>16</v>
      </c>
      <c r="D692">
        <v>538</v>
      </c>
      <c r="E692" s="4">
        <v>46098</v>
      </c>
      <c r="F692" s="4">
        <v>46110</v>
      </c>
      <c r="G692" s="4">
        <v>46107</v>
      </c>
      <c r="H692">
        <v>545</v>
      </c>
      <c r="I692" t="s">
        <v>162</v>
      </c>
      <c r="J692">
        <v>4</v>
      </c>
      <c r="K692" t="s">
        <v>1563</v>
      </c>
    </row>
    <row r="693" spans="1:11">
      <c r="A693" t="s">
        <v>1166</v>
      </c>
      <c r="B693" t="s">
        <v>120</v>
      </c>
      <c r="C693" t="s">
        <v>23</v>
      </c>
      <c r="D693">
        <v>923</v>
      </c>
      <c r="E693" s="4">
        <v>46073</v>
      </c>
      <c r="F693" s="4">
        <v>46081</v>
      </c>
      <c r="G693" s="4">
        <v>46080</v>
      </c>
      <c r="H693">
        <v>920</v>
      </c>
      <c r="I693" t="s">
        <v>763</v>
      </c>
      <c r="J693">
        <v>45</v>
      </c>
      <c r="K693" t="s">
        <v>1563</v>
      </c>
    </row>
    <row r="694" spans="1:11">
      <c r="A694" t="s">
        <v>1167</v>
      </c>
      <c r="B694" t="s">
        <v>32</v>
      </c>
      <c r="C694" t="s">
        <v>23</v>
      </c>
      <c r="D694">
        <v>726</v>
      </c>
      <c r="E694" s="4">
        <v>46043</v>
      </c>
      <c r="F694" s="4">
        <v>46055</v>
      </c>
      <c r="G694" s="4">
        <v>46055</v>
      </c>
      <c r="H694">
        <v>642</v>
      </c>
      <c r="I694" t="s">
        <v>1168</v>
      </c>
      <c r="J694">
        <v>23</v>
      </c>
      <c r="K694" t="s">
        <v>1563</v>
      </c>
    </row>
    <row r="695" spans="1:11">
      <c r="A695" t="s">
        <v>1169</v>
      </c>
      <c r="B695" t="s">
        <v>19</v>
      </c>
      <c r="C695" t="s">
        <v>12</v>
      </c>
      <c r="D695">
        <v>149</v>
      </c>
      <c r="E695" s="4">
        <v>46115</v>
      </c>
      <c r="F695" s="4">
        <v>46121</v>
      </c>
      <c r="G695" s="4">
        <v>46121</v>
      </c>
      <c r="H695">
        <v>147</v>
      </c>
      <c r="I695" t="s">
        <v>307</v>
      </c>
      <c r="J695">
        <v>3</v>
      </c>
      <c r="K695" t="s">
        <v>1563</v>
      </c>
    </row>
    <row r="696" spans="1:11">
      <c r="A696" t="s">
        <v>1171</v>
      </c>
      <c r="B696" t="s">
        <v>32</v>
      </c>
      <c r="C696" t="s">
        <v>12</v>
      </c>
      <c r="D696">
        <v>431</v>
      </c>
      <c r="E696" s="4">
        <v>46083</v>
      </c>
      <c r="F696" s="4">
        <v>46091</v>
      </c>
      <c r="G696" s="4">
        <v>46089</v>
      </c>
      <c r="H696">
        <v>382</v>
      </c>
      <c r="I696" t="s">
        <v>38</v>
      </c>
      <c r="J696">
        <v>22</v>
      </c>
      <c r="K696" t="s">
        <v>1563</v>
      </c>
    </row>
    <row r="697" spans="1:11">
      <c r="A697" t="s">
        <v>1172</v>
      </c>
      <c r="B697" t="s">
        <v>81</v>
      </c>
      <c r="C697" t="s">
        <v>12</v>
      </c>
      <c r="D697">
        <v>721</v>
      </c>
      <c r="E697" s="4">
        <v>46036</v>
      </c>
      <c r="F697" s="4">
        <v>46049</v>
      </c>
      <c r="G697" s="4">
        <v>46047</v>
      </c>
      <c r="H697">
        <v>662</v>
      </c>
      <c r="I697" t="s">
        <v>864</v>
      </c>
      <c r="J697">
        <v>12</v>
      </c>
      <c r="K697" t="s">
        <v>1563</v>
      </c>
    </row>
    <row r="698" spans="1:11">
      <c r="A698" t="s">
        <v>1173</v>
      </c>
      <c r="B698" t="s">
        <v>120</v>
      </c>
      <c r="C698" t="s">
        <v>12</v>
      </c>
      <c r="D698">
        <v>820</v>
      </c>
      <c r="E698" s="4">
        <v>46040</v>
      </c>
      <c r="F698" s="4">
        <v>46051</v>
      </c>
      <c r="G698" s="4">
        <v>46048</v>
      </c>
      <c r="H698">
        <v>714</v>
      </c>
      <c r="I698" t="s">
        <v>1174</v>
      </c>
      <c r="J698">
        <v>22</v>
      </c>
      <c r="K698" t="s">
        <v>1563</v>
      </c>
    </row>
    <row r="699" spans="1:11">
      <c r="A699" t="s">
        <v>1175</v>
      </c>
      <c r="B699" t="s">
        <v>70</v>
      </c>
      <c r="C699" t="s">
        <v>12</v>
      </c>
      <c r="D699">
        <v>109</v>
      </c>
      <c r="E699" s="4">
        <v>46130</v>
      </c>
      <c r="F699" s="4">
        <v>46137</v>
      </c>
      <c r="G699" s="4">
        <v>46137</v>
      </c>
      <c r="H699">
        <v>90</v>
      </c>
      <c r="I699" t="s">
        <v>1176</v>
      </c>
      <c r="J699">
        <v>1</v>
      </c>
      <c r="K699" t="s">
        <v>1563</v>
      </c>
    </row>
    <row r="700" spans="1:11">
      <c r="A700" t="s">
        <v>1177</v>
      </c>
      <c r="B700" t="s">
        <v>67</v>
      </c>
      <c r="C700" t="s">
        <v>23</v>
      </c>
      <c r="D700">
        <v>421</v>
      </c>
      <c r="E700" s="4">
        <v>46144</v>
      </c>
      <c r="F700" s="4">
        <v>46153</v>
      </c>
      <c r="G700" s="4">
        <v>46150</v>
      </c>
      <c r="H700">
        <v>413</v>
      </c>
      <c r="I700" t="s">
        <v>512</v>
      </c>
      <c r="J700">
        <v>1</v>
      </c>
      <c r="K700" t="s">
        <v>1563</v>
      </c>
    </row>
    <row r="701" spans="1:11">
      <c r="A701" t="s">
        <v>1178</v>
      </c>
      <c r="B701" t="s">
        <v>64</v>
      </c>
      <c r="C701" t="s">
        <v>16</v>
      </c>
      <c r="D701">
        <v>289</v>
      </c>
      <c r="E701" s="4">
        <v>46088</v>
      </c>
      <c r="F701" s="4">
        <v>46097</v>
      </c>
      <c r="G701" s="4">
        <v>46106</v>
      </c>
      <c r="H701">
        <v>260</v>
      </c>
      <c r="I701" t="s">
        <v>17</v>
      </c>
      <c r="J701">
        <v>16</v>
      </c>
      <c r="K701" t="s">
        <v>1563</v>
      </c>
    </row>
    <row r="702" spans="1:11">
      <c r="A702" t="s">
        <v>1179</v>
      </c>
      <c r="B702" t="s">
        <v>26</v>
      </c>
      <c r="C702" t="s">
        <v>23</v>
      </c>
      <c r="D702">
        <v>700</v>
      </c>
      <c r="E702" s="4">
        <v>46123</v>
      </c>
      <c r="F702" s="4">
        <v>46131</v>
      </c>
      <c r="G702" s="4">
        <v>46130</v>
      </c>
      <c r="H702">
        <v>690</v>
      </c>
      <c r="I702" t="s">
        <v>631</v>
      </c>
      <c r="J702">
        <v>18</v>
      </c>
      <c r="K702" t="s">
        <v>1563</v>
      </c>
    </row>
    <row r="703" spans="1:11">
      <c r="A703" t="s">
        <v>1180</v>
      </c>
      <c r="B703" t="s">
        <v>54</v>
      </c>
      <c r="C703" t="s">
        <v>23</v>
      </c>
      <c r="D703">
        <v>271</v>
      </c>
      <c r="E703" s="4">
        <v>46072</v>
      </c>
      <c r="F703" s="4">
        <v>46081</v>
      </c>
      <c r="G703" s="4">
        <v>46081</v>
      </c>
      <c r="H703">
        <v>269</v>
      </c>
      <c r="I703" t="s">
        <v>1181</v>
      </c>
      <c r="J703">
        <v>0</v>
      </c>
      <c r="K703" t="s">
        <v>1563</v>
      </c>
    </row>
    <row r="704" spans="1:11">
      <c r="A704" t="s">
        <v>1182</v>
      </c>
      <c r="B704" t="s">
        <v>43</v>
      </c>
      <c r="C704" t="s">
        <v>16</v>
      </c>
      <c r="D704">
        <v>788</v>
      </c>
      <c r="E704" s="4">
        <v>46086</v>
      </c>
      <c r="F704" s="4">
        <v>46096</v>
      </c>
      <c r="G704" s="4">
        <v>46093</v>
      </c>
      <c r="H704">
        <v>791</v>
      </c>
      <c r="I704" t="s">
        <v>17</v>
      </c>
      <c r="J704">
        <v>53</v>
      </c>
      <c r="K704" t="s">
        <v>1563</v>
      </c>
    </row>
    <row r="705" spans="1:11">
      <c r="A705" t="s">
        <v>1183</v>
      </c>
      <c r="B705" t="s">
        <v>67</v>
      </c>
      <c r="C705" t="s">
        <v>16</v>
      </c>
      <c r="D705">
        <v>725</v>
      </c>
      <c r="E705" s="4">
        <v>46156</v>
      </c>
      <c r="F705" s="4">
        <v>46161</v>
      </c>
      <c r="G705" s="4">
        <v>46159</v>
      </c>
      <c r="H705">
        <v>653</v>
      </c>
      <c r="I705" t="s">
        <v>432</v>
      </c>
      <c r="J705">
        <v>27</v>
      </c>
      <c r="K705" t="s">
        <v>1563</v>
      </c>
    </row>
    <row r="706" spans="1:11">
      <c r="A706" t="s">
        <v>1184</v>
      </c>
      <c r="B706" t="s">
        <v>29</v>
      </c>
      <c r="C706" t="s">
        <v>16</v>
      </c>
      <c r="D706">
        <v>367</v>
      </c>
      <c r="E706" s="4">
        <v>46040</v>
      </c>
      <c r="F706" s="4">
        <v>46055</v>
      </c>
      <c r="G706" s="4">
        <v>46053</v>
      </c>
      <c r="H706">
        <v>372</v>
      </c>
      <c r="I706" t="s">
        <v>207</v>
      </c>
      <c r="J706">
        <v>1</v>
      </c>
      <c r="K706" t="s">
        <v>1563</v>
      </c>
    </row>
    <row r="707" spans="1:11">
      <c r="A707" t="s">
        <v>1185</v>
      </c>
      <c r="B707" t="s">
        <v>32</v>
      </c>
      <c r="C707" t="s">
        <v>12</v>
      </c>
      <c r="D707">
        <v>703</v>
      </c>
      <c r="E707" s="4">
        <v>46156</v>
      </c>
      <c r="F707" s="4">
        <v>46167</v>
      </c>
      <c r="G707" s="4">
        <v>46170</v>
      </c>
      <c r="H707">
        <v>693</v>
      </c>
      <c r="I707" t="s">
        <v>96</v>
      </c>
      <c r="J707">
        <v>24</v>
      </c>
      <c r="K707" t="s">
        <v>1563</v>
      </c>
    </row>
    <row r="708" spans="1:11">
      <c r="A708" t="s">
        <v>1186</v>
      </c>
      <c r="B708" t="s">
        <v>54</v>
      </c>
      <c r="C708" t="s">
        <v>12</v>
      </c>
      <c r="D708">
        <v>482</v>
      </c>
      <c r="E708" s="4">
        <v>46116</v>
      </c>
      <c r="F708" s="4">
        <v>46131</v>
      </c>
      <c r="G708" s="4">
        <v>46129</v>
      </c>
      <c r="H708">
        <v>485</v>
      </c>
      <c r="I708" t="s">
        <v>105</v>
      </c>
      <c r="J708">
        <v>2</v>
      </c>
      <c r="K708" t="s">
        <v>1563</v>
      </c>
    </row>
    <row r="709" spans="1:11">
      <c r="A709" t="s">
        <v>1187</v>
      </c>
      <c r="B709" t="s">
        <v>54</v>
      </c>
      <c r="C709" t="s">
        <v>16</v>
      </c>
      <c r="D709">
        <v>898</v>
      </c>
      <c r="E709" s="4">
        <v>46035</v>
      </c>
      <c r="F709" s="4">
        <v>46050</v>
      </c>
      <c r="G709" s="4">
        <v>46047</v>
      </c>
      <c r="H709">
        <v>909</v>
      </c>
      <c r="I709" t="s">
        <v>79</v>
      </c>
      <c r="J709">
        <v>21</v>
      </c>
      <c r="K709" t="s">
        <v>1563</v>
      </c>
    </row>
    <row r="710" spans="1:11">
      <c r="A710" t="s">
        <v>1188</v>
      </c>
      <c r="B710" t="s">
        <v>43</v>
      </c>
      <c r="C710" t="s">
        <v>12</v>
      </c>
      <c r="D710">
        <v>340</v>
      </c>
      <c r="E710" s="4">
        <v>46041</v>
      </c>
      <c r="F710" s="4">
        <v>46053</v>
      </c>
      <c r="G710" s="4">
        <v>46053</v>
      </c>
      <c r="H710">
        <v>343</v>
      </c>
      <c r="I710" t="s">
        <v>38</v>
      </c>
      <c r="J710">
        <v>16</v>
      </c>
      <c r="K710" t="s">
        <v>1563</v>
      </c>
    </row>
    <row r="711" spans="1:11">
      <c r="A711" t="s">
        <v>1189</v>
      </c>
      <c r="B711" t="s">
        <v>100</v>
      </c>
      <c r="C711" t="s">
        <v>12</v>
      </c>
      <c r="D711">
        <v>263</v>
      </c>
      <c r="E711" s="4">
        <v>46124</v>
      </c>
      <c r="F711" s="4">
        <v>46133</v>
      </c>
      <c r="G711" s="4">
        <v>46132</v>
      </c>
      <c r="H711">
        <v>260</v>
      </c>
      <c r="I711" t="s">
        <v>734</v>
      </c>
      <c r="J711">
        <v>4</v>
      </c>
      <c r="K711" t="s">
        <v>1563</v>
      </c>
    </row>
    <row r="712" spans="1:11">
      <c r="A712" t="s">
        <v>1190</v>
      </c>
      <c r="B712" t="s">
        <v>43</v>
      </c>
      <c r="C712" t="s">
        <v>23</v>
      </c>
      <c r="D712">
        <v>821</v>
      </c>
      <c r="E712" s="4">
        <v>46060</v>
      </c>
      <c r="F712" s="4">
        <v>46067</v>
      </c>
      <c r="G712" s="4">
        <v>46065</v>
      </c>
      <c r="H712">
        <v>826</v>
      </c>
      <c r="I712" t="s">
        <v>1191</v>
      </c>
      <c r="J712">
        <v>17</v>
      </c>
      <c r="K712" t="s">
        <v>1563</v>
      </c>
    </row>
    <row r="713" spans="1:11">
      <c r="A713" t="s">
        <v>1192</v>
      </c>
      <c r="B713" t="s">
        <v>19</v>
      </c>
      <c r="C713" t="s">
        <v>12</v>
      </c>
      <c r="D713">
        <v>590</v>
      </c>
      <c r="E713" s="4">
        <v>46099</v>
      </c>
      <c r="F713" s="4">
        <v>46112</v>
      </c>
      <c r="G713" s="4">
        <v>46109</v>
      </c>
      <c r="H713">
        <v>546</v>
      </c>
      <c r="I713" t="s">
        <v>1193</v>
      </c>
      <c r="J713">
        <v>20</v>
      </c>
      <c r="K713" t="s">
        <v>1563</v>
      </c>
    </row>
    <row r="714" spans="1:11">
      <c r="A714" t="s">
        <v>1194</v>
      </c>
      <c r="B714" t="s">
        <v>35</v>
      </c>
      <c r="C714" t="s">
        <v>12</v>
      </c>
      <c r="D714">
        <v>929</v>
      </c>
      <c r="E714" s="4">
        <v>46130</v>
      </c>
      <c r="F714" s="4">
        <v>46140</v>
      </c>
      <c r="G714" s="4">
        <v>46138</v>
      </c>
      <c r="H714">
        <v>923</v>
      </c>
      <c r="I714" t="s">
        <v>154</v>
      </c>
      <c r="J714">
        <v>6</v>
      </c>
      <c r="K714" t="s">
        <v>1563</v>
      </c>
    </row>
    <row r="715" spans="1:11">
      <c r="A715" t="s">
        <v>1195</v>
      </c>
      <c r="B715" t="s">
        <v>32</v>
      </c>
      <c r="C715" t="s">
        <v>12</v>
      </c>
      <c r="D715">
        <v>859</v>
      </c>
      <c r="E715" s="4">
        <v>46173</v>
      </c>
      <c r="F715" s="4">
        <v>46188</v>
      </c>
      <c r="G715" s="4">
        <v>46188</v>
      </c>
      <c r="H715">
        <v>795</v>
      </c>
      <c r="I715" t="s">
        <v>156</v>
      </c>
      <c r="J715">
        <v>29</v>
      </c>
      <c r="K715" t="s">
        <v>1563</v>
      </c>
    </row>
    <row r="716" spans="1:11">
      <c r="A716" t="s">
        <v>1197</v>
      </c>
      <c r="B716" t="s">
        <v>100</v>
      </c>
      <c r="C716" t="s">
        <v>16</v>
      </c>
      <c r="D716">
        <v>237</v>
      </c>
      <c r="E716" s="4">
        <v>46125</v>
      </c>
      <c r="F716" s="4">
        <v>46131</v>
      </c>
      <c r="G716" s="4">
        <v>46130</v>
      </c>
      <c r="H716">
        <v>238</v>
      </c>
      <c r="I716" t="s">
        <v>767</v>
      </c>
      <c r="J716">
        <v>4</v>
      </c>
      <c r="K716" t="s">
        <v>1563</v>
      </c>
    </row>
    <row r="717" spans="1:11">
      <c r="A717" t="s">
        <v>1198</v>
      </c>
      <c r="B717" t="s">
        <v>120</v>
      </c>
      <c r="C717" t="s">
        <v>23</v>
      </c>
      <c r="D717">
        <v>935</v>
      </c>
      <c r="E717" s="4">
        <v>46128</v>
      </c>
      <c r="F717" s="4">
        <v>46136</v>
      </c>
      <c r="G717" s="4"/>
      <c r="I717" t="s">
        <v>1199</v>
      </c>
      <c r="K717" t="s">
        <v>1565</v>
      </c>
    </row>
    <row r="718" spans="1:11">
      <c r="A718" t="s">
        <v>1200</v>
      </c>
      <c r="B718" t="s">
        <v>29</v>
      </c>
      <c r="C718" t="s">
        <v>12</v>
      </c>
      <c r="D718">
        <v>651</v>
      </c>
      <c r="E718" s="4">
        <v>46143</v>
      </c>
      <c r="F718" s="4">
        <v>46154</v>
      </c>
      <c r="G718" s="4">
        <v>46152</v>
      </c>
      <c r="H718">
        <v>613</v>
      </c>
      <c r="I718" t="s">
        <v>444</v>
      </c>
      <c r="J718">
        <v>5</v>
      </c>
      <c r="K718" t="s">
        <v>1563</v>
      </c>
    </row>
    <row r="719" spans="1:11">
      <c r="A719" t="s">
        <v>1201</v>
      </c>
      <c r="B719" t="s">
        <v>49</v>
      </c>
      <c r="C719" t="s">
        <v>23</v>
      </c>
      <c r="D719">
        <v>727</v>
      </c>
      <c r="E719" s="4">
        <v>46136</v>
      </c>
      <c r="F719" s="4">
        <v>46151</v>
      </c>
      <c r="G719" s="4">
        <v>46151</v>
      </c>
      <c r="H719">
        <v>724</v>
      </c>
      <c r="I719" t="s">
        <v>118</v>
      </c>
      <c r="J719">
        <v>11</v>
      </c>
      <c r="K719" t="s">
        <v>1563</v>
      </c>
    </row>
    <row r="720" spans="1:11">
      <c r="A720" t="s">
        <v>1202</v>
      </c>
      <c r="B720" t="s">
        <v>40</v>
      </c>
      <c r="C720" t="s">
        <v>16</v>
      </c>
      <c r="D720">
        <v>415</v>
      </c>
      <c r="E720" s="4">
        <v>46054</v>
      </c>
      <c r="F720" s="4">
        <v>46068</v>
      </c>
      <c r="G720" s="4">
        <v>46073</v>
      </c>
      <c r="H720">
        <v>413</v>
      </c>
      <c r="I720" t="s">
        <v>1203</v>
      </c>
      <c r="J720">
        <v>27</v>
      </c>
      <c r="K720" t="s">
        <v>1563</v>
      </c>
    </row>
    <row r="721" spans="1:11">
      <c r="A721" t="s">
        <v>1204</v>
      </c>
      <c r="B721" t="s">
        <v>19</v>
      </c>
      <c r="C721" t="s">
        <v>12</v>
      </c>
      <c r="D721">
        <v>197</v>
      </c>
      <c r="E721" s="4">
        <v>46030</v>
      </c>
      <c r="F721" s="4">
        <v>46040</v>
      </c>
      <c r="G721" s="4">
        <v>46040</v>
      </c>
      <c r="H721">
        <v>200</v>
      </c>
      <c r="I721" t="s">
        <v>1205</v>
      </c>
      <c r="J721">
        <v>8</v>
      </c>
      <c r="K721" t="s">
        <v>1563</v>
      </c>
    </row>
    <row r="722" spans="1:11">
      <c r="A722" t="s">
        <v>1206</v>
      </c>
      <c r="B722" t="s">
        <v>64</v>
      </c>
      <c r="C722" t="s">
        <v>16</v>
      </c>
      <c r="D722">
        <v>753</v>
      </c>
      <c r="E722" s="4">
        <v>46104</v>
      </c>
      <c r="F722" s="4">
        <v>46111</v>
      </c>
      <c r="G722" s="4">
        <v>46109</v>
      </c>
      <c r="H722">
        <v>717</v>
      </c>
      <c r="I722" t="s">
        <v>1207</v>
      </c>
      <c r="J722">
        <v>7</v>
      </c>
      <c r="K722" t="s">
        <v>1563</v>
      </c>
    </row>
    <row r="723" spans="1:11">
      <c r="A723" t="s">
        <v>1208</v>
      </c>
      <c r="B723" t="s">
        <v>32</v>
      </c>
      <c r="C723" t="s">
        <v>12</v>
      </c>
      <c r="D723">
        <v>596</v>
      </c>
      <c r="E723" s="4">
        <v>46092</v>
      </c>
      <c r="F723" s="4">
        <v>46106</v>
      </c>
      <c r="G723" s="4">
        <v>46103</v>
      </c>
      <c r="H723">
        <v>531</v>
      </c>
      <c r="I723" t="s">
        <v>690</v>
      </c>
      <c r="J723">
        <v>15</v>
      </c>
      <c r="K723" t="s">
        <v>1563</v>
      </c>
    </row>
    <row r="724" spans="1:11">
      <c r="A724" t="s">
        <v>1209</v>
      </c>
      <c r="B724" t="s">
        <v>35</v>
      </c>
      <c r="C724" t="s">
        <v>12</v>
      </c>
      <c r="D724">
        <v>962</v>
      </c>
      <c r="E724" s="4">
        <v>46033</v>
      </c>
      <c r="F724" s="4">
        <v>46046</v>
      </c>
      <c r="G724" s="4">
        <v>46044</v>
      </c>
      <c r="H724">
        <v>973</v>
      </c>
      <c r="I724" t="s">
        <v>1193</v>
      </c>
      <c r="J724">
        <v>47</v>
      </c>
      <c r="K724" t="s">
        <v>1563</v>
      </c>
    </row>
    <row r="725" spans="1:11">
      <c r="A725" t="s">
        <v>1210</v>
      </c>
      <c r="B725" t="s">
        <v>100</v>
      </c>
      <c r="C725" t="s">
        <v>12</v>
      </c>
      <c r="D725">
        <v>636</v>
      </c>
      <c r="E725" s="4">
        <v>46053</v>
      </c>
      <c r="F725" s="4">
        <v>46062</v>
      </c>
      <c r="G725" s="4">
        <v>46059</v>
      </c>
      <c r="H725">
        <v>638</v>
      </c>
      <c r="I725" t="s">
        <v>160</v>
      </c>
      <c r="J725">
        <v>7</v>
      </c>
      <c r="K725" t="s">
        <v>1563</v>
      </c>
    </row>
    <row r="726" spans="1:11">
      <c r="A726" t="s">
        <v>1211</v>
      </c>
      <c r="B726" t="s">
        <v>46</v>
      </c>
      <c r="C726" t="s">
        <v>16</v>
      </c>
      <c r="D726">
        <v>539</v>
      </c>
      <c r="E726" s="4">
        <v>46099</v>
      </c>
      <c r="F726" s="4">
        <v>46107</v>
      </c>
      <c r="G726" s="4">
        <v>46106</v>
      </c>
      <c r="H726">
        <v>539</v>
      </c>
      <c r="I726" t="s">
        <v>775</v>
      </c>
      <c r="J726">
        <v>51</v>
      </c>
      <c r="K726" t="s">
        <v>1563</v>
      </c>
    </row>
    <row r="727" spans="1:11">
      <c r="A727" t="s">
        <v>1212</v>
      </c>
      <c r="B727" t="s">
        <v>26</v>
      </c>
      <c r="C727" t="s">
        <v>16</v>
      </c>
      <c r="D727">
        <v>386</v>
      </c>
      <c r="E727" s="4">
        <v>46109</v>
      </c>
      <c r="F727" s="4">
        <v>46119</v>
      </c>
      <c r="G727" s="4">
        <v>46117</v>
      </c>
      <c r="H727">
        <v>388</v>
      </c>
      <c r="I727" t="s">
        <v>666</v>
      </c>
      <c r="J727">
        <v>9</v>
      </c>
      <c r="K727" t="s">
        <v>1563</v>
      </c>
    </row>
    <row r="728" spans="1:11">
      <c r="A728" t="s">
        <v>1213</v>
      </c>
      <c r="B728" t="s">
        <v>22</v>
      </c>
      <c r="C728" t="s">
        <v>12</v>
      </c>
      <c r="D728">
        <v>300</v>
      </c>
      <c r="E728" s="4">
        <v>46132</v>
      </c>
      <c r="F728" s="4">
        <v>46147</v>
      </c>
      <c r="G728" s="4">
        <v>46147</v>
      </c>
      <c r="H728">
        <v>298</v>
      </c>
      <c r="I728" t="s">
        <v>73</v>
      </c>
      <c r="J728">
        <v>20</v>
      </c>
      <c r="K728" t="s">
        <v>1563</v>
      </c>
    </row>
    <row r="729" spans="1:11">
      <c r="A729" t="s">
        <v>1214</v>
      </c>
      <c r="B729" t="s">
        <v>22</v>
      </c>
      <c r="C729" t="s">
        <v>23</v>
      </c>
      <c r="D729">
        <v>583</v>
      </c>
      <c r="E729" s="4">
        <v>46045</v>
      </c>
      <c r="F729" s="4">
        <v>46057</v>
      </c>
      <c r="G729" s="4">
        <v>46063</v>
      </c>
      <c r="H729">
        <v>593</v>
      </c>
      <c r="I729" t="s">
        <v>248</v>
      </c>
      <c r="J729">
        <v>3</v>
      </c>
      <c r="K729" t="s">
        <v>1563</v>
      </c>
    </row>
    <row r="730" spans="1:11">
      <c r="A730" t="s">
        <v>1215</v>
      </c>
      <c r="B730" t="s">
        <v>54</v>
      </c>
      <c r="C730" t="s">
        <v>12</v>
      </c>
      <c r="D730">
        <v>716</v>
      </c>
      <c r="E730" s="4">
        <v>46052</v>
      </c>
      <c r="F730" s="4">
        <v>46058</v>
      </c>
      <c r="G730" s="4">
        <v>46067</v>
      </c>
      <c r="H730">
        <v>719</v>
      </c>
      <c r="I730" t="s">
        <v>403</v>
      </c>
      <c r="J730">
        <v>10</v>
      </c>
      <c r="K730" t="s">
        <v>1563</v>
      </c>
    </row>
    <row r="731" spans="1:11">
      <c r="A731" t="s">
        <v>1217</v>
      </c>
      <c r="B731" t="s">
        <v>52</v>
      </c>
      <c r="C731" t="s">
        <v>12</v>
      </c>
      <c r="D731">
        <v>390</v>
      </c>
      <c r="E731" s="4">
        <v>46113</v>
      </c>
      <c r="F731" s="4">
        <v>46122</v>
      </c>
      <c r="G731" s="4">
        <v>46120</v>
      </c>
      <c r="H731">
        <v>394</v>
      </c>
      <c r="I731" t="s">
        <v>403</v>
      </c>
      <c r="J731">
        <v>8</v>
      </c>
      <c r="K731" t="s">
        <v>1563</v>
      </c>
    </row>
    <row r="732" spans="1:11">
      <c r="A732" t="s">
        <v>1218</v>
      </c>
      <c r="B732" t="s">
        <v>19</v>
      </c>
      <c r="C732" t="s">
        <v>12</v>
      </c>
      <c r="D732">
        <v>845</v>
      </c>
      <c r="E732" s="4">
        <v>46176</v>
      </c>
      <c r="F732" s="4">
        <v>46184</v>
      </c>
      <c r="G732" s="4">
        <v>46182</v>
      </c>
      <c r="H732">
        <v>859</v>
      </c>
      <c r="I732" t="s">
        <v>183</v>
      </c>
      <c r="J732">
        <v>4</v>
      </c>
      <c r="K732" t="s">
        <v>1563</v>
      </c>
    </row>
    <row r="733" spans="1:11">
      <c r="A733" t="s">
        <v>1219</v>
      </c>
      <c r="B733" t="s">
        <v>32</v>
      </c>
      <c r="C733" t="s">
        <v>12</v>
      </c>
      <c r="D733">
        <v>466</v>
      </c>
      <c r="E733" s="4">
        <v>46148</v>
      </c>
      <c r="F733" s="4">
        <v>46161</v>
      </c>
      <c r="G733" s="4">
        <v>46160</v>
      </c>
      <c r="H733">
        <v>474</v>
      </c>
      <c r="I733" t="s">
        <v>154</v>
      </c>
      <c r="J733">
        <v>28</v>
      </c>
      <c r="K733" t="s">
        <v>1563</v>
      </c>
    </row>
    <row r="734" spans="1:11">
      <c r="A734" t="s">
        <v>1220</v>
      </c>
      <c r="B734" t="s">
        <v>120</v>
      </c>
      <c r="C734" t="s">
        <v>16</v>
      </c>
      <c r="D734">
        <v>615</v>
      </c>
      <c r="E734" s="4">
        <v>46169</v>
      </c>
      <c r="F734" s="4">
        <v>46175</v>
      </c>
      <c r="G734" s="4">
        <v>46175</v>
      </c>
      <c r="H734">
        <v>548</v>
      </c>
      <c r="I734" t="s">
        <v>173</v>
      </c>
      <c r="J734">
        <v>10</v>
      </c>
      <c r="K734" t="s">
        <v>1563</v>
      </c>
    </row>
    <row r="735" spans="1:11">
      <c r="A735" t="s">
        <v>1221</v>
      </c>
      <c r="B735" t="s">
        <v>70</v>
      </c>
      <c r="C735" t="s">
        <v>12</v>
      </c>
      <c r="D735">
        <v>209</v>
      </c>
      <c r="E735" s="4">
        <v>46078</v>
      </c>
      <c r="F735" s="4">
        <v>46089</v>
      </c>
      <c r="G735" s="4">
        <v>46089</v>
      </c>
      <c r="H735">
        <v>213</v>
      </c>
      <c r="I735" t="s">
        <v>421</v>
      </c>
      <c r="J735">
        <v>4</v>
      </c>
      <c r="K735" t="s">
        <v>1563</v>
      </c>
    </row>
    <row r="736" spans="1:11">
      <c r="A736" t="s">
        <v>1222</v>
      </c>
      <c r="B736" t="s">
        <v>46</v>
      </c>
      <c r="C736" t="s">
        <v>16</v>
      </c>
      <c r="D736">
        <v>329</v>
      </c>
      <c r="E736" s="4">
        <v>46088</v>
      </c>
      <c r="F736" s="4">
        <v>46095</v>
      </c>
      <c r="G736" s="4">
        <v>46094</v>
      </c>
      <c r="H736">
        <v>333</v>
      </c>
      <c r="I736" t="s">
        <v>1223</v>
      </c>
      <c r="J736">
        <v>20</v>
      </c>
      <c r="K736" t="s">
        <v>1563</v>
      </c>
    </row>
    <row r="737" spans="1:11">
      <c r="A737" t="s">
        <v>1224</v>
      </c>
      <c r="B737" t="s">
        <v>100</v>
      </c>
      <c r="C737" t="s">
        <v>16</v>
      </c>
      <c r="D737">
        <v>328</v>
      </c>
      <c r="E737" s="4">
        <v>46057</v>
      </c>
      <c r="F737" s="4">
        <v>46063</v>
      </c>
      <c r="G737" s="4">
        <v>46060</v>
      </c>
      <c r="H737">
        <v>331</v>
      </c>
      <c r="I737" t="s">
        <v>1153</v>
      </c>
      <c r="J737">
        <v>8</v>
      </c>
      <c r="K737" t="s">
        <v>1563</v>
      </c>
    </row>
    <row r="738" spans="1:11">
      <c r="A738" t="s">
        <v>1225</v>
      </c>
      <c r="B738" t="s">
        <v>70</v>
      </c>
      <c r="C738" t="s">
        <v>16</v>
      </c>
      <c r="D738">
        <v>135</v>
      </c>
      <c r="E738" s="4">
        <v>46160</v>
      </c>
      <c r="F738" s="4">
        <v>46173</v>
      </c>
      <c r="G738" s="4">
        <v>46181</v>
      </c>
      <c r="H738">
        <v>137</v>
      </c>
      <c r="I738" t="s">
        <v>1153</v>
      </c>
      <c r="J738">
        <v>4</v>
      </c>
      <c r="K738" t="s">
        <v>1563</v>
      </c>
    </row>
    <row r="739" spans="1:11">
      <c r="A739" t="s">
        <v>1226</v>
      </c>
      <c r="B739" t="s">
        <v>26</v>
      </c>
      <c r="C739" t="s">
        <v>16</v>
      </c>
      <c r="D739">
        <v>884</v>
      </c>
      <c r="E739" s="4">
        <v>46090</v>
      </c>
      <c r="F739" s="4">
        <v>46100</v>
      </c>
      <c r="G739" s="4">
        <v>46099</v>
      </c>
      <c r="H739">
        <v>885</v>
      </c>
      <c r="I739" t="s">
        <v>1227</v>
      </c>
      <c r="J739">
        <v>2</v>
      </c>
      <c r="K739" t="s">
        <v>1563</v>
      </c>
    </row>
    <row r="740" spans="1:11">
      <c r="A740" t="s">
        <v>1228</v>
      </c>
      <c r="B740" t="s">
        <v>54</v>
      </c>
      <c r="C740" t="s">
        <v>12</v>
      </c>
      <c r="D740">
        <v>514</v>
      </c>
      <c r="E740" s="4">
        <v>46110</v>
      </c>
      <c r="F740" s="4">
        <v>46117</v>
      </c>
      <c r="G740" s="4">
        <v>46115</v>
      </c>
      <c r="H740">
        <v>511</v>
      </c>
      <c r="I740" t="s">
        <v>403</v>
      </c>
      <c r="J740">
        <v>8</v>
      </c>
      <c r="K740" t="s">
        <v>1563</v>
      </c>
    </row>
    <row r="741" spans="1:11">
      <c r="A741" t="s">
        <v>1229</v>
      </c>
      <c r="B741" t="s">
        <v>26</v>
      </c>
      <c r="C741" t="s">
        <v>12</v>
      </c>
      <c r="D741">
        <v>868</v>
      </c>
      <c r="E741" s="4">
        <v>46041</v>
      </c>
      <c r="F741" s="4">
        <v>46049</v>
      </c>
      <c r="G741" s="4">
        <v>46048</v>
      </c>
      <c r="H741">
        <v>766</v>
      </c>
      <c r="I741" t="s">
        <v>538</v>
      </c>
      <c r="J741">
        <v>7</v>
      </c>
      <c r="K741" t="s">
        <v>1563</v>
      </c>
    </row>
    <row r="742" spans="1:11">
      <c r="A742" t="s">
        <v>1230</v>
      </c>
      <c r="B742" t="s">
        <v>46</v>
      </c>
      <c r="C742" t="s">
        <v>16</v>
      </c>
      <c r="D742">
        <v>689</v>
      </c>
      <c r="E742" s="4">
        <v>46095</v>
      </c>
      <c r="F742" s="4">
        <v>46103</v>
      </c>
      <c r="G742" s="4">
        <v>46102</v>
      </c>
      <c r="H742">
        <v>697</v>
      </c>
      <c r="I742" t="s">
        <v>301</v>
      </c>
      <c r="J742">
        <v>10</v>
      </c>
      <c r="K742" t="s">
        <v>1563</v>
      </c>
    </row>
    <row r="743" spans="1:11">
      <c r="A743" t="s">
        <v>1231</v>
      </c>
      <c r="B743" t="s">
        <v>70</v>
      </c>
      <c r="C743" t="s">
        <v>12</v>
      </c>
      <c r="D743">
        <v>907</v>
      </c>
      <c r="E743" s="4">
        <v>46088</v>
      </c>
      <c r="F743" s="4">
        <v>46098</v>
      </c>
      <c r="G743" s="4">
        <v>46106</v>
      </c>
      <c r="H743">
        <v>913</v>
      </c>
      <c r="I743" t="s">
        <v>469</v>
      </c>
      <c r="J743">
        <v>2</v>
      </c>
      <c r="K743" t="s">
        <v>1563</v>
      </c>
    </row>
    <row r="744" spans="1:11">
      <c r="A744" t="s">
        <v>1232</v>
      </c>
      <c r="B744" t="s">
        <v>32</v>
      </c>
      <c r="C744" t="s">
        <v>23</v>
      </c>
      <c r="D744">
        <v>778</v>
      </c>
      <c r="E744" s="4">
        <v>46043</v>
      </c>
      <c r="F744" s="4">
        <v>46056</v>
      </c>
      <c r="G744" s="4">
        <v>46056</v>
      </c>
      <c r="H744">
        <v>778</v>
      </c>
      <c r="I744" t="s">
        <v>296</v>
      </c>
      <c r="J744">
        <v>52</v>
      </c>
      <c r="K744" t="s">
        <v>1563</v>
      </c>
    </row>
    <row r="745" spans="1:11">
      <c r="A745" t="s">
        <v>1233</v>
      </c>
      <c r="B745" t="s">
        <v>70</v>
      </c>
      <c r="C745" t="s">
        <v>16</v>
      </c>
      <c r="D745">
        <v>917</v>
      </c>
      <c r="E745" s="4">
        <v>46174</v>
      </c>
      <c r="F745" s="4">
        <v>46187</v>
      </c>
      <c r="G745" s="4">
        <v>46189</v>
      </c>
      <c r="H745">
        <v>924</v>
      </c>
      <c r="I745" t="s">
        <v>428</v>
      </c>
      <c r="J745">
        <v>1</v>
      </c>
      <c r="K745" t="s">
        <v>1563</v>
      </c>
    </row>
    <row r="746" spans="1:11">
      <c r="A746" t="s">
        <v>1234</v>
      </c>
      <c r="B746" t="s">
        <v>22</v>
      </c>
      <c r="C746" t="s">
        <v>12</v>
      </c>
      <c r="D746">
        <v>252</v>
      </c>
      <c r="E746" s="4">
        <v>46156</v>
      </c>
      <c r="F746" s="4">
        <v>46165</v>
      </c>
      <c r="G746" s="4">
        <v>46173</v>
      </c>
      <c r="H746">
        <v>233</v>
      </c>
      <c r="I746" t="s">
        <v>469</v>
      </c>
      <c r="J746">
        <v>14</v>
      </c>
      <c r="K746" t="s">
        <v>1563</v>
      </c>
    </row>
    <row r="747" spans="1:11">
      <c r="A747" t="s">
        <v>1236</v>
      </c>
      <c r="B747" t="s">
        <v>22</v>
      </c>
      <c r="C747" t="s">
        <v>16</v>
      </c>
      <c r="D747">
        <v>222</v>
      </c>
      <c r="E747" s="4">
        <v>46176</v>
      </c>
      <c r="F747" s="4">
        <v>46191</v>
      </c>
      <c r="G747" s="4">
        <v>46188</v>
      </c>
      <c r="H747">
        <v>197</v>
      </c>
      <c r="I747" t="s">
        <v>17</v>
      </c>
      <c r="J747">
        <v>7</v>
      </c>
      <c r="K747" t="s">
        <v>1563</v>
      </c>
    </row>
    <row r="748" spans="1:11">
      <c r="A748" t="s">
        <v>1237</v>
      </c>
      <c r="B748" t="s">
        <v>22</v>
      </c>
      <c r="C748" t="s">
        <v>12</v>
      </c>
      <c r="D748">
        <v>411</v>
      </c>
      <c r="E748" s="4">
        <v>46154</v>
      </c>
      <c r="F748" s="4">
        <v>46168</v>
      </c>
      <c r="G748" s="4">
        <v>46174</v>
      </c>
      <c r="H748">
        <v>408</v>
      </c>
      <c r="I748" t="s">
        <v>968</v>
      </c>
      <c r="J748">
        <v>19</v>
      </c>
      <c r="K748" t="s">
        <v>1563</v>
      </c>
    </row>
    <row r="749" spans="1:11">
      <c r="A749" t="s">
        <v>1238</v>
      </c>
      <c r="B749" t="s">
        <v>32</v>
      </c>
      <c r="C749" t="s">
        <v>16</v>
      </c>
      <c r="D749">
        <v>626</v>
      </c>
      <c r="E749" s="4">
        <v>46145</v>
      </c>
      <c r="F749" s="4">
        <v>46159</v>
      </c>
      <c r="G749" s="4">
        <v>46158</v>
      </c>
      <c r="H749">
        <v>625</v>
      </c>
      <c r="I749" t="s">
        <v>272</v>
      </c>
      <c r="J749">
        <v>25</v>
      </c>
      <c r="K749" t="s">
        <v>1563</v>
      </c>
    </row>
    <row r="750" spans="1:11">
      <c r="A750" t="s">
        <v>1239</v>
      </c>
      <c r="B750" t="s">
        <v>32</v>
      </c>
      <c r="C750" t="s">
        <v>12</v>
      </c>
      <c r="D750">
        <v>663</v>
      </c>
      <c r="E750" s="4">
        <v>46168</v>
      </c>
      <c r="F750" s="4">
        <v>46181</v>
      </c>
      <c r="G750" s="4">
        <v>46181</v>
      </c>
      <c r="H750">
        <v>655</v>
      </c>
      <c r="I750" t="s">
        <v>647</v>
      </c>
      <c r="J750">
        <v>25</v>
      </c>
      <c r="K750" t="s">
        <v>1563</v>
      </c>
    </row>
    <row r="751" spans="1:11">
      <c r="A751" t="s">
        <v>1240</v>
      </c>
      <c r="B751" t="s">
        <v>35</v>
      </c>
      <c r="C751" t="s">
        <v>12</v>
      </c>
      <c r="D751">
        <v>963</v>
      </c>
      <c r="E751" s="4">
        <v>46118</v>
      </c>
      <c r="F751" s="4">
        <v>46131</v>
      </c>
      <c r="G751" s="4">
        <v>46137</v>
      </c>
      <c r="H751">
        <v>775</v>
      </c>
      <c r="I751" t="s">
        <v>705</v>
      </c>
      <c r="J751">
        <v>13</v>
      </c>
      <c r="K751" t="s">
        <v>1563</v>
      </c>
    </row>
    <row r="752" spans="1:11">
      <c r="A752" t="s">
        <v>1241</v>
      </c>
      <c r="B752" t="s">
        <v>120</v>
      </c>
      <c r="C752" t="s">
        <v>23</v>
      </c>
      <c r="D752">
        <v>628</v>
      </c>
      <c r="E752" s="4">
        <v>46093</v>
      </c>
      <c r="F752" s="4">
        <v>46104</v>
      </c>
      <c r="G752" s="4">
        <v>46102</v>
      </c>
      <c r="H752">
        <v>547</v>
      </c>
      <c r="I752" t="s">
        <v>1242</v>
      </c>
      <c r="J752">
        <v>26</v>
      </c>
      <c r="K752" t="s">
        <v>1563</v>
      </c>
    </row>
    <row r="753" spans="1:11">
      <c r="A753" t="s">
        <v>1243</v>
      </c>
      <c r="B753" t="s">
        <v>35</v>
      </c>
      <c r="C753" t="s">
        <v>12</v>
      </c>
      <c r="D753">
        <v>838</v>
      </c>
      <c r="E753" s="4">
        <v>46150</v>
      </c>
      <c r="F753" s="4">
        <v>46155</v>
      </c>
      <c r="G753" s="4">
        <v>46154</v>
      </c>
      <c r="H753">
        <v>850</v>
      </c>
      <c r="I753" t="s">
        <v>1244</v>
      </c>
      <c r="J753">
        <v>12</v>
      </c>
      <c r="K753" t="s">
        <v>1563</v>
      </c>
    </row>
    <row r="754" spans="1:11">
      <c r="A754" t="s">
        <v>1245</v>
      </c>
      <c r="B754" t="s">
        <v>81</v>
      </c>
      <c r="C754" t="s">
        <v>12</v>
      </c>
      <c r="D754">
        <v>153</v>
      </c>
      <c r="E754" s="4">
        <v>46075</v>
      </c>
      <c r="F754" s="4">
        <v>46084</v>
      </c>
      <c r="G754" s="4">
        <v>46084</v>
      </c>
      <c r="H754">
        <v>124</v>
      </c>
      <c r="I754" t="s">
        <v>872</v>
      </c>
      <c r="J754">
        <v>2</v>
      </c>
      <c r="K754" t="s">
        <v>1563</v>
      </c>
    </row>
    <row r="755" spans="1:11">
      <c r="A755" t="s">
        <v>1246</v>
      </c>
      <c r="B755" t="s">
        <v>177</v>
      </c>
      <c r="C755" t="s">
        <v>23</v>
      </c>
      <c r="D755">
        <v>378</v>
      </c>
      <c r="E755" s="4">
        <v>46086</v>
      </c>
      <c r="F755" s="4">
        <v>46100</v>
      </c>
      <c r="G755" s="4">
        <v>46097</v>
      </c>
      <c r="H755">
        <v>376</v>
      </c>
      <c r="I755" t="s">
        <v>745</v>
      </c>
      <c r="J755">
        <v>7</v>
      </c>
      <c r="K755" t="s">
        <v>1563</v>
      </c>
    </row>
    <row r="756" spans="1:11">
      <c r="A756" t="s">
        <v>1247</v>
      </c>
      <c r="B756" t="s">
        <v>26</v>
      </c>
      <c r="C756" t="s">
        <v>12</v>
      </c>
      <c r="D756">
        <v>831</v>
      </c>
      <c r="E756" s="4">
        <v>46034</v>
      </c>
      <c r="F756" s="4">
        <v>46042</v>
      </c>
      <c r="G756" s="4">
        <v>46040</v>
      </c>
      <c r="H756">
        <v>802</v>
      </c>
      <c r="I756" t="s">
        <v>98</v>
      </c>
      <c r="J756">
        <v>5</v>
      </c>
      <c r="K756" t="s">
        <v>1563</v>
      </c>
    </row>
    <row r="757" spans="1:11">
      <c r="A757" t="s">
        <v>1248</v>
      </c>
      <c r="B757" t="s">
        <v>100</v>
      </c>
      <c r="C757" t="s">
        <v>16</v>
      </c>
      <c r="D757">
        <v>741</v>
      </c>
      <c r="E757" s="4">
        <v>46109</v>
      </c>
      <c r="F757" s="4">
        <v>46115</v>
      </c>
      <c r="G757" s="4">
        <v>46115</v>
      </c>
      <c r="H757">
        <v>736</v>
      </c>
      <c r="I757" t="s">
        <v>383</v>
      </c>
      <c r="J757">
        <v>14</v>
      </c>
      <c r="K757" t="s">
        <v>1563</v>
      </c>
    </row>
    <row r="758" spans="1:11">
      <c r="A758" t="s">
        <v>1249</v>
      </c>
      <c r="B758" t="s">
        <v>52</v>
      </c>
      <c r="C758" t="s">
        <v>16</v>
      </c>
      <c r="D758">
        <v>290</v>
      </c>
      <c r="E758" s="4">
        <v>46084</v>
      </c>
      <c r="F758" s="4">
        <v>46094</v>
      </c>
      <c r="G758" s="4">
        <v>46091</v>
      </c>
      <c r="H758">
        <v>279</v>
      </c>
      <c r="I758" t="s">
        <v>1250</v>
      </c>
      <c r="J758">
        <v>2</v>
      </c>
      <c r="K758" t="s">
        <v>1563</v>
      </c>
    </row>
    <row r="759" spans="1:11">
      <c r="A759" t="s">
        <v>1251</v>
      </c>
      <c r="B759" t="s">
        <v>32</v>
      </c>
      <c r="C759" t="s">
        <v>12</v>
      </c>
      <c r="D759">
        <v>86</v>
      </c>
      <c r="E759" s="4">
        <v>46137</v>
      </c>
      <c r="F759" s="4">
        <v>46145</v>
      </c>
      <c r="G759" s="4">
        <v>46144</v>
      </c>
      <c r="H759">
        <v>78</v>
      </c>
      <c r="I759" t="s">
        <v>1072</v>
      </c>
      <c r="J759">
        <v>2</v>
      </c>
      <c r="K759" t="s">
        <v>1563</v>
      </c>
    </row>
    <row r="760" spans="1:11">
      <c r="A760" t="s">
        <v>1252</v>
      </c>
      <c r="B760" t="s">
        <v>70</v>
      </c>
      <c r="C760" t="s">
        <v>12</v>
      </c>
      <c r="D760">
        <v>965</v>
      </c>
      <c r="E760" s="4">
        <v>46081</v>
      </c>
      <c r="F760" s="4">
        <v>46091</v>
      </c>
      <c r="G760" s="4">
        <v>46097</v>
      </c>
      <c r="H760">
        <v>976</v>
      </c>
      <c r="I760" t="s">
        <v>714</v>
      </c>
      <c r="J760">
        <v>23</v>
      </c>
      <c r="K760" t="s">
        <v>1563</v>
      </c>
    </row>
    <row r="761" spans="1:11">
      <c r="A761" t="s">
        <v>1253</v>
      </c>
      <c r="B761" t="s">
        <v>52</v>
      </c>
      <c r="C761" t="s">
        <v>23</v>
      </c>
      <c r="D761">
        <v>430</v>
      </c>
      <c r="E761" s="4">
        <v>46091</v>
      </c>
      <c r="F761" s="4">
        <v>46096</v>
      </c>
      <c r="G761" s="4">
        <v>46095</v>
      </c>
      <c r="H761">
        <v>405</v>
      </c>
      <c r="I761" t="s">
        <v>619</v>
      </c>
      <c r="J761">
        <v>7</v>
      </c>
      <c r="K761" t="s">
        <v>1563</v>
      </c>
    </row>
    <row r="762" spans="1:11">
      <c r="A762" t="s">
        <v>1254</v>
      </c>
      <c r="B762" t="s">
        <v>40</v>
      </c>
      <c r="C762" t="s">
        <v>16</v>
      </c>
      <c r="D762">
        <v>909</v>
      </c>
      <c r="E762" s="4">
        <v>46060</v>
      </c>
      <c r="F762" s="4">
        <v>46075</v>
      </c>
      <c r="G762" s="4">
        <v>46075</v>
      </c>
      <c r="H762">
        <v>923</v>
      </c>
      <c r="I762" t="s">
        <v>597</v>
      </c>
      <c r="J762">
        <v>27</v>
      </c>
      <c r="K762" t="s">
        <v>1563</v>
      </c>
    </row>
    <row r="763" spans="1:11">
      <c r="A763" t="s">
        <v>1255</v>
      </c>
      <c r="B763" t="s">
        <v>29</v>
      </c>
      <c r="C763" t="s">
        <v>16</v>
      </c>
      <c r="D763">
        <v>322</v>
      </c>
      <c r="E763" s="4">
        <v>46042</v>
      </c>
      <c r="F763" s="4">
        <v>46057</v>
      </c>
      <c r="G763" s="4">
        <v>46066</v>
      </c>
      <c r="H763">
        <v>326</v>
      </c>
      <c r="I763" t="s">
        <v>1256</v>
      </c>
      <c r="J763">
        <v>2</v>
      </c>
      <c r="K763" t="s">
        <v>1563</v>
      </c>
    </row>
    <row r="764" spans="1:11">
      <c r="A764" t="s">
        <v>1257</v>
      </c>
      <c r="B764" t="s">
        <v>43</v>
      </c>
      <c r="C764" t="s">
        <v>12</v>
      </c>
      <c r="D764">
        <v>930</v>
      </c>
      <c r="E764" s="4">
        <v>46154</v>
      </c>
      <c r="F764" s="4">
        <v>46161</v>
      </c>
      <c r="G764" s="4">
        <v>46160</v>
      </c>
      <c r="H764">
        <v>925</v>
      </c>
      <c r="I764" t="s">
        <v>191</v>
      </c>
      <c r="J764">
        <v>25</v>
      </c>
      <c r="K764" t="s">
        <v>1563</v>
      </c>
    </row>
    <row r="765" spans="1:11">
      <c r="A765" t="s">
        <v>1258</v>
      </c>
      <c r="B765" t="s">
        <v>120</v>
      </c>
      <c r="C765" t="s">
        <v>23</v>
      </c>
      <c r="D765">
        <v>447</v>
      </c>
      <c r="E765" s="4">
        <v>46059</v>
      </c>
      <c r="F765" s="4">
        <v>46068</v>
      </c>
      <c r="G765" s="4">
        <v>46065</v>
      </c>
      <c r="H765">
        <v>451</v>
      </c>
      <c r="I765" t="s">
        <v>765</v>
      </c>
      <c r="J765">
        <v>21</v>
      </c>
      <c r="K765" t="s">
        <v>1563</v>
      </c>
    </row>
    <row r="766" spans="1:11">
      <c r="A766" t="s">
        <v>1259</v>
      </c>
      <c r="B766" t="s">
        <v>81</v>
      </c>
      <c r="C766" t="s">
        <v>12</v>
      </c>
      <c r="D766">
        <v>751</v>
      </c>
      <c r="E766" s="4">
        <v>46085</v>
      </c>
      <c r="F766" s="4">
        <v>46095</v>
      </c>
      <c r="G766" s="4">
        <v>46092</v>
      </c>
      <c r="H766">
        <v>609</v>
      </c>
      <c r="I766" t="s">
        <v>520</v>
      </c>
      <c r="J766">
        <v>3</v>
      </c>
      <c r="K766" t="s">
        <v>1563</v>
      </c>
    </row>
    <row r="767" spans="1:11">
      <c r="A767" t="s">
        <v>1260</v>
      </c>
      <c r="B767" t="s">
        <v>49</v>
      </c>
      <c r="C767" t="s">
        <v>12</v>
      </c>
      <c r="D767">
        <v>734</v>
      </c>
      <c r="E767" s="4">
        <v>46115</v>
      </c>
      <c r="F767" s="4">
        <v>46124</v>
      </c>
      <c r="G767" s="4">
        <v>46122</v>
      </c>
      <c r="H767">
        <v>740</v>
      </c>
      <c r="I767" t="s">
        <v>154</v>
      </c>
      <c r="J767">
        <v>5</v>
      </c>
      <c r="K767" t="s">
        <v>1563</v>
      </c>
    </row>
    <row r="768" spans="1:11">
      <c r="A768" t="s">
        <v>1261</v>
      </c>
      <c r="B768" t="s">
        <v>46</v>
      </c>
      <c r="C768" t="s">
        <v>16</v>
      </c>
      <c r="D768">
        <v>346</v>
      </c>
      <c r="E768" s="4">
        <v>46175</v>
      </c>
      <c r="F768" s="4">
        <v>46188</v>
      </c>
      <c r="G768" s="4">
        <v>46186</v>
      </c>
      <c r="H768">
        <v>345</v>
      </c>
      <c r="I768" t="s">
        <v>277</v>
      </c>
      <c r="J768">
        <v>32</v>
      </c>
      <c r="K768" t="s">
        <v>1563</v>
      </c>
    </row>
    <row r="769" spans="1:11">
      <c r="A769" t="s">
        <v>1262</v>
      </c>
      <c r="B769" t="s">
        <v>19</v>
      </c>
      <c r="C769" t="s">
        <v>12</v>
      </c>
      <c r="D769">
        <v>527</v>
      </c>
      <c r="E769" s="4">
        <v>46095</v>
      </c>
      <c r="F769" s="4">
        <v>46103</v>
      </c>
      <c r="G769" s="4">
        <v>46100</v>
      </c>
      <c r="H769">
        <v>527</v>
      </c>
      <c r="I769" t="s">
        <v>731</v>
      </c>
      <c r="J769">
        <v>26</v>
      </c>
      <c r="K769" t="s">
        <v>1563</v>
      </c>
    </row>
    <row r="770" spans="1:11">
      <c r="A770" t="s">
        <v>1263</v>
      </c>
      <c r="B770" t="s">
        <v>100</v>
      </c>
      <c r="C770" t="s">
        <v>12</v>
      </c>
      <c r="D770">
        <v>523</v>
      </c>
      <c r="E770" s="4">
        <v>46122</v>
      </c>
      <c r="F770" s="4">
        <v>46136</v>
      </c>
      <c r="G770" s="4">
        <v>46133</v>
      </c>
      <c r="H770">
        <v>528</v>
      </c>
      <c r="I770" t="s">
        <v>376</v>
      </c>
      <c r="J770">
        <v>5</v>
      </c>
      <c r="K770" t="s">
        <v>1563</v>
      </c>
    </row>
    <row r="771" spans="1:11">
      <c r="A771" t="s">
        <v>1264</v>
      </c>
      <c r="B771" t="s">
        <v>26</v>
      </c>
      <c r="C771" t="s">
        <v>16</v>
      </c>
      <c r="D771">
        <v>766</v>
      </c>
      <c r="E771" s="4">
        <v>46108</v>
      </c>
      <c r="F771" s="4">
        <v>46115</v>
      </c>
      <c r="G771" s="4">
        <v>46115</v>
      </c>
      <c r="H771">
        <v>765</v>
      </c>
      <c r="I771" t="s">
        <v>1265</v>
      </c>
      <c r="J771">
        <v>25</v>
      </c>
      <c r="K771" t="s">
        <v>1563</v>
      </c>
    </row>
    <row r="772" spans="1:11">
      <c r="A772" t="s">
        <v>1266</v>
      </c>
      <c r="B772" t="s">
        <v>67</v>
      </c>
      <c r="C772" t="s">
        <v>16</v>
      </c>
      <c r="D772">
        <v>282</v>
      </c>
      <c r="E772" s="4">
        <v>46056</v>
      </c>
      <c r="F772" s="4">
        <v>46066</v>
      </c>
      <c r="G772" s="4">
        <v>46066</v>
      </c>
      <c r="H772">
        <v>285</v>
      </c>
      <c r="I772" t="s">
        <v>769</v>
      </c>
      <c r="J772">
        <v>4</v>
      </c>
      <c r="K772" t="s">
        <v>1563</v>
      </c>
    </row>
    <row r="773" spans="1:11">
      <c r="A773" t="s">
        <v>1267</v>
      </c>
      <c r="B773" t="s">
        <v>70</v>
      </c>
      <c r="C773" t="s">
        <v>12</v>
      </c>
      <c r="D773">
        <v>275</v>
      </c>
      <c r="E773" s="4">
        <v>46055</v>
      </c>
      <c r="F773" s="4">
        <v>46068</v>
      </c>
      <c r="G773" s="4">
        <v>46066</v>
      </c>
      <c r="H773">
        <v>270</v>
      </c>
      <c r="I773" t="s">
        <v>994</v>
      </c>
      <c r="J773">
        <v>5</v>
      </c>
      <c r="K773" t="s">
        <v>1563</v>
      </c>
    </row>
    <row r="774" spans="1:11">
      <c r="A774" t="s">
        <v>1268</v>
      </c>
      <c r="B774" t="s">
        <v>49</v>
      </c>
      <c r="C774" t="s">
        <v>16</v>
      </c>
      <c r="D774">
        <v>628</v>
      </c>
      <c r="E774" s="4">
        <v>46140</v>
      </c>
      <c r="F774" s="4">
        <v>46155</v>
      </c>
      <c r="G774" s="4">
        <v>46153</v>
      </c>
      <c r="H774">
        <v>623</v>
      </c>
      <c r="I774" t="s">
        <v>1269</v>
      </c>
      <c r="J774">
        <v>4</v>
      </c>
      <c r="K774" t="s">
        <v>1563</v>
      </c>
    </row>
    <row r="775" spans="1:11">
      <c r="A775" t="s">
        <v>1270</v>
      </c>
      <c r="B775" t="s">
        <v>70</v>
      </c>
      <c r="C775" t="s">
        <v>23</v>
      </c>
      <c r="D775">
        <v>866</v>
      </c>
      <c r="E775" s="4">
        <v>46073</v>
      </c>
      <c r="F775" s="4">
        <v>46081</v>
      </c>
      <c r="G775" s="4">
        <v>46083</v>
      </c>
      <c r="H775">
        <v>860</v>
      </c>
      <c r="I775" t="s">
        <v>1271</v>
      </c>
      <c r="J775">
        <v>2</v>
      </c>
      <c r="K775" t="s">
        <v>1563</v>
      </c>
    </row>
    <row r="776" spans="1:11">
      <c r="A776" t="s">
        <v>1272</v>
      </c>
      <c r="B776" t="s">
        <v>70</v>
      </c>
      <c r="C776" t="s">
        <v>12</v>
      </c>
      <c r="D776">
        <v>191</v>
      </c>
      <c r="E776" s="4">
        <v>46057</v>
      </c>
      <c r="F776" s="4">
        <v>46070</v>
      </c>
      <c r="G776" s="4">
        <v>46074</v>
      </c>
      <c r="H776">
        <v>187</v>
      </c>
      <c r="I776" t="s">
        <v>1273</v>
      </c>
      <c r="J776">
        <v>4</v>
      </c>
      <c r="K776" t="s">
        <v>1563</v>
      </c>
    </row>
    <row r="777" spans="1:11">
      <c r="A777" t="s">
        <v>1274</v>
      </c>
      <c r="B777" t="s">
        <v>11</v>
      </c>
      <c r="C777" t="s">
        <v>12</v>
      </c>
      <c r="D777">
        <v>430</v>
      </c>
      <c r="E777" s="4">
        <v>46112</v>
      </c>
      <c r="F777" s="4">
        <v>46121</v>
      </c>
      <c r="G777" s="4"/>
      <c r="I777" t="s">
        <v>821</v>
      </c>
      <c r="J777">
        <v>1</v>
      </c>
      <c r="K777" t="s">
        <v>1565</v>
      </c>
    </row>
    <row r="778" spans="1:11">
      <c r="A778" t="s">
        <v>1275</v>
      </c>
      <c r="B778" t="s">
        <v>22</v>
      </c>
      <c r="C778" t="s">
        <v>12</v>
      </c>
      <c r="D778">
        <v>597</v>
      </c>
      <c r="E778" s="4">
        <v>46069</v>
      </c>
      <c r="F778" s="4">
        <v>46075</v>
      </c>
      <c r="G778" s="4">
        <v>46074</v>
      </c>
      <c r="H778">
        <v>599</v>
      </c>
      <c r="I778" t="s">
        <v>44</v>
      </c>
      <c r="J778">
        <v>18</v>
      </c>
      <c r="K778" t="s">
        <v>1563</v>
      </c>
    </row>
    <row r="779" spans="1:11">
      <c r="A779" t="s">
        <v>1276</v>
      </c>
      <c r="B779" t="s">
        <v>64</v>
      </c>
      <c r="C779" t="s">
        <v>12</v>
      </c>
      <c r="D779">
        <v>737</v>
      </c>
      <c r="E779" s="4">
        <v>46035</v>
      </c>
      <c r="F779" s="4">
        <v>46044</v>
      </c>
      <c r="G779" s="4">
        <v>46042</v>
      </c>
      <c r="H779">
        <v>630</v>
      </c>
      <c r="I779" t="s">
        <v>711</v>
      </c>
      <c r="J779">
        <v>39</v>
      </c>
      <c r="K779" t="s">
        <v>1563</v>
      </c>
    </row>
    <row r="780" spans="1:11">
      <c r="A780" t="s">
        <v>1277</v>
      </c>
      <c r="B780" t="s">
        <v>26</v>
      </c>
      <c r="C780" t="s">
        <v>12</v>
      </c>
      <c r="D780">
        <v>950</v>
      </c>
      <c r="E780" s="4">
        <v>46073</v>
      </c>
      <c r="F780" s="4">
        <v>46088</v>
      </c>
      <c r="G780" s="4">
        <v>46088</v>
      </c>
      <c r="H780">
        <v>851</v>
      </c>
      <c r="I780" t="s">
        <v>750</v>
      </c>
      <c r="J780">
        <v>28</v>
      </c>
      <c r="K780" t="s">
        <v>1563</v>
      </c>
    </row>
    <row r="781" spans="1:11">
      <c r="A781" t="s">
        <v>1278</v>
      </c>
      <c r="B781" t="s">
        <v>177</v>
      </c>
      <c r="C781" t="s">
        <v>12</v>
      </c>
      <c r="D781">
        <v>96</v>
      </c>
      <c r="E781" s="4">
        <v>46157</v>
      </c>
      <c r="F781" s="4">
        <v>46167</v>
      </c>
      <c r="G781" s="4">
        <v>46167</v>
      </c>
      <c r="H781">
        <v>84</v>
      </c>
      <c r="I781" t="s">
        <v>854</v>
      </c>
      <c r="J781">
        <v>4</v>
      </c>
      <c r="K781" t="s">
        <v>1563</v>
      </c>
    </row>
    <row r="782" spans="1:11">
      <c r="A782" t="s">
        <v>1279</v>
      </c>
      <c r="B782" t="s">
        <v>52</v>
      </c>
      <c r="C782" t="s">
        <v>16</v>
      </c>
      <c r="D782">
        <v>578</v>
      </c>
      <c r="E782" s="4">
        <v>46089</v>
      </c>
      <c r="F782" s="4">
        <v>46104</v>
      </c>
      <c r="G782" s="4">
        <v>46103</v>
      </c>
      <c r="H782">
        <v>580</v>
      </c>
      <c r="I782" t="s">
        <v>1280</v>
      </c>
      <c r="J782">
        <v>15</v>
      </c>
      <c r="K782" t="s">
        <v>1563</v>
      </c>
    </row>
    <row r="783" spans="1:11">
      <c r="A783" t="s">
        <v>1281</v>
      </c>
      <c r="B783" t="s">
        <v>120</v>
      </c>
      <c r="C783" t="s">
        <v>23</v>
      </c>
      <c r="D783">
        <v>391</v>
      </c>
      <c r="E783" s="4">
        <v>46166</v>
      </c>
      <c r="F783" s="4">
        <v>46181</v>
      </c>
      <c r="G783" s="4">
        <v>46178</v>
      </c>
      <c r="H783">
        <v>336</v>
      </c>
      <c r="I783" t="s">
        <v>1282</v>
      </c>
      <c r="J783">
        <v>18</v>
      </c>
      <c r="K783" t="s">
        <v>1563</v>
      </c>
    </row>
    <row r="784" spans="1:11">
      <c r="A784" t="s">
        <v>1283</v>
      </c>
      <c r="B784" t="s">
        <v>67</v>
      </c>
      <c r="C784" t="s">
        <v>23</v>
      </c>
      <c r="D784">
        <v>365</v>
      </c>
      <c r="E784" s="4">
        <v>46061</v>
      </c>
      <c r="F784" s="4">
        <v>46073</v>
      </c>
      <c r="G784" s="4">
        <v>46072</v>
      </c>
      <c r="H784">
        <v>361</v>
      </c>
      <c r="I784" t="s">
        <v>779</v>
      </c>
      <c r="J784">
        <v>20</v>
      </c>
      <c r="K784" t="s">
        <v>1563</v>
      </c>
    </row>
    <row r="785" spans="1:11">
      <c r="A785" t="s">
        <v>1285</v>
      </c>
      <c r="B785" t="s">
        <v>46</v>
      </c>
      <c r="C785" t="s">
        <v>23</v>
      </c>
      <c r="D785">
        <v>943</v>
      </c>
      <c r="E785" s="4">
        <v>46074</v>
      </c>
      <c r="F785" s="4">
        <v>46082</v>
      </c>
      <c r="G785" s="4">
        <v>46081</v>
      </c>
      <c r="H785">
        <v>935</v>
      </c>
      <c r="I785" t="s">
        <v>61</v>
      </c>
      <c r="J785">
        <v>18</v>
      </c>
      <c r="K785" t="s">
        <v>1563</v>
      </c>
    </row>
    <row r="786" spans="1:11">
      <c r="A786" t="s">
        <v>1286</v>
      </c>
      <c r="B786" t="s">
        <v>70</v>
      </c>
      <c r="C786" t="s">
        <v>12</v>
      </c>
      <c r="D786">
        <v>460</v>
      </c>
      <c r="E786" s="4">
        <v>46057</v>
      </c>
      <c r="F786" s="4">
        <v>46068</v>
      </c>
      <c r="G786" s="4"/>
      <c r="I786" t="s">
        <v>379</v>
      </c>
      <c r="K786" t="s">
        <v>1565</v>
      </c>
    </row>
    <row r="787" spans="1:11">
      <c r="A787" t="s">
        <v>1288</v>
      </c>
      <c r="B787" t="s">
        <v>120</v>
      </c>
      <c r="C787" t="s">
        <v>16</v>
      </c>
      <c r="D787">
        <v>571</v>
      </c>
      <c r="E787" s="4">
        <v>46076</v>
      </c>
      <c r="F787" s="4">
        <v>46088</v>
      </c>
      <c r="G787" s="4">
        <v>46086</v>
      </c>
      <c r="H787">
        <v>577</v>
      </c>
      <c r="I787" t="s">
        <v>1108</v>
      </c>
      <c r="J787">
        <v>18</v>
      </c>
      <c r="K787" t="s">
        <v>1563</v>
      </c>
    </row>
    <row r="788" spans="1:11">
      <c r="A788" t="s">
        <v>1289</v>
      </c>
      <c r="B788" t="s">
        <v>177</v>
      </c>
      <c r="C788" t="s">
        <v>16</v>
      </c>
      <c r="D788">
        <v>605</v>
      </c>
      <c r="E788" s="4">
        <v>46141</v>
      </c>
      <c r="F788" s="4">
        <v>46146</v>
      </c>
      <c r="G788" s="4">
        <v>46144</v>
      </c>
      <c r="H788">
        <v>599</v>
      </c>
      <c r="I788" t="s">
        <v>1290</v>
      </c>
      <c r="J788">
        <v>5</v>
      </c>
      <c r="K788" t="s">
        <v>1563</v>
      </c>
    </row>
    <row r="789" spans="1:11">
      <c r="A789" t="s">
        <v>1291</v>
      </c>
      <c r="B789" t="s">
        <v>32</v>
      </c>
      <c r="C789" t="s">
        <v>16</v>
      </c>
      <c r="D789">
        <v>482</v>
      </c>
      <c r="E789" s="4">
        <v>46164</v>
      </c>
      <c r="F789" s="4">
        <v>46171</v>
      </c>
      <c r="G789" s="4">
        <v>46170</v>
      </c>
      <c r="H789">
        <v>474</v>
      </c>
      <c r="I789" t="s">
        <v>1292</v>
      </c>
      <c r="J789">
        <v>31</v>
      </c>
      <c r="K789" t="s">
        <v>1563</v>
      </c>
    </row>
    <row r="790" spans="1:11">
      <c r="A790" t="s">
        <v>1293</v>
      </c>
      <c r="B790" t="s">
        <v>35</v>
      </c>
      <c r="C790" t="s">
        <v>23</v>
      </c>
      <c r="D790">
        <v>331</v>
      </c>
      <c r="E790" s="4">
        <v>46062</v>
      </c>
      <c r="F790" s="4">
        <v>46072</v>
      </c>
      <c r="G790" s="4">
        <v>46078</v>
      </c>
      <c r="H790">
        <v>328</v>
      </c>
      <c r="I790" t="s">
        <v>1294</v>
      </c>
      <c r="J790">
        <v>7</v>
      </c>
      <c r="K790" t="s">
        <v>1563</v>
      </c>
    </row>
    <row r="791" spans="1:11">
      <c r="A791" t="s">
        <v>1295</v>
      </c>
      <c r="B791" t="s">
        <v>177</v>
      </c>
      <c r="C791" t="s">
        <v>16</v>
      </c>
      <c r="D791">
        <v>412</v>
      </c>
      <c r="E791" s="4">
        <v>46168</v>
      </c>
      <c r="F791" s="4">
        <v>46173</v>
      </c>
      <c r="G791" s="4">
        <v>46173</v>
      </c>
      <c r="H791">
        <v>414</v>
      </c>
      <c r="I791" t="s">
        <v>1296</v>
      </c>
      <c r="J791">
        <v>8</v>
      </c>
      <c r="K791" t="s">
        <v>1563</v>
      </c>
    </row>
    <row r="792" spans="1:11">
      <c r="A792" t="s">
        <v>1297</v>
      </c>
      <c r="B792" t="s">
        <v>81</v>
      </c>
      <c r="C792" t="s">
        <v>16</v>
      </c>
      <c r="D792">
        <v>571</v>
      </c>
      <c r="E792" s="4">
        <v>46051</v>
      </c>
      <c r="F792" s="4">
        <v>46059</v>
      </c>
      <c r="G792" s="4">
        <v>46060</v>
      </c>
      <c r="H792">
        <v>500</v>
      </c>
      <c r="I792" t="s">
        <v>405</v>
      </c>
      <c r="J792">
        <v>7</v>
      </c>
      <c r="K792" t="s">
        <v>1563</v>
      </c>
    </row>
    <row r="793" spans="1:11">
      <c r="A793" t="s">
        <v>1298</v>
      </c>
      <c r="B793" t="s">
        <v>19</v>
      </c>
      <c r="C793" t="s">
        <v>16</v>
      </c>
      <c r="D793">
        <v>795</v>
      </c>
      <c r="E793" s="4">
        <v>46075</v>
      </c>
      <c r="F793" s="4">
        <v>46089</v>
      </c>
      <c r="G793" s="4">
        <v>46087</v>
      </c>
      <c r="H793">
        <v>808</v>
      </c>
      <c r="I793" t="s">
        <v>1299</v>
      </c>
      <c r="J793">
        <v>7</v>
      </c>
      <c r="K793" t="s">
        <v>1563</v>
      </c>
    </row>
    <row r="794" spans="1:11">
      <c r="A794" t="s">
        <v>1300</v>
      </c>
      <c r="B794" t="s">
        <v>40</v>
      </c>
      <c r="C794" t="s">
        <v>16</v>
      </c>
      <c r="D794">
        <v>384</v>
      </c>
      <c r="E794" s="4">
        <v>46172</v>
      </c>
      <c r="F794" s="4">
        <v>46185</v>
      </c>
      <c r="G794" s="4">
        <v>46184</v>
      </c>
      <c r="H794">
        <v>387</v>
      </c>
      <c r="I794" t="s">
        <v>874</v>
      </c>
      <c r="J794">
        <v>14</v>
      </c>
      <c r="K794" t="s">
        <v>1563</v>
      </c>
    </row>
    <row r="795" spans="1:11">
      <c r="A795" t="s">
        <v>1301</v>
      </c>
      <c r="B795" t="s">
        <v>100</v>
      </c>
      <c r="C795" t="s">
        <v>16</v>
      </c>
      <c r="D795">
        <v>223</v>
      </c>
      <c r="E795" s="4">
        <v>46061</v>
      </c>
      <c r="F795" s="4">
        <v>46073</v>
      </c>
      <c r="G795" s="4">
        <v>46075</v>
      </c>
      <c r="H795">
        <v>227</v>
      </c>
      <c r="I795" t="s">
        <v>1302</v>
      </c>
      <c r="J795">
        <v>7</v>
      </c>
      <c r="K795" t="s">
        <v>1563</v>
      </c>
    </row>
    <row r="796" spans="1:11">
      <c r="A796" t="s">
        <v>1303</v>
      </c>
      <c r="B796" t="s">
        <v>29</v>
      </c>
      <c r="C796" t="s">
        <v>23</v>
      </c>
      <c r="D796">
        <v>520</v>
      </c>
      <c r="E796" s="4">
        <v>46163</v>
      </c>
      <c r="F796" s="4">
        <v>46170</v>
      </c>
      <c r="G796" s="4">
        <v>46168</v>
      </c>
      <c r="H796">
        <v>516</v>
      </c>
      <c r="I796" t="s">
        <v>894</v>
      </c>
      <c r="J796">
        <v>1</v>
      </c>
      <c r="K796" t="s">
        <v>1563</v>
      </c>
    </row>
    <row r="797" spans="1:11">
      <c r="A797" t="s">
        <v>1304</v>
      </c>
      <c r="B797" t="s">
        <v>40</v>
      </c>
      <c r="C797" t="s">
        <v>12</v>
      </c>
      <c r="D797">
        <v>772</v>
      </c>
      <c r="E797" s="4">
        <v>46070</v>
      </c>
      <c r="F797" s="4">
        <v>46080</v>
      </c>
      <c r="G797" s="4">
        <v>46082</v>
      </c>
      <c r="H797">
        <v>762</v>
      </c>
      <c r="I797" t="s">
        <v>349</v>
      </c>
      <c r="J797">
        <v>46</v>
      </c>
      <c r="K797" t="s">
        <v>1563</v>
      </c>
    </row>
    <row r="798" spans="1:11">
      <c r="A798" t="s">
        <v>1305</v>
      </c>
      <c r="B798" t="s">
        <v>19</v>
      </c>
      <c r="C798" t="s">
        <v>16</v>
      </c>
      <c r="D798">
        <v>183</v>
      </c>
      <c r="E798" s="4">
        <v>46042</v>
      </c>
      <c r="F798" s="4">
        <v>46047</v>
      </c>
      <c r="G798" s="4">
        <v>46053</v>
      </c>
      <c r="H798">
        <v>170</v>
      </c>
      <c r="I798" t="s">
        <v>1306</v>
      </c>
      <c r="J798">
        <v>8</v>
      </c>
      <c r="K798" t="s">
        <v>1563</v>
      </c>
    </row>
    <row r="799" spans="1:11">
      <c r="A799" t="s">
        <v>1307</v>
      </c>
      <c r="B799" t="s">
        <v>64</v>
      </c>
      <c r="C799" t="s">
        <v>16</v>
      </c>
      <c r="D799">
        <v>92</v>
      </c>
      <c r="E799" s="4">
        <v>46129</v>
      </c>
      <c r="F799" s="4">
        <v>46140</v>
      </c>
      <c r="G799" s="4"/>
      <c r="I799" t="s">
        <v>398</v>
      </c>
      <c r="K799" t="s">
        <v>1565</v>
      </c>
    </row>
    <row r="800" spans="1:11">
      <c r="A800" t="s">
        <v>1308</v>
      </c>
      <c r="B800" t="s">
        <v>19</v>
      </c>
      <c r="C800" t="s">
        <v>23</v>
      </c>
      <c r="D800">
        <v>422</v>
      </c>
      <c r="E800" s="4">
        <v>46141</v>
      </c>
      <c r="F800" s="4">
        <v>46148</v>
      </c>
      <c r="G800" s="4">
        <v>46146</v>
      </c>
      <c r="H800">
        <v>428</v>
      </c>
      <c r="I800" t="s">
        <v>47</v>
      </c>
      <c r="J800">
        <v>23</v>
      </c>
      <c r="K800" t="s">
        <v>1563</v>
      </c>
    </row>
    <row r="801" spans="1:11">
      <c r="A801" t="s">
        <v>1309</v>
      </c>
      <c r="B801" t="s">
        <v>54</v>
      </c>
      <c r="C801" t="s">
        <v>16</v>
      </c>
      <c r="D801">
        <v>191</v>
      </c>
      <c r="E801" s="4">
        <v>46088</v>
      </c>
      <c r="F801" s="4">
        <v>46099</v>
      </c>
      <c r="G801" s="4">
        <v>46097</v>
      </c>
      <c r="H801">
        <v>189</v>
      </c>
      <c r="I801" t="s">
        <v>432</v>
      </c>
      <c r="J801">
        <v>3</v>
      </c>
      <c r="K801" t="s">
        <v>1563</v>
      </c>
    </row>
    <row r="802" spans="1:11">
      <c r="A802" t="s">
        <v>1310</v>
      </c>
      <c r="B802" t="s">
        <v>40</v>
      </c>
      <c r="C802" t="s">
        <v>16</v>
      </c>
      <c r="D802">
        <v>842</v>
      </c>
      <c r="E802" s="4">
        <v>46143</v>
      </c>
      <c r="F802" s="4">
        <v>46153</v>
      </c>
      <c r="G802" s="4">
        <v>46160</v>
      </c>
      <c r="H802">
        <v>831</v>
      </c>
      <c r="I802" t="s">
        <v>757</v>
      </c>
      <c r="J802">
        <v>79</v>
      </c>
      <c r="K802" t="s">
        <v>1563</v>
      </c>
    </row>
    <row r="803" spans="1:11">
      <c r="A803" t="s">
        <v>1311</v>
      </c>
      <c r="B803" t="s">
        <v>81</v>
      </c>
      <c r="C803" t="s">
        <v>12</v>
      </c>
      <c r="D803">
        <v>183</v>
      </c>
      <c r="E803" s="4">
        <v>46114</v>
      </c>
      <c r="F803" s="4">
        <v>46120</v>
      </c>
      <c r="G803" s="4">
        <v>46127</v>
      </c>
      <c r="H803">
        <v>186</v>
      </c>
      <c r="I803" t="s">
        <v>312</v>
      </c>
      <c r="J803">
        <v>2</v>
      </c>
      <c r="K803" t="s">
        <v>1563</v>
      </c>
    </row>
    <row r="804" spans="1:11">
      <c r="A804" t="s">
        <v>1312</v>
      </c>
      <c r="B804" t="s">
        <v>43</v>
      </c>
      <c r="C804" t="s">
        <v>12</v>
      </c>
      <c r="D804">
        <v>822</v>
      </c>
      <c r="E804" s="4">
        <v>46170</v>
      </c>
      <c r="F804" s="4">
        <v>46177</v>
      </c>
      <c r="G804" s="4">
        <v>46176</v>
      </c>
      <c r="H804">
        <v>820</v>
      </c>
      <c r="I804" t="s">
        <v>140</v>
      </c>
      <c r="J804">
        <v>1</v>
      </c>
      <c r="K804" t="s">
        <v>1563</v>
      </c>
    </row>
    <row r="805" spans="1:11">
      <c r="A805" t="s">
        <v>1313</v>
      </c>
      <c r="B805" t="s">
        <v>64</v>
      </c>
      <c r="C805" t="s">
        <v>16</v>
      </c>
      <c r="D805">
        <v>368</v>
      </c>
      <c r="E805" s="4">
        <v>46117</v>
      </c>
      <c r="F805" s="4">
        <v>46124</v>
      </c>
      <c r="G805" s="4">
        <v>46126</v>
      </c>
      <c r="H805">
        <v>337</v>
      </c>
      <c r="I805" t="s">
        <v>1314</v>
      </c>
      <c r="J805">
        <v>2</v>
      </c>
      <c r="K805" t="s">
        <v>1563</v>
      </c>
    </row>
    <row r="806" spans="1:11">
      <c r="A806" t="s">
        <v>1315</v>
      </c>
      <c r="B806" t="s">
        <v>120</v>
      </c>
      <c r="C806" t="s">
        <v>12</v>
      </c>
      <c r="D806">
        <v>327</v>
      </c>
      <c r="E806" s="4">
        <v>46113</v>
      </c>
      <c r="F806" s="4">
        <v>46118</v>
      </c>
      <c r="G806" s="4">
        <v>46117</v>
      </c>
      <c r="H806">
        <v>333</v>
      </c>
      <c r="I806" t="s">
        <v>1316</v>
      </c>
      <c r="J806">
        <v>18</v>
      </c>
      <c r="K806" t="s">
        <v>1563</v>
      </c>
    </row>
    <row r="807" spans="1:11">
      <c r="A807" t="s">
        <v>1317</v>
      </c>
      <c r="B807" t="s">
        <v>11</v>
      </c>
      <c r="C807" t="s">
        <v>16</v>
      </c>
      <c r="D807">
        <v>673</v>
      </c>
      <c r="E807" s="4">
        <v>46045</v>
      </c>
      <c r="F807" s="4">
        <v>46052</v>
      </c>
      <c r="G807" s="4">
        <v>46052</v>
      </c>
      <c r="H807">
        <v>561</v>
      </c>
      <c r="I807" t="s">
        <v>401</v>
      </c>
      <c r="J807">
        <v>12</v>
      </c>
      <c r="K807" t="s">
        <v>1563</v>
      </c>
    </row>
    <row r="808" spans="1:11">
      <c r="A808" t="s">
        <v>1318</v>
      </c>
      <c r="B808" t="s">
        <v>43</v>
      </c>
      <c r="C808" t="s">
        <v>12</v>
      </c>
      <c r="D808">
        <v>819</v>
      </c>
      <c r="E808" s="4">
        <v>46093</v>
      </c>
      <c r="F808" s="4">
        <v>46104</v>
      </c>
      <c r="G808" s="4">
        <v>46104</v>
      </c>
      <c r="H808">
        <v>819</v>
      </c>
      <c r="I808" t="s">
        <v>486</v>
      </c>
      <c r="J808">
        <v>16</v>
      </c>
      <c r="K808" t="s">
        <v>1563</v>
      </c>
    </row>
    <row r="809" spans="1:11">
      <c r="A809" t="s">
        <v>1319</v>
      </c>
      <c r="B809" t="s">
        <v>64</v>
      </c>
      <c r="C809" t="s">
        <v>12</v>
      </c>
      <c r="D809">
        <v>256</v>
      </c>
      <c r="E809" s="4">
        <v>46171</v>
      </c>
      <c r="F809" s="4">
        <v>46183</v>
      </c>
      <c r="G809" s="4">
        <v>46182</v>
      </c>
      <c r="H809">
        <v>240</v>
      </c>
      <c r="I809" t="s">
        <v>819</v>
      </c>
      <c r="J809">
        <v>10</v>
      </c>
      <c r="K809" t="s">
        <v>1563</v>
      </c>
    </row>
    <row r="810" spans="1:11">
      <c r="A810" t="s">
        <v>1320</v>
      </c>
      <c r="B810" t="s">
        <v>100</v>
      </c>
      <c r="C810" t="s">
        <v>16</v>
      </c>
      <c r="D810">
        <v>557</v>
      </c>
      <c r="E810" s="4">
        <v>46059</v>
      </c>
      <c r="F810" s="4">
        <v>46067</v>
      </c>
      <c r="G810" s="4">
        <v>46067</v>
      </c>
      <c r="H810">
        <v>563</v>
      </c>
      <c r="I810" t="s">
        <v>1302</v>
      </c>
      <c r="J810">
        <v>16</v>
      </c>
      <c r="K810" t="s">
        <v>1563</v>
      </c>
    </row>
    <row r="811" spans="1:11">
      <c r="A811" t="s">
        <v>1321</v>
      </c>
      <c r="B811" t="s">
        <v>43</v>
      </c>
      <c r="C811" t="s">
        <v>12</v>
      </c>
      <c r="D811">
        <v>826</v>
      </c>
      <c r="E811" s="4">
        <v>46049</v>
      </c>
      <c r="F811" s="4">
        <v>46054</v>
      </c>
      <c r="G811" s="4">
        <v>46051</v>
      </c>
      <c r="H811">
        <v>821</v>
      </c>
      <c r="I811" t="s">
        <v>191</v>
      </c>
      <c r="J811">
        <v>59</v>
      </c>
      <c r="K811" t="s">
        <v>1563</v>
      </c>
    </row>
    <row r="812" spans="1:11">
      <c r="A812" t="s">
        <v>1322</v>
      </c>
      <c r="B812" t="s">
        <v>54</v>
      </c>
      <c r="C812" t="s">
        <v>12</v>
      </c>
      <c r="D812">
        <v>911</v>
      </c>
      <c r="E812" s="4">
        <v>46112</v>
      </c>
      <c r="F812" s="4">
        <v>46119</v>
      </c>
      <c r="G812" s="4">
        <v>46117</v>
      </c>
      <c r="H812">
        <v>921</v>
      </c>
      <c r="I812" t="s">
        <v>931</v>
      </c>
      <c r="J812">
        <v>16</v>
      </c>
      <c r="K812" t="s">
        <v>1563</v>
      </c>
    </row>
    <row r="813" spans="1:11">
      <c r="A813" t="s">
        <v>1323</v>
      </c>
      <c r="B813" t="s">
        <v>11</v>
      </c>
      <c r="C813" t="s">
        <v>16</v>
      </c>
      <c r="D813">
        <v>380</v>
      </c>
      <c r="E813" s="4">
        <v>46038</v>
      </c>
      <c r="F813" s="4">
        <v>46043</v>
      </c>
      <c r="G813" s="4">
        <v>46043</v>
      </c>
      <c r="H813">
        <v>372</v>
      </c>
      <c r="I813" t="s">
        <v>815</v>
      </c>
      <c r="J813">
        <v>10</v>
      </c>
      <c r="K813" t="s">
        <v>1563</v>
      </c>
    </row>
    <row r="814" spans="1:11">
      <c r="A814" t="s">
        <v>1324</v>
      </c>
      <c r="B814" t="s">
        <v>54</v>
      </c>
      <c r="C814" t="s">
        <v>12</v>
      </c>
      <c r="D814">
        <v>89</v>
      </c>
      <c r="E814" s="4">
        <v>46040</v>
      </c>
      <c r="F814" s="4">
        <v>46045</v>
      </c>
      <c r="G814" s="4">
        <v>46049</v>
      </c>
      <c r="H814">
        <v>90</v>
      </c>
      <c r="I814" t="s">
        <v>38</v>
      </c>
      <c r="J814">
        <v>2</v>
      </c>
      <c r="K814" t="s">
        <v>1563</v>
      </c>
    </row>
    <row r="815" spans="1:11">
      <c r="A815" t="s">
        <v>1325</v>
      </c>
      <c r="B815" t="s">
        <v>81</v>
      </c>
      <c r="C815" t="s">
        <v>16</v>
      </c>
      <c r="D815">
        <v>356</v>
      </c>
      <c r="E815" s="4">
        <v>46150</v>
      </c>
      <c r="F815" s="4">
        <v>46156</v>
      </c>
      <c r="G815" s="4">
        <v>46156</v>
      </c>
      <c r="H815">
        <v>351</v>
      </c>
      <c r="I815" t="s">
        <v>490</v>
      </c>
      <c r="J815">
        <v>3</v>
      </c>
      <c r="K815" t="s">
        <v>1563</v>
      </c>
    </row>
    <row r="816" spans="1:11">
      <c r="A816" t="s">
        <v>1326</v>
      </c>
      <c r="B816" t="s">
        <v>81</v>
      </c>
      <c r="C816" t="s">
        <v>16</v>
      </c>
      <c r="D816">
        <v>155</v>
      </c>
      <c r="E816" s="4">
        <v>46045</v>
      </c>
      <c r="F816" s="4">
        <v>46051</v>
      </c>
      <c r="G816" s="4">
        <v>46051</v>
      </c>
      <c r="H816">
        <v>154</v>
      </c>
      <c r="I816" t="s">
        <v>1292</v>
      </c>
      <c r="J816">
        <v>1</v>
      </c>
      <c r="K816" t="s">
        <v>1563</v>
      </c>
    </row>
    <row r="817" spans="1:11">
      <c r="A817" t="s">
        <v>1327</v>
      </c>
      <c r="B817" t="s">
        <v>54</v>
      </c>
      <c r="C817" t="s">
        <v>12</v>
      </c>
      <c r="D817">
        <v>269</v>
      </c>
      <c r="E817" s="4">
        <v>46118</v>
      </c>
      <c r="F817" s="4">
        <v>46129</v>
      </c>
      <c r="G817" s="4">
        <v>46128</v>
      </c>
      <c r="H817">
        <v>265</v>
      </c>
      <c r="I817" t="s">
        <v>670</v>
      </c>
      <c r="J817">
        <v>6</v>
      </c>
      <c r="K817" t="s">
        <v>1563</v>
      </c>
    </row>
    <row r="818" spans="1:11">
      <c r="A818" t="s">
        <v>1328</v>
      </c>
      <c r="B818" t="s">
        <v>64</v>
      </c>
      <c r="C818" t="s">
        <v>23</v>
      </c>
      <c r="D818">
        <v>259</v>
      </c>
      <c r="E818" s="4">
        <v>46051</v>
      </c>
      <c r="F818" s="4">
        <v>46062</v>
      </c>
      <c r="G818" s="4">
        <v>46070</v>
      </c>
      <c r="H818">
        <v>242</v>
      </c>
      <c r="I818" t="s">
        <v>33</v>
      </c>
      <c r="J818">
        <v>6</v>
      </c>
      <c r="K818" t="s">
        <v>1563</v>
      </c>
    </row>
    <row r="819" spans="1:11">
      <c r="A819" t="s">
        <v>1329</v>
      </c>
      <c r="B819" t="s">
        <v>100</v>
      </c>
      <c r="C819" t="s">
        <v>16</v>
      </c>
      <c r="D819">
        <v>636</v>
      </c>
      <c r="E819" s="4">
        <v>46111</v>
      </c>
      <c r="F819" s="4">
        <v>46118</v>
      </c>
      <c r="G819" s="4">
        <v>46118</v>
      </c>
      <c r="H819">
        <v>646</v>
      </c>
      <c r="I819" t="s">
        <v>1331</v>
      </c>
      <c r="J819">
        <v>14</v>
      </c>
      <c r="K819" t="s">
        <v>1563</v>
      </c>
    </row>
    <row r="820" spans="1:11">
      <c r="A820" t="s">
        <v>1332</v>
      </c>
      <c r="B820" t="s">
        <v>11</v>
      </c>
      <c r="C820" t="s">
        <v>23</v>
      </c>
      <c r="D820">
        <v>339</v>
      </c>
      <c r="E820" s="4">
        <v>46133</v>
      </c>
      <c r="F820" s="4">
        <v>46142</v>
      </c>
      <c r="G820" s="4">
        <v>46140</v>
      </c>
      <c r="H820">
        <v>322</v>
      </c>
      <c r="I820" t="s">
        <v>771</v>
      </c>
      <c r="J820">
        <v>11</v>
      </c>
      <c r="K820" t="s">
        <v>1563</v>
      </c>
    </row>
    <row r="821" spans="1:11">
      <c r="A821" t="s">
        <v>1333</v>
      </c>
      <c r="B821" t="s">
        <v>22</v>
      </c>
      <c r="C821" t="s">
        <v>16</v>
      </c>
      <c r="D821">
        <v>388</v>
      </c>
      <c r="E821" s="4">
        <v>46099</v>
      </c>
      <c r="F821" s="4">
        <v>46114</v>
      </c>
      <c r="G821" s="4">
        <v>46112</v>
      </c>
      <c r="H821">
        <v>385</v>
      </c>
      <c r="I821" t="s">
        <v>1331</v>
      </c>
      <c r="J821">
        <v>32</v>
      </c>
      <c r="K821" t="s">
        <v>1563</v>
      </c>
    </row>
    <row r="822" spans="1:11">
      <c r="A822" t="s">
        <v>1334</v>
      </c>
      <c r="B822" t="s">
        <v>46</v>
      </c>
      <c r="C822" t="s">
        <v>16</v>
      </c>
      <c r="D822">
        <v>499</v>
      </c>
      <c r="E822" s="4">
        <v>46155</v>
      </c>
      <c r="F822" s="4">
        <v>46169</v>
      </c>
      <c r="G822" s="4">
        <v>46167</v>
      </c>
      <c r="H822">
        <v>502</v>
      </c>
      <c r="I822" t="s">
        <v>529</v>
      </c>
      <c r="J822">
        <v>48</v>
      </c>
      <c r="K822" t="s">
        <v>1563</v>
      </c>
    </row>
    <row r="823" spans="1:11">
      <c r="A823" t="s">
        <v>1335</v>
      </c>
      <c r="B823" t="s">
        <v>43</v>
      </c>
      <c r="C823" t="s">
        <v>23</v>
      </c>
      <c r="D823">
        <v>298</v>
      </c>
      <c r="E823" s="4">
        <v>46160</v>
      </c>
      <c r="F823" s="4">
        <v>46175</v>
      </c>
      <c r="G823" s="4">
        <v>46174</v>
      </c>
      <c r="H823">
        <v>297</v>
      </c>
      <c r="I823" t="s">
        <v>82</v>
      </c>
      <c r="J823">
        <v>5</v>
      </c>
      <c r="K823" t="s">
        <v>1563</v>
      </c>
    </row>
    <row r="824" spans="1:11">
      <c r="A824" t="s">
        <v>1336</v>
      </c>
      <c r="B824" t="s">
        <v>52</v>
      </c>
      <c r="C824" t="s">
        <v>23</v>
      </c>
      <c r="D824">
        <v>427</v>
      </c>
      <c r="E824" s="4">
        <v>46092</v>
      </c>
      <c r="F824" s="4">
        <v>46100</v>
      </c>
      <c r="G824" s="4">
        <v>46098</v>
      </c>
      <c r="H824">
        <v>421</v>
      </c>
      <c r="I824" t="s">
        <v>1337</v>
      </c>
      <c r="J824">
        <v>10</v>
      </c>
      <c r="K824" t="s">
        <v>1563</v>
      </c>
    </row>
    <row r="825" spans="1:11">
      <c r="A825" t="s">
        <v>1338</v>
      </c>
      <c r="B825" t="s">
        <v>26</v>
      </c>
      <c r="C825" t="s">
        <v>12</v>
      </c>
      <c r="D825">
        <v>388</v>
      </c>
      <c r="E825" s="4">
        <v>46173</v>
      </c>
      <c r="F825" s="4">
        <v>46180</v>
      </c>
      <c r="G825" s="4">
        <v>46178</v>
      </c>
      <c r="H825">
        <v>384</v>
      </c>
      <c r="I825" t="s">
        <v>148</v>
      </c>
      <c r="J825">
        <v>5</v>
      </c>
      <c r="K825" t="s">
        <v>1563</v>
      </c>
    </row>
    <row r="826" spans="1:11">
      <c r="A826" t="s">
        <v>1339</v>
      </c>
      <c r="B826" t="s">
        <v>43</v>
      </c>
      <c r="C826" t="s">
        <v>23</v>
      </c>
      <c r="D826">
        <v>755</v>
      </c>
      <c r="E826" s="4">
        <v>46046</v>
      </c>
      <c r="F826" s="4">
        <v>46052</v>
      </c>
      <c r="G826" s="4">
        <v>46057</v>
      </c>
      <c r="H826">
        <v>765</v>
      </c>
      <c r="I826" t="s">
        <v>894</v>
      </c>
      <c r="J826">
        <v>45</v>
      </c>
      <c r="K826" t="s">
        <v>1563</v>
      </c>
    </row>
    <row r="827" spans="1:11">
      <c r="A827" t="s">
        <v>1340</v>
      </c>
      <c r="B827" t="s">
        <v>54</v>
      </c>
      <c r="C827" t="s">
        <v>16</v>
      </c>
      <c r="D827">
        <v>607</v>
      </c>
      <c r="E827" s="4">
        <v>46040</v>
      </c>
      <c r="F827" s="4">
        <v>46054</v>
      </c>
      <c r="G827" s="4">
        <v>46052</v>
      </c>
      <c r="H827">
        <v>605</v>
      </c>
      <c r="I827" t="s">
        <v>848</v>
      </c>
      <c r="J827">
        <v>4</v>
      </c>
      <c r="K827" t="s">
        <v>1563</v>
      </c>
    </row>
    <row r="828" spans="1:11">
      <c r="A828" t="s">
        <v>1341</v>
      </c>
      <c r="B828" t="s">
        <v>177</v>
      </c>
      <c r="C828" t="s">
        <v>12</v>
      </c>
      <c r="D828">
        <v>202</v>
      </c>
      <c r="E828" s="4">
        <v>46137</v>
      </c>
      <c r="F828" s="4">
        <v>46143</v>
      </c>
      <c r="G828" s="4">
        <v>46142</v>
      </c>
      <c r="H828">
        <v>200</v>
      </c>
      <c r="I828" t="s">
        <v>156</v>
      </c>
      <c r="J828">
        <v>8</v>
      </c>
      <c r="K828" t="s">
        <v>1563</v>
      </c>
    </row>
    <row r="829" spans="1:11">
      <c r="A829" t="s">
        <v>1342</v>
      </c>
      <c r="B829" t="s">
        <v>67</v>
      </c>
      <c r="C829" t="s">
        <v>12</v>
      </c>
      <c r="D829">
        <v>718</v>
      </c>
      <c r="E829" s="4">
        <v>46084</v>
      </c>
      <c r="F829" s="4">
        <v>46095</v>
      </c>
      <c r="G829" s="4">
        <v>46098</v>
      </c>
      <c r="H829">
        <v>708</v>
      </c>
      <c r="I829" t="s">
        <v>84</v>
      </c>
      <c r="J829">
        <v>9</v>
      </c>
      <c r="K829" t="s">
        <v>1563</v>
      </c>
    </row>
    <row r="830" spans="1:11">
      <c r="A830" t="s">
        <v>1343</v>
      </c>
      <c r="B830" t="s">
        <v>43</v>
      </c>
      <c r="C830" t="s">
        <v>16</v>
      </c>
      <c r="D830">
        <v>319</v>
      </c>
      <c r="E830" s="4">
        <v>46057</v>
      </c>
      <c r="F830" s="4">
        <v>46066</v>
      </c>
      <c r="G830" s="4">
        <v>46072</v>
      </c>
      <c r="H830">
        <v>319</v>
      </c>
      <c r="I830" t="s">
        <v>815</v>
      </c>
      <c r="J830">
        <v>1</v>
      </c>
      <c r="K830" t="s">
        <v>1563</v>
      </c>
    </row>
    <row r="831" spans="1:11">
      <c r="A831" t="s">
        <v>1344</v>
      </c>
      <c r="B831" t="s">
        <v>81</v>
      </c>
      <c r="C831" t="s">
        <v>12</v>
      </c>
      <c r="D831">
        <v>342</v>
      </c>
      <c r="E831" s="4">
        <v>46099</v>
      </c>
      <c r="F831" s="4">
        <v>46106</v>
      </c>
      <c r="G831" s="4">
        <v>46106</v>
      </c>
      <c r="H831">
        <v>344</v>
      </c>
      <c r="I831" t="s">
        <v>167</v>
      </c>
      <c r="J831">
        <v>1</v>
      </c>
      <c r="K831" t="s">
        <v>1563</v>
      </c>
    </row>
    <row r="832" spans="1:11">
      <c r="A832" t="s">
        <v>1345</v>
      </c>
      <c r="B832" t="s">
        <v>67</v>
      </c>
      <c r="C832" t="s">
        <v>16</v>
      </c>
      <c r="D832">
        <v>691</v>
      </c>
      <c r="E832" s="4">
        <v>46092</v>
      </c>
      <c r="F832" s="4">
        <v>46101</v>
      </c>
      <c r="G832" s="4">
        <v>46100</v>
      </c>
      <c r="H832">
        <v>565</v>
      </c>
      <c r="I832" t="s">
        <v>426</v>
      </c>
      <c r="J832">
        <v>6</v>
      </c>
      <c r="K832" t="s">
        <v>1563</v>
      </c>
    </row>
    <row r="833" spans="1:11">
      <c r="A833" t="s">
        <v>1346</v>
      </c>
      <c r="B833" t="s">
        <v>46</v>
      </c>
      <c r="C833" t="s">
        <v>16</v>
      </c>
      <c r="D833">
        <v>498</v>
      </c>
      <c r="E833" s="4">
        <v>46080</v>
      </c>
      <c r="F833" s="4">
        <v>46086</v>
      </c>
      <c r="G833" s="4">
        <v>46083</v>
      </c>
      <c r="H833">
        <v>497</v>
      </c>
      <c r="I833" t="s">
        <v>1347</v>
      </c>
      <c r="J833">
        <v>13</v>
      </c>
      <c r="K833" t="s">
        <v>1563</v>
      </c>
    </row>
    <row r="834" spans="1:11">
      <c r="A834" t="s">
        <v>1348</v>
      </c>
      <c r="B834" t="s">
        <v>64</v>
      </c>
      <c r="C834" t="s">
        <v>12</v>
      </c>
      <c r="D834">
        <v>817</v>
      </c>
      <c r="E834" s="4">
        <v>46122</v>
      </c>
      <c r="F834" s="4">
        <v>46135</v>
      </c>
      <c r="G834" s="4">
        <v>46134</v>
      </c>
      <c r="H834">
        <v>815</v>
      </c>
      <c r="I834" t="s">
        <v>310</v>
      </c>
      <c r="J834">
        <v>37</v>
      </c>
      <c r="K834" t="s">
        <v>1563</v>
      </c>
    </row>
    <row r="835" spans="1:11">
      <c r="A835" t="s">
        <v>1349</v>
      </c>
      <c r="B835" t="s">
        <v>32</v>
      </c>
      <c r="C835" t="s">
        <v>16</v>
      </c>
      <c r="D835">
        <v>361</v>
      </c>
      <c r="E835" s="4">
        <v>46037</v>
      </c>
      <c r="F835" s="4">
        <v>46046</v>
      </c>
      <c r="G835" s="4"/>
      <c r="I835" t="s">
        <v>484</v>
      </c>
      <c r="K835" t="s">
        <v>1565</v>
      </c>
    </row>
    <row r="836" spans="1:11">
      <c r="A836" t="s">
        <v>1350</v>
      </c>
      <c r="B836" t="s">
        <v>22</v>
      </c>
      <c r="C836" t="s">
        <v>12</v>
      </c>
      <c r="D836">
        <v>971</v>
      </c>
      <c r="E836" s="4">
        <v>46081</v>
      </c>
      <c r="F836" s="4">
        <v>46092</v>
      </c>
      <c r="G836" s="4">
        <v>46089</v>
      </c>
      <c r="H836">
        <v>897</v>
      </c>
      <c r="I836" t="s">
        <v>407</v>
      </c>
      <c r="J836">
        <v>3</v>
      </c>
      <c r="K836" t="s">
        <v>1563</v>
      </c>
    </row>
    <row r="837" spans="1:11">
      <c r="A837" t="s">
        <v>1351</v>
      </c>
      <c r="B837" t="s">
        <v>26</v>
      </c>
      <c r="C837" t="s">
        <v>16</v>
      </c>
      <c r="D837">
        <v>778</v>
      </c>
      <c r="E837" s="4">
        <v>46039</v>
      </c>
      <c r="F837" s="4">
        <v>46050</v>
      </c>
      <c r="G837" s="4">
        <v>46050</v>
      </c>
      <c r="H837">
        <v>788</v>
      </c>
      <c r="I837" t="s">
        <v>1352</v>
      </c>
      <c r="J837">
        <v>17</v>
      </c>
      <c r="K837" t="s">
        <v>1563</v>
      </c>
    </row>
    <row r="838" spans="1:11">
      <c r="A838" t="s">
        <v>1353</v>
      </c>
      <c r="B838" t="s">
        <v>26</v>
      </c>
      <c r="C838" t="s">
        <v>12</v>
      </c>
      <c r="D838">
        <v>617</v>
      </c>
      <c r="E838" s="4">
        <v>46116</v>
      </c>
      <c r="F838" s="4">
        <v>46124</v>
      </c>
      <c r="G838" s="4">
        <v>46122</v>
      </c>
      <c r="H838">
        <v>559</v>
      </c>
      <c r="I838" t="s">
        <v>714</v>
      </c>
      <c r="J838">
        <v>15</v>
      </c>
      <c r="K838" t="s">
        <v>1563</v>
      </c>
    </row>
    <row r="839" spans="1:11">
      <c r="A839" t="s">
        <v>1355</v>
      </c>
      <c r="B839" t="s">
        <v>11</v>
      </c>
      <c r="C839" t="s">
        <v>12</v>
      </c>
      <c r="D839">
        <v>675</v>
      </c>
      <c r="E839" s="4">
        <v>46056</v>
      </c>
      <c r="F839" s="4">
        <v>46071</v>
      </c>
      <c r="G839" s="4">
        <v>46079</v>
      </c>
      <c r="H839">
        <v>686</v>
      </c>
      <c r="I839" t="s">
        <v>407</v>
      </c>
      <c r="J839">
        <v>8</v>
      </c>
      <c r="K839" t="s">
        <v>1563</v>
      </c>
    </row>
    <row r="840" spans="1:11">
      <c r="A840" t="s">
        <v>1356</v>
      </c>
      <c r="B840" t="s">
        <v>19</v>
      </c>
      <c r="C840" t="s">
        <v>16</v>
      </c>
      <c r="D840">
        <v>89</v>
      </c>
      <c r="E840" s="4">
        <v>46065</v>
      </c>
      <c r="F840" s="4">
        <v>46079</v>
      </c>
      <c r="G840" s="4">
        <v>46079</v>
      </c>
      <c r="H840">
        <v>87</v>
      </c>
      <c r="I840" t="s">
        <v>1357</v>
      </c>
      <c r="J840">
        <v>2</v>
      </c>
      <c r="K840" t="s">
        <v>1563</v>
      </c>
    </row>
    <row r="841" spans="1:11">
      <c r="A841" t="s">
        <v>1358</v>
      </c>
      <c r="B841" t="s">
        <v>67</v>
      </c>
      <c r="C841" t="s">
        <v>16</v>
      </c>
      <c r="D841">
        <v>702</v>
      </c>
      <c r="E841" s="4">
        <v>46168</v>
      </c>
      <c r="F841" s="4">
        <v>46182</v>
      </c>
      <c r="G841" s="4">
        <v>46180</v>
      </c>
      <c r="H841">
        <v>691</v>
      </c>
      <c r="I841" t="s">
        <v>1359</v>
      </c>
      <c r="J841">
        <v>39</v>
      </c>
      <c r="K841" t="s">
        <v>1563</v>
      </c>
    </row>
    <row r="842" spans="1:11">
      <c r="A842" t="s">
        <v>1360</v>
      </c>
      <c r="B842" t="s">
        <v>67</v>
      </c>
      <c r="C842" t="s">
        <v>12</v>
      </c>
      <c r="D842">
        <v>407</v>
      </c>
      <c r="E842" s="4">
        <v>46129</v>
      </c>
      <c r="F842" s="4">
        <v>46144</v>
      </c>
      <c r="G842" s="4">
        <v>46144</v>
      </c>
      <c r="H842">
        <v>413</v>
      </c>
      <c r="I842" t="s">
        <v>38</v>
      </c>
      <c r="J842">
        <v>3</v>
      </c>
      <c r="K842" t="s">
        <v>1563</v>
      </c>
    </row>
    <row r="843" spans="1:11">
      <c r="A843" t="s">
        <v>1361</v>
      </c>
      <c r="B843" t="s">
        <v>67</v>
      </c>
      <c r="C843" t="s">
        <v>12</v>
      </c>
      <c r="D843">
        <v>427</v>
      </c>
      <c r="E843" s="4">
        <v>46158</v>
      </c>
      <c r="F843" s="4">
        <v>46164</v>
      </c>
      <c r="G843" s="4">
        <v>46164</v>
      </c>
      <c r="H843">
        <v>426</v>
      </c>
      <c r="I843" t="s">
        <v>1043</v>
      </c>
      <c r="J843">
        <v>2</v>
      </c>
      <c r="K843" t="s">
        <v>1563</v>
      </c>
    </row>
    <row r="844" spans="1:11">
      <c r="A844" t="s">
        <v>1362</v>
      </c>
      <c r="B844" t="s">
        <v>100</v>
      </c>
      <c r="C844" t="s">
        <v>23</v>
      </c>
      <c r="D844">
        <v>605</v>
      </c>
      <c r="E844" s="4">
        <v>46129</v>
      </c>
      <c r="F844" s="4">
        <v>46134</v>
      </c>
      <c r="G844" s="4">
        <v>46133</v>
      </c>
      <c r="H844">
        <v>605</v>
      </c>
      <c r="I844" t="s">
        <v>86</v>
      </c>
      <c r="J844">
        <v>21</v>
      </c>
      <c r="K844" t="s">
        <v>1563</v>
      </c>
    </row>
    <row r="845" spans="1:11">
      <c r="A845" t="s">
        <v>1363</v>
      </c>
      <c r="B845" t="s">
        <v>26</v>
      </c>
      <c r="C845" t="s">
        <v>16</v>
      </c>
      <c r="D845">
        <v>451</v>
      </c>
      <c r="E845" s="4">
        <v>46135</v>
      </c>
      <c r="F845" s="4">
        <v>46150</v>
      </c>
      <c r="G845" s="4">
        <v>46150</v>
      </c>
      <c r="H845">
        <v>444</v>
      </c>
      <c r="I845" t="s">
        <v>666</v>
      </c>
      <c r="J845">
        <v>0</v>
      </c>
      <c r="K845" t="s">
        <v>1563</v>
      </c>
    </row>
    <row r="846" spans="1:11">
      <c r="A846" t="s">
        <v>1364</v>
      </c>
      <c r="B846" t="s">
        <v>70</v>
      </c>
      <c r="C846" t="s">
        <v>16</v>
      </c>
      <c r="D846">
        <v>684</v>
      </c>
      <c r="E846" s="4">
        <v>46137</v>
      </c>
      <c r="F846" s="4">
        <v>46143</v>
      </c>
      <c r="G846" s="4">
        <v>46141</v>
      </c>
      <c r="H846">
        <v>676</v>
      </c>
      <c r="I846" t="s">
        <v>1365</v>
      </c>
      <c r="J846">
        <v>2</v>
      </c>
      <c r="K846" t="s">
        <v>1563</v>
      </c>
    </row>
    <row r="847" spans="1:11">
      <c r="A847" t="s">
        <v>1366</v>
      </c>
      <c r="B847" t="s">
        <v>22</v>
      </c>
      <c r="C847" t="s">
        <v>12</v>
      </c>
      <c r="D847">
        <v>760</v>
      </c>
      <c r="E847" s="4">
        <v>46052</v>
      </c>
      <c r="F847" s="4">
        <v>46062</v>
      </c>
      <c r="G847" s="4">
        <v>46063</v>
      </c>
      <c r="H847">
        <v>771</v>
      </c>
      <c r="I847" t="s">
        <v>625</v>
      </c>
      <c r="J847">
        <v>15</v>
      </c>
      <c r="K847" t="s">
        <v>1563</v>
      </c>
    </row>
    <row r="848" spans="1:11">
      <c r="A848" t="s">
        <v>1367</v>
      </c>
      <c r="B848" t="s">
        <v>19</v>
      </c>
      <c r="C848" t="s">
        <v>16</v>
      </c>
      <c r="D848">
        <v>482</v>
      </c>
      <c r="E848" s="4">
        <v>46174</v>
      </c>
      <c r="F848" s="4">
        <v>46189</v>
      </c>
      <c r="G848" s="4">
        <v>46188</v>
      </c>
      <c r="H848">
        <v>485</v>
      </c>
      <c r="I848" t="s">
        <v>978</v>
      </c>
      <c r="J848">
        <v>5</v>
      </c>
      <c r="K848" t="s">
        <v>1563</v>
      </c>
    </row>
    <row r="849" spans="1:11">
      <c r="A849" t="s">
        <v>1368</v>
      </c>
      <c r="B849" t="s">
        <v>22</v>
      </c>
      <c r="C849" t="s">
        <v>12</v>
      </c>
      <c r="D849">
        <v>750</v>
      </c>
      <c r="E849" s="4">
        <v>46136</v>
      </c>
      <c r="F849" s="4">
        <v>46143</v>
      </c>
      <c r="G849" s="4">
        <v>46147</v>
      </c>
      <c r="H849">
        <v>747</v>
      </c>
      <c r="I849" t="s">
        <v>700</v>
      </c>
      <c r="J849">
        <v>58</v>
      </c>
      <c r="K849" t="s">
        <v>1563</v>
      </c>
    </row>
    <row r="850" spans="1:11">
      <c r="A850" t="s">
        <v>1369</v>
      </c>
      <c r="B850" t="s">
        <v>11</v>
      </c>
      <c r="C850" t="s">
        <v>12</v>
      </c>
      <c r="D850">
        <v>487</v>
      </c>
      <c r="E850" s="4">
        <v>46155</v>
      </c>
      <c r="F850" s="4">
        <v>46162</v>
      </c>
      <c r="G850" s="4">
        <v>46163</v>
      </c>
      <c r="H850">
        <v>492</v>
      </c>
      <c r="I850" t="s">
        <v>1370</v>
      </c>
      <c r="J850">
        <v>7</v>
      </c>
      <c r="K850" t="s">
        <v>1563</v>
      </c>
    </row>
    <row r="851" spans="1:11">
      <c r="A851" t="s">
        <v>1371</v>
      </c>
      <c r="B851" t="s">
        <v>49</v>
      </c>
      <c r="C851" t="s">
        <v>12</v>
      </c>
      <c r="D851">
        <v>226</v>
      </c>
      <c r="E851" s="4">
        <v>46100</v>
      </c>
      <c r="F851" s="4">
        <v>46113</v>
      </c>
      <c r="G851" s="4">
        <v>46112</v>
      </c>
      <c r="H851">
        <v>228</v>
      </c>
      <c r="I851" t="s">
        <v>807</v>
      </c>
      <c r="J851">
        <v>1</v>
      </c>
      <c r="K851" t="s">
        <v>1563</v>
      </c>
    </row>
    <row r="852" spans="1:11">
      <c r="A852" t="s">
        <v>1372</v>
      </c>
      <c r="B852" t="s">
        <v>100</v>
      </c>
      <c r="C852" t="s">
        <v>16</v>
      </c>
      <c r="D852">
        <v>992</v>
      </c>
      <c r="E852" s="4">
        <v>46063</v>
      </c>
      <c r="F852" s="4">
        <v>46077</v>
      </c>
      <c r="G852" s="4">
        <v>46077</v>
      </c>
      <c r="H852">
        <v>1007</v>
      </c>
      <c r="I852" t="s">
        <v>1373</v>
      </c>
      <c r="J852">
        <v>19</v>
      </c>
      <c r="K852" t="s">
        <v>1563</v>
      </c>
    </row>
    <row r="853" spans="1:11">
      <c r="A853" t="s">
        <v>1374</v>
      </c>
      <c r="B853" t="s">
        <v>70</v>
      </c>
      <c r="C853" t="s">
        <v>16</v>
      </c>
      <c r="D853">
        <v>735</v>
      </c>
      <c r="E853" s="4">
        <v>46102</v>
      </c>
      <c r="F853" s="4">
        <v>46116</v>
      </c>
      <c r="G853" s="4">
        <v>46122</v>
      </c>
      <c r="H853">
        <v>603</v>
      </c>
      <c r="I853" t="s">
        <v>650</v>
      </c>
      <c r="J853">
        <v>1</v>
      </c>
      <c r="K853" t="s">
        <v>1563</v>
      </c>
    </row>
    <row r="854" spans="1:11">
      <c r="A854" t="s">
        <v>1375</v>
      </c>
      <c r="B854" t="s">
        <v>70</v>
      </c>
      <c r="C854" t="s">
        <v>23</v>
      </c>
      <c r="D854">
        <v>432</v>
      </c>
      <c r="E854" s="4">
        <v>46099</v>
      </c>
      <c r="F854" s="4">
        <v>46111</v>
      </c>
      <c r="G854" s="4">
        <v>46120</v>
      </c>
      <c r="H854">
        <v>431</v>
      </c>
      <c r="I854" t="s">
        <v>1376</v>
      </c>
      <c r="J854">
        <v>9</v>
      </c>
      <c r="K854" t="s">
        <v>1563</v>
      </c>
    </row>
    <row r="855" spans="1:11">
      <c r="A855" t="s">
        <v>1377</v>
      </c>
      <c r="B855" t="s">
        <v>43</v>
      </c>
      <c r="C855" t="s">
        <v>16</v>
      </c>
      <c r="D855">
        <v>737</v>
      </c>
      <c r="E855" s="4">
        <v>46154</v>
      </c>
      <c r="F855" s="4">
        <v>46162</v>
      </c>
      <c r="G855" s="4">
        <v>46161</v>
      </c>
      <c r="H855">
        <v>729</v>
      </c>
      <c r="I855" t="s">
        <v>1160</v>
      </c>
      <c r="J855">
        <v>32</v>
      </c>
      <c r="K855" t="s">
        <v>1563</v>
      </c>
    </row>
    <row r="856" spans="1:11">
      <c r="A856" t="s">
        <v>1378</v>
      </c>
      <c r="B856" t="s">
        <v>54</v>
      </c>
      <c r="C856" t="s">
        <v>12</v>
      </c>
      <c r="D856">
        <v>391</v>
      </c>
      <c r="E856" s="4">
        <v>46176</v>
      </c>
      <c r="F856" s="4">
        <v>46185</v>
      </c>
      <c r="G856" s="4">
        <v>46189</v>
      </c>
      <c r="H856">
        <v>386</v>
      </c>
      <c r="I856" t="s">
        <v>520</v>
      </c>
      <c r="J856">
        <v>8</v>
      </c>
      <c r="K856" t="s">
        <v>1563</v>
      </c>
    </row>
    <row r="857" spans="1:11">
      <c r="A857" t="s">
        <v>1379</v>
      </c>
      <c r="B857" t="s">
        <v>11</v>
      </c>
      <c r="C857" t="s">
        <v>16</v>
      </c>
      <c r="D857">
        <v>314</v>
      </c>
      <c r="E857" s="4">
        <v>46112</v>
      </c>
      <c r="F857" s="4">
        <v>46122</v>
      </c>
      <c r="G857" s="4">
        <v>46122</v>
      </c>
      <c r="H857">
        <v>260</v>
      </c>
      <c r="I857" t="s">
        <v>1380</v>
      </c>
      <c r="J857">
        <v>1</v>
      </c>
      <c r="K857" t="s">
        <v>1563</v>
      </c>
    </row>
    <row r="858" spans="1:11">
      <c r="A858" t="s">
        <v>1381</v>
      </c>
      <c r="B858" t="s">
        <v>43</v>
      </c>
      <c r="C858" t="s">
        <v>23</v>
      </c>
      <c r="D858">
        <v>627</v>
      </c>
      <c r="E858" s="4">
        <v>46036</v>
      </c>
      <c r="F858" s="4">
        <v>46042</v>
      </c>
      <c r="G858" s="4">
        <v>46050</v>
      </c>
      <c r="H858">
        <v>636</v>
      </c>
      <c r="I858" t="s">
        <v>1382</v>
      </c>
      <c r="J858">
        <v>15</v>
      </c>
      <c r="K858" t="s">
        <v>1563</v>
      </c>
    </row>
    <row r="859" spans="1:11">
      <c r="A859" t="s">
        <v>1383</v>
      </c>
      <c r="B859" t="s">
        <v>29</v>
      </c>
      <c r="C859" t="s">
        <v>16</v>
      </c>
      <c r="D859">
        <v>495</v>
      </c>
      <c r="E859" s="4">
        <v>46068</v>
      </c>
      <c r="F859" s="4">
        <v>46082</v>
      </c>
      <c r="G859" s="4">
        <v>46079</v>
      </c>
      <c r="H859">
        <v>501</v>
      </c>
      <c r="I859" t="s">
        <v>1227</v>
      </c>
      <c r="J859">
        <v>2</v>
      </c>
      <c r="K859" t="s">
        <v>1563</v>
      </c>
    </row>
    <row r="860" spans="1:11">
      <c r="A860" t="s">
        <v>1384</v>
      </c>
      <c r="B860" t="s">
        <v>67</v>
      </c>
      <c r="C860" t="s">
        <v>12</v>
      </c>
      <c r="D860">
        <v>869</v>
      </c>
      <c r="E860" s="4">
        <v>46061</v>
      </c>
      <c r="F860" s="4">
        <v>46070</v>
      </c>
      <c r="G860" s="4"/>
      <c r="I860" t="s">
        <v>204</v>
      </c>
      <c r="K860" t="s">
        <v>1565</v>
      </c>
    </row>
    <row r="861" spans="1:11">
      <c r="A861" t="s">
        <v>1385</v>
      </c>
      <c r="B861" t="s">
        <v>64</v>
      </c>
      <c r="C861" t="s">
        <v>23</v>
      </c>
      <c r="D861">
        <v>332</v>
      </c>
      <c r="E861" s="4">
        <v>46081</v>
      </c>
      <c r="F861" s="4">
        <v>46087</v>
      </c>
      <c r="G861" s="4">
        <v>46088</v>
      </c>
      <c r="H861">
        <v>338</v>
      </c>
      <c r="I861" t="s">
        <v>1387</v>
      </c>
      <c r="J861">
        <v>25</v>
      </c>
      <c r="K861" t="s">
        <v>1563</v>
      </c>
    </row>
    <row r="862" spans="1:11">
      <c r="A862" t="s">
        <v>1388</v>
      </c>
      <c r="B862" t="s">
        <v>120</v>
      </c>
      <c r="C862" t="s">
        <v>12</v>
      </c>
      <c r="D862">
        <v>427</v>
      </c>
      <c r="E862" s="4">
        <v>46102</v>
      </c>
      <c r="F862" s="4">
        <v>46109</v>
      </c>
      <c r="G862" s="4">
        <v>46107</v>
      </c>
      <c r="H862">
        <v>359</v>
      </c>
      <c r="I862" t="s">
        <v>1098</v>
      </c>
      <c r="J862">
        <v>6</v>
      </c>
      <c r="K862" t="s">
        <v>1563</v>
      </c>
    </row>
    <row r="863" spans="1:11">
      <c r="A863" t="s">
        <v>1389</v>
      </c>
      <c r="B863" t="s">
        <v>32</v>
      </c>
      <c r="C863" t="s">
        <v>12</v>
      </c>
      <c r="D863">
        <v>914</v>
      </c>
      <c r="E863" s="4">
        <v>46147</v>
      </c>
      <c r="F863" s="4">
        <v>46159</v>
      </c>
      <c r="G863" s="4">
        <v>46158</v>
      </c>
      <c r="H863">
        <v>910</v>
      </c>
      <c r="I863" t="s">
        <v>175</v>
      </c>
      <c r="J863">
        <v>63</v>
      </c>
      <c r="K863" t="s">
        <v>1563</v>
      </c>
    </row>
    <row r="864" spans="1:11">
      <c r="A864" t="s">
        <v>1390</v>
      </c>
      <c r="B864" t="s">
        <v>43</v>
      </c>
      <c r="C864" t="s">
        <v>16</v>
      </c>
      <c r="D864">
        <v>517</v>
      </c>
      <c r="E864" s="4">
        <v>46092</v>
      </c>
      <c r="F864" s="4">
        <v>46100</v>
      </c>
      <c r="G864" s="4">
        <v>46100</v>
      </c>
      <c r="H864">
        <v>519</v>
      </c>
      <c r="I864" t="s">
        <v>484</v>
      </c>
      <c r="J864">
        <v>26</v>
      </c>
      <c r="K864" t="s">
        <v>1563</v>
      </c>
    </row>
    <row r="865" spans="1:11">
      <c r="A865" t="s">
        <v>1391</v>
      </c>
      <c r="B865" t="s">
        <v>22</v>
      </c>
      <c r="C865" t="s">
        <v>23</v>
      </c>
      <c r="D865">
        <v>833</v>
      </c>
      <c r="E865" s="4">
        <v>46080</v>
      </c>
      <c r="F865" s="4">
        <v>46088</v>
      </c>
      <c r="G865" s="4">
        <v>46088</v>
      </c>
      <c r="H865">
        <v>840</v>
      </c>
      <c r="I865" t="s">
        <v>726</v>
      </c>
      <c r="J865">
        <v>28</v>
      </c>
      <c r="K865" t="s">
        <v>1563</v>
      </c>
    </row>
    <row r="866" spans="1:11">
      <c r="A866" t="s">
        <v>1392</v>
      </c>
      <c r="B866" t="s">
        <v>70</v>
      </c>
      <c r="C866" t="s">
        <v>12</v>
      </c>
      <c r="D866">
        <v>771</v>
      </c>
      <c r="E866" s="4">
        <v>46157</v>
      </c>
      <c r="F866" s="4">
        <v>46164</v>
      </c>
      <c r="G866" s="4">
        <v>46164</v>
      </c>
      <c r="H866">
        <v>756</v>
      </c>
      <c r="I866" t="s">
        <v>129</v>
      </c>
      <c r="J866">
        <v>12</v>
      </c>
      <c r="K866" t="s">
        <v>1563</v>
      </c>
    </row>
    <row r="867" spans="1:11">
      <c r="A867" t="s">
        <v>1393</v>
      </c>
      <c r="B867" t="s">
        <v>70</v>
      </c>
      <c r="C867" t="s">
        <v>16</v>
      </c>
      <c r="D867">
        <v>963</v>
      </c>
      <c r="E867" s="4">
        <v>46042</v>
      </c>
      <c r="F867" s="4">
        <v>46048</v>
      </c>
      <c r="G867" s="4">
        <v>46055</v>
      </c>
      <c r="H867">
        <v>979</v>
      </c>
      <c r="I867" t="s">
        <v>643</v>
      </c>
      <c r="J867">
        <v>20</v>
      </c>
      <c r="K867" t="s">
        <v>1563</v>
      </c>
    </row>
    <row r="868" spans="1:11">
      <c r="A868" t="s">
        <v>1394</v>
      </c>
      <c r="B868" t="s">
        <v>54</v>
      </c>
      <c r="C868" t="s">
        <v>16</v>
      </c>
      <c r="D868">
        <v>284</v>
      </c>
      <c r="E868" s="4">
        <v>46152</v>
      </c>
      <c r="F868" s="4">
        <v>46166</v>
      </c>
      <c r="G868" s="4">
        <v>46173</v>
      </c>
      <c r="H868">
        <v>282</v>
      </c>
      <c r="I868" t="s">
        <v>277</v>
      </c>
      <c r="J868">
        <v>2</v>
      </c>
      <c r="K868" t="s">
        <v>1563</v>
      </c>
    </row>
    <row r="869" spans="1:11">
      <c r="A869" t="s">
        <v>1395</v>
      </c>
      <c r="B869" t="s">
        <v>64</v>
      </c>
      <c r="C869" t="s">
        <v>16</v>
      </c>
      <c r="D869">
        <v>814</v>
      </c>
      <c r="E869" s="4">
        <v>46110</v>
      </c>
      <c r="F869" s="4">
        <v>46116</v>
      </c>
      <c r="G869" s="4">
        <v>46122</v>
      </c>
      <c r="H869">
        <v>819</v>
      </c>
      <c r="I869" t="s">
        <v>1396</v>
      </c>
      <c r="J869">
        <v>14</v>
      </c>
      <c r="K869" t="s">
        <v>1563</v>
      </c>
    </row>
    <row r="870" spans="1:11">
      <c r="A870" t="s">
        <v>1397</v>
      </c>
      <c r="B870" t="s">
        <v>177</v>
      </c>
      <c r="C870" t="s">
        <v>12</v>
      </c>
      <c r="D870">
        <v>638</v>
      </c>
      <c r="E870" s="4">
        <v>46042</v>
      </c>
      <c r="F870" s="4">
        <v>46049</v>
      </c>
      <c r="G870" s="4">
        <v>46048</v>
      </c>
      <c r="H870">
        <v>627</v>
      </c>
      <c r="I870" t="s">
        <v>212</v>
      </c>
      <c r="J870">
        <v>32</v>
      </c>
      <c r="K870" t="s">
        <v>1563</v>
      </c>
    </row>
    <row r="871" spans="1:11">
      <c r="A871" t="s">
        <v>1398</v>
      </c>
      <c r="B871" t="s">
        <v>46</v>
      </c>
      <c r="C871" t="s">
        <v>23</v>
      </c>
      <c r="D871">
        <v>879</v>
      </c>
      <c r="E871" s="4">
        <v>46091</v>
      </c>
      <c r="F871" s="4">
        <v>46098</v>
      </c>
      <c r="G871" s="4">
        <v>46096</v>
      </c>
      <c r="H871">
        <v>885</v>
      </c>
      <c r="I871" t="s">
        <v>878</v>
      </c>
      <c r="J871">
        <v>6</v>
      </c>
      <c r="K871" t="s">
        <v>1563</v>
      </c>
    </row>
    <row r="872" spans="1:11">
      <c r="A872" t="s">
        <v>1399</v>
      </c>
      <c r="B872" t="s">
        <v>54</v>
      </c>
      <c r="C872" t="s">
        <v>16</v>
      </c>
      <c r="D872">
        <v>151</v>
      </c>
      <c r="E872" s="4">
        <v>46090</v>
      </c>
      <c r="F872" s="4">
        <v>46095</v>
      </c>
      <c r="G872" s="4">
        <v>46093</v>
      </c>
      <c r="H872">
        <v>151</v>
      </c>
      <c r="I872" t="s">
        <v>1400</v>
      </c>
      <c r="J872">
        <v>2</v>
      </c>
      <c r="K872" t="s">
        <v>1563</v>
      </c>
    </row>
    <row r="873" spans="1:11">
      <c r="A873" t="s">
        <v>1401</v>
      </c>
      <c r="B873" t="s">
        <v>40</v>
      </c>
      <c r="C873" t="s">
        <v>23</v>
      </c>
      <c r="D873">
        <v>188</v>
      </c>
      <c r="E873" s="4">
        <v>46083</v>
      </c>
      <c r="F873" s="4">
        <v>46094</v>
      </c>
      <c r="G873" s="4">
        <v>46092</v>
      </c>
      <c r="H873">
        <v>168</v>
      </c>
      <c r="I873" t="s">
        <v>1402</v>
      </c>
      <c r="J873">
        <v>7</v>
      </c>
      <c r="K873" t="s">
        <v>1563</v>
      </c>
    </row>
    <row r="874" spans="1:11">
      <c r="A874" t="s">
        <v>1403</v>
      </c>
      <c r="B874" t="s">
        <v>32</v>
      </c>
      <c r="C874" t="s">
        <v>16</v>
      </c>
      <c r="D874">
        <v>465</v>
      </c>
      <c r="E874" s="4">
        <v>46132</v>
      </c>
      <c r="F874" s="4">
        <v>46143</v>
      </c>
      <c r="G874" s="4">
        <v>46143</v>
      </c>
      <c r="H874">
        <v>382</v>
      </c>
      <c r="I874" t="s">
        <v>158</v>
      </c>
      <c r="J874">
        <v>28</v>
      </c>
      <c r="K874" t="s">
        <v>1563</v>
      </c>
    </row>
    <row r="875" spans="1:11">
      <c r="A875" t="s">
        <v>1404</v>
      </c>
      <c r="B875" t="s">
        <v>64</v>
      </c>
      <c r="C875" t="s">
        <v>16</v>
      </c>
      <c r="D875">
        <v>393</v>
      </c>
      <c r="E875" s="4">
        <v>46083</v>
      </c>
      <c r="F875" s="4">
        <v>46092</v>
      </c>
      <c r="G875" s="4">
        <v>46089</v>
      </c>
      <c r="H875">
        <v>388</v>
      </c>
      <c r="I875" t="s">
        <v>1227</v>
      </c>
      <c r="J875">
        <v>18</v>
      </c>
      <c r="K875" t="s">
        <v>1563</v>
      </c>
    </row>
    <row r="876" spans="1:11">
      <c r="A876" t="s">
        <v>1405</v>
      </c>
      <c r="B876" t="s">
        <v>49</v>
      </c>
      <c r="C876" t="s">
        <v>16</v>
      </c>
      <c r="D876">
        <v>298</v>
      </c>
      <c r="E876" s="4">
        <v>46111</v>
      </c>
      <c r="F876" s="4">
        <v>46116</v>
      </c>
      <c r="G876" s="4">
        <v>46113</v>
      </c>
      <c r="H876">
        <v>294</v>
      </c>
      <c r="I876" t="s">
        <v>805</v>
      </c>
      <c r="J876">
        <v>4</v>
      </c>
      <c r="K876" t="s">
        <v>1563</v>
      </c>
    </row>
    <row r="877" spans="1:11">
      <c r="A877" t="s">
        <v>1406</v>
      </c>
      <c r="B877" t="s">
        <v>67</v>
      </c>
      <c r="C877" t="s">
        <v>16</v>
      </c>
      <c r="D877">
        <v>493</v>
      </c>
      <c r="E877" s="4">
        <v>46063</v>
      </c>
      <c r="F877" s="4">
        <v>46070</v>
      </c>
      <c r="G877" s="4">
        <v>46068</v>
      </c>
      <c r="H877">
        <v>419</v>
      </c>
      <c r="I877" t="s">
        <v>1407</v>
      </c>
      <c r="J877">
        <v>19</v>
      </c>
      <c r="K877" t="s">
        <v>1563</v>
      </c>
    </row>
    <row r="878" spans="1:11">
      <c r="A878" t="s">
        <v>1408</v>
      </c>
      <c r="B878" t="s">
        <v>32</v>
      </c>
      <c r="C878" t="s">
        <v>16</v>
      </c>
      <c r="D878">
        <v>424</v>
      </c>
      <c r="E878" s="4">
        <v>46116</v>
      </c>
      <c r="F878" s="4">
        <v>46130</v>
      </c>
      <c r="G878" s="4">
        <v>46128</v>
      </c>
      <c r="H878">
        <v>371</v>
      </c>
      <c r="I878" t="s">
        <v>813</v>
      </c>
      <c r="J878">
        <v>18</v>
      </c>
      <c r="K878" t="s">
        <v>1563</v>
      </c>
    </row>
    <row r="879" spans="1:11">
      <c r="A879" t="s">
        <v>1409</v>
      </c>
      <c r="B879" t="s">
        <v>43</v>
      </c>
      <c r="C879" t="s">
        <v>12</v>
      </c>
      <c r="D879">
        <v>446</v>
      </c>
      <c r="E879" s="4">
        <v>46144</v>
      </c>
      <c r="F879" s="4">
        <v>46150</v>
      </c>
      <c r="G879" s="4">
        <v>46148</v>
      </c>
      <c r="H879">
        <v>446</v>
      </c>
      <c r="I879" t="s">
        <v>1244</v>
      </c>
      <c r="J879">
        <v>29</v>
      </c>
      <c r="K879" t="s">
        <v>1563</v>
      </c>
    </row>
    <row r="880" spans="1:11">
      <c r="A880" t="s">
        <v>1410</v>
      </c>
      <c r="B880" t="s">
        <v>177</v>
      </c>
      <c r="C880" t="s">
        <v>12</v>
      </c>
      <c r="D880">
        <v>296</v>
      </c>
      <c r="E880" s="4">
        <v>46105</v>
      </c>
      <c r="F880" s="4">
        <v>46117</v>
      </c>
      <c r="G880" s="4">
        <v>46115</v>
      </c>
      <c r="H880">
        <v>297</v>
      </c>
      <c r="I880" t="s">
        <v>221</v>
      </c>
      <c r="J880">
        <v>7</v>
      </c>
      <c r="K880" t="s">
        <v>1563</v>
      </c>
    </row>
    <row r="881" spans="1:11">
      <c r="A881" t="s">
        <v>1411</v>
      </c>
      <c r="B881" t="s">
        <v>40</v>
      </c>
      <c r="C881" t="s">
        <v>23</v>
      </c>
      <c r="D881">
        <v>885</v>
      </c>
      <c r="E881" s="4">
        <v>46147</v>
      </c>
      <c r="F881" s="4">
        <v>46156</v>
      </c>
      <c r="G881" s="4">
        <v>46154</v>
      </c>
      <c r="H881">
        <v>876</v>
      </c>
      <c r="I881" t="s">
        <v>824</v>
      </c>
      <c r="J881">
        <v>75</v>
      </c>
      <c r="K881" t="s">
        <v>1563</v>
      </c>
    </row>
    <row r="882" spans="1:11">
      <c r="A882" t="s">
        <v>1412</v>
      </c>
      <c r="B882" t="s">
        <v>70</v>
      </c>
      <c r="C882" t="s">
        <v>16</v>
      </c>
      <c r="D882">
        <v>900</v>
      </c>
      <c r="E882" s="4">
        <v>46135</v>
      </c>
      <c r="F882" s="4">
        <v>46145</v>
      </c>
      <c r="G882" s="4">
        <v>46144</v>
      </c>
      <c r="H882">
        <v>912</v>
      </c>
      <c r="I882" t="s">
        <v>904</v>
      </c>
      <c r="J882">
        <v>17</v>
      </c>
      <c r="K882" t="s">
        <v>1563</v>
      </c>
    </row>
    <row r="883" spans="1:11">
      <c r="A883" t="s">
        <v>1413</v>
      </c>
      <c r="B883" t="s">
        <v>29</v>
      </c>
      <c r="C883" t="s">
        <v>23</v>
      </c>
      <c r="D883">
        <v>565</v>
      </c>
      <c r="E883" s="4">
        <v>46150</v>
      </c>
      <c r="F883" s="4">
        <v>46163</v>
      </c>
      <c r="G883" s="4">
        <v>46163</v>
      </c>
      <c r="H883">
        <v>575</v>
      </c>
      <c r="I883" t="s">
        <v>1414</v>
      </c>
      <c r="J883">
        <v>3</v>
      </c>
      <c r="K883" t="s">
        <v>1563</v>
      </c>
    </row>
    <row r="884" spans="1:11">
      <c r="A884" t="s">
        <v>1415</v>
      </c>
      <c r="B884" t="s">
        <v>40</v>
      </c>
      <c r="C884" t="s">
        <v>16</v>
      </c>
      <c r="D884">
        <v>499</v>
      </c>
      <c r="E884" s="4">
        <v>46101</v>
      </c>
      <c r="F884" s="4">
        <v>46113</v>
      </c>
      <c r="G884" s="4">
        <v>46110</v>
      </c>
      <c r="H884">
        <v>493</v>
      </c>
      <c r="I884" t="s">
        <v>1290</v>
      </c>
      <c r="J884">
        <v>36</v>
      </c>
      <c r="K884" t="s">
        <v>1563</v>
      </c>
    </row>
    <row r="885" spans="1:11">
      <c r="A885" t="s">
        <v>1416</v>
      </c>
      <c r="B885" t="s">
        <v>29</v>
      </c>
      <c r="C885" t="s">
        <v>16</v>
      </c>
      <c r="D885">
        <v>774</v>
      </c>
      <c r="E885" s="4">
        <v>46067</v>
      </c>
      <c r="F885" s="4">
        <v>46073</v>
      </c>
      <c r="G885" s="4">
        <v>46079</v>
      </c>
      <c r="H885">
        <v>774</v>
      </c>
      <c r="I885" t="s">
        <v>1417</v>
      </c>
      <c r="J885">
        <v>2</v>
      </c>
      <c r="K885" t="s">
        <v>1563</v>
      </c>
    </row>
    <row r="886" spans="1:11">
      <c r="A886" t="s">
        <v>1418</v>
      </c>
      <c r="B886" t="s">
        <v>54</v>
      </c>
      <c r="C886" t="s">
        <v>16</v>
      </c>
      <c r="D886">
        <v>369</v>
      </c>
      <c r="E886" s="4">
        <v>46030</v>
      </c>
      <c r="F886" s="4">
        <v>46037</v>
      </c>
      <c r="G886" s="4">
        <v>46036</v>
      </c>
      <c r="H886">
        <v>313</v>
      </c>
      <c r="I886" t="s">
        <v>301</v>
      </c>
      <c r="J886">
        <v>7</v>
      </c>
      <c r="K886" t="s">
        <v>1563</v>
      </c>
    </row>
    <row r="887" spans="1:11">
      <c r="A887" t="s">
        <v>1419</v>
      </c>
      <c r="B887" t="s">
        <v>40</v>
      </c>
      <c r="C887" t="s">
        <v>16</v>
      </c>
      <c r="D887">
        <v>93</v>
      </c>
      <c r="E887" s="4">
        <v>46174</v>
      </c>
      <c r="F887" s="4">
        <v>46180</v>
      </c>
      <c r="G887" s="4">
        <v>46178</v>
      </c>
      <c r="H887">
        <v>94</v>
      </c>
      <c r="I887" t="s">
        <v>472</v>
      </c>
      <c r="J887">
        <v>5</v>
      </c>
      <c r="K887" t="s">
        <v>1563</v>
      </c>
    </row>
    <row r="888" spans="1:11">
      <c r="A888" t="s">
        <v>1420</v>
      </c>
      <c r="B888" t="s">
        <v>67</v>
      </c>
      <c r="C888" t="s">
        <v>12</v>
      </c>
      <c r="D888">
        <v>312</v>
      </c>
      <c r="E888" s="4">
        <v>46115</v>
      </c>
      <c r="F888" s="4">
        <v>46124</v>
      </c>
      <c r="G888" s="4">
        <v>46131</v>
      </c>
      <c r="H888">
        <v>308</v>
      </c>
      <c r="I888" t="s">
        <v>231</v>
      </c>
      <c r="J888">
        <v>7</v>
      </c>
      <c r="K888" t="s">
        <v>1563</v>
      </c>
    </row>
    <row r="889" spans="1:11">
      <c r="A889" t="s">
        <v>1422</v>
      </c>
      <c r="B889" t="s">
        <v>29</v>
      </c>
      <c r="C889" t="s">
        <v>16</v>
      </c>
      <c r="D889">
        <v>524</v>
      </c>
      <c r="E889" s="4">
        <v>46117</v>
      </c>
      <c r="F889" s="4">
        <v>46131</v>
      </c>
      <c r="G889" s="4">
        <v>46130</v>
      </c>
      <c r="H889">
        <v>481</v>
      </c>
      <c r="I889" t="s">
        <v>150</v>
      </c>
      <c r="J889">
        <v>6</v>
      </c>
      <c r="K889" t="s">
        <v>1563</v>
      </c>
    </row>
    <row r="890" spans="1:11">
      <c r="A890" t="s">
        <v>1423</v>
      </c>
      <c r="B890" t="s">
        <v>67</v>
      </c>
      <c r="C890" t="s">
        <v>23</v>
      </c>
      <c r="D890">
        <v>399</v>
      </c>
      <c r="E890" s="4">
        <v>46140</v>
      </c>
      <c r="F890" s="4">
        <v>46154</v>
      </c>
      <c r="G890" s="4">
        <v>46156</v>
      </c>
      <c r="H890">
        <v>394</v>
      </c>
      <c r="I890" t="s">
        <v>1376</v>
      </c>
      <c r="J890">
        <v>0</v>
      </c>
      <c r="K890" t="s">
        <v>1563</v>
      </c>
    </row>
    <row r="891" spans="1:11">
      <c r="A891" t="s">
        <v>1424</v>
      </c>
      <c r="B891" t="s">
        <v>70</v>
      </c>
      <c r="C891" t="s">
        <v>12</v>
      </c>
      <c r="D891">
        <v>385</v>
      </c>
      <c r="E891" s="4">
        <v>46135</v>
      </c>
      <c r="F891" s="4">
        <v>46142</v>
      </c>
      <c r="G891" s="4">
        <v>46143</v>
      </c>
      <c r="H891">
        <v>357</v>
      </c>
      <c r="I891" t="s">
        <v>105</v>
      </c>
      <c r="J891">
        <v>8</v>
      </c>
      <c r="K891" t="s">
        <v>1563</v>
      </c>
    </row>
    <row r="892" spans="1:11">
      <c r="A892" t="s">
        <v>1425</v>
      </c>
      <c r="B892" t="s">
        <v>52</v>
      </c>
      <c r="C892" t="s">
        <v>16</v>
      </c>
      <c r="D892">
        <v>948</v>
      </c>
      <c r="E892" s="4">
        <v>46102</v>
      </c>
      <c r="F892" s="4">
        <v>46111</v>
      </c>
      <c r="G892" s="4">
        <v>46111</v>
      </c>
      <c r="H892">
        <v>939</v>
      </c>
      <c r="I892" t="s">
        <v>1115</v>
      </c>
      <c r="J892">
        <v>1</v>
      </c>
      <c r="K892" t="s">
        <v>1563</v>
      </c>
    </row>
    <row r="893" spans="1:11">
      <c r="A893" t="s">
        <v>1426</v>
      </c>
      <c r="B893" t="s">
        <v>26</v>
      </c>
      <c r="C893" t="s">
        <v>16</v>
      </c>
      <c r="D893">
        <v>746</v>
      </c>
      <c r="E893" s="4">
        <v>46162</v>
      </c>
      <c r="F893" s="4">
        <v>46174</v>
      </c>
      <c r="G893" s="4">
        <v>46171</v>
      </c>
      <c r="H893">
        <v>737</v>
      </c>
      <c r="I893" t="s">
        <v>767</v>
      </c>
      <c r="J893">
        <v>1</v>
      </c>
      <c r="K893" t="s">
        <v>1563</v>
      </c>
    </row>
    <row r="894" spans="1:11">
      <c r="A894" t="s">
        <v>1427</v>
      </c>
      <c r="B894" t="s">
        <v>11</v>
      </c>
      <c r="C894" t="s">
        <v>16</v>
      </c>
      <c r="D894">
        <v>195</v>
      </c>
      <c r="E894" s="4">
        <v>46132</v>
      </c>
      <c r="F894" s="4">
        <v>46140</v>
      </c>
      <c r="G894" s="4">
        <v>46137</v>
      </c>
      <c r="H894">
        <v>195</v>
      </c>
      <c r="I894" t="s">
        <v>1061</v>
      </c>
      <c r="J894">
        <v>0</v>
      </c>
      <c r="K894" t="s">
        <v>1563</v>
      </c>
    </row>
    <row r="895" spans="1:11">
      <c r="A895" t="s">
        <v>1428</v>
      </c>
      <c r="B895" t="s">
        <v>49</v>
      </c>
      <c r="C895" t="s">
        <v>12</v>
      </c>
      <c r="D895">
        <v>606</v>
      </c>
      <c r="E895" s="4">
        <v>46134</v>
      </c>
      <c r="F895" s="4">
        <v>46145</v>
      </c>
      <c r="G895" s="4">
        <v>46145</v>
      </c>
      <c r="H895">
        <v>602</v>
      </c>
      <c r="I895" t="s">
        <v>605</v>
      </c>
      <c r="J895">
        <v>6</v>
      </c>
      <c r="K895" t="s">
        <v>1563</v>
      </c>
    </row>
    <row r="896" spans="1:11">
      <c r="A896" t="s">
        <v>1429</v>
      </c>
      <c r="B896" t="s">
        <v>54</v>
      </c>
      <c r="C896" t="s">
        <v>16</v>
      </c>
      <c r="D896">
        <v>975</v>
      </c>
      <c r="E896" s="4">
        <v>46051</v>
      </c>
      <c r="F896" s="4">
        <v>46057</v>
      </c>
      <c r="G896" s="4">
        <v>46062</v>
      </c>
      <c r="H896">
        <v>981</v>
      </c>
      <c r="I896" t="s">
        <v>1430</v>
      </c>
      <c r="J896">
        <v>10</v>
      </c>
      <c r="K896" t="s">
        <v>1563</v>
      </c>
    </row>
    <row r="897" spans="1:11">
      <c r="A897" t="s">
        <v>1431</v>
      </c>
      <c r="B897" t="s">
        <v>26</v>
      </c>
      <c r="C897" t="s">
        <v>16</v>
      </c>
      <c r="D897">
        <v>577</v>
      </c>
      <c r="E897" s="4">
        <v>46090</v>
      </c>
      <c r="F897" s="4">
        <v>46105</v>
      </c>
      <c r="G897" s="4">
        <v>46104</v>
      </c>
      <c r="H897">
        <v>548</v>
      </c>
      <c r="I897" t="s">
        <v>1256</v>
      </c>
      <c r="J897">
        <v>6</v>
      </c>
      <c r="K897" t="s">
        <v>1563</v>
      </c>
    </row>
    <row r="898" spans="1:11">
      <c r="A898" t="s">
        <v>1432</v>
      </c>
      <c r="B898" t="s">
        <v>29</v>
      </c>
      <c r="C898" t="s">
        <v>12</v>
      </c>
      <c r="D898">
        <v>319</v>
      </c>
      <c r="E898" s="4">
        <v>46082</v>
      </c>
      <c r="F898" s="4">
        <v>46096</v>
      </c>
      <c r="G898" s="4">
        <v>46093</v>
      </c>
      <c r="H898">
        <v>266</v>
      </c>
      <c r="I898" t="s">
        <v>44</v>
      </c>
      <c r="J898">
        <v>3</v>
      </c>
      <c r="K898" t="s">
        <v>1563</v>
      </c>
    </row>
    <row r="899" spans="1:11">
      <c r="A899" t="s">
        <v>1433</v>
      </c>
      <c r="B899" t="s">
        <v>70</v>
      </c>
      <c r="C899" t="s">
        <v>23</v>
      </c>
      <c r="D899">
        <v>803</v>
      </c>
      <c r="E899" s="4">
        <v>46171</v>
      </c>
      <c r="F899" s="4">
        <v>46184</v>
      </c>
      <c r="G899" s="4">
        <v>46184</v>
      </c>
      <c r="H899">
        <v>816</v>
      </c>
      <c r="I899" t="s">
        <v>296</v>
      </c>
      <c r="J899">
        <v>18</v>
      </c>
      <c r="K899" t="s">
        <v>1563</v>
      </c>
    </row>
    <row r="900" spans="1:11">
      <c r="A900" t="s">
        <v>1434</v>
      </c>
      <c r="B900" t="s">
        <v>40</v>
      </c>
      <c r="C900" t="s">
        <v>12</v>
      </c>
      <c r="D900">
        <v>615</v>
      </c>
      <c r="E900" s="4">
        <v>46046</v>
      </c>
      <c r="F900" s="4">
        <v>46060</v>
      </c>
      <c r="G900" s="4">
        <v>46065</v>
      </c>
      <c r="H900">
        <v>603</v>
      </c>
      <c r="I900" t="s">
        <v>645</v>
      </c>
      <c r="J900">
        <v>10</v>
      </c>
      <c r="K900" t="s">
        <v>1563</v>
      </c>
    </row>
    <row r="901" spans="1:11">
      <c r="A901" t="s">
        <v>1435</v>
      </c>
      <c r="B901" t="s">
        <v>43</v>
      </c>
      <c r="C901" t="s">
        <v>16</v>
      </c>
      <c r="D901">
        <v>322</v>
      </c>
      <c r="E901" s="4">
        <v>46045</v>
      </c>
      <c r="F901" s="4">
        <v>46060</v>
      </c>
      <c r="G901" s="4">
        <v>46058</v>
      </c>
      <c r="H901">
        <v>267</v>
      </c>
      <c r="I901" t="s">
        <v>1436</v>
      </c>
      <c r="J901">
        <v>12</v>
      </c>
      <c r="K901" t="s">
        <v>1563</v>
      </c>
    </row>
    <row r="902" spans="1:11">
      <c r="A902" t="s">
        <v>1437</v>
      </c>
      <c r="B902" t="s">
        <v>11</v>
      </c>
      <c r="C902" t="s">
        <v>16</v>
      </c>
      <c r="D902">
        <v>761</v>
      </c>
      <c r="E902" s="4">
        <v>46109</v>
      </c>
      <c r="F902" s="4">
        <v>46115</v>
      </c>
      <c r="G902" s="4">
        <v>46115</v>
      </c>
      <c r="H902">
        <v>759</v>
      </c>
      <c r="I902" t="s">
        <v>1347</v>
      </c>
      <c r="J902">
        <v>24</v>
      </c>
      <c r="K902" t="s">
        <v>1563</v>
      </c>
    </row>
    <row r="903" spans="1:11">
      <c r="A903" t="s">
        <v>1438</v>
      </c>
      <c r="B903" t="s">
        <v>120</v>
      </c>
      <c r="C903" t="s">
        <v>23</v>
      </c>
      <c r="D903">
        <v>872</v>
      </c>
      <c r="E903" s="4">
        <v>46093</v>
      </c>
      <c r="F903" s="4">
        <v>46099</v>
      </c>
      <c r="G903" s="4">
        <v>46097</v>
      </c>
      <c r="H903">
        <v>874</v>
      </c>
      <c r="I903" t="s">
        <v>201</v>
      </c>
      <c r="J903">
        <v>5</v>
      </c>
      <c r="K903" t="s">
        <v>1563</v>
      </c>
    </row>
    <row r="904" spans="1:11">
      <c r="A904" t="s">
        <v>1439</v>
      </c>
      <c r="B904" t="s">
        <v>67</v>
      </c>
      <c r="C904" t="s">
        <v>16</v>
      </c>
      <c r="D904">
        <v>749</v>
      </c>
      <c r="E904" s="4">
        <v>46115</v>
      </c>
      <c r="F904" s="4">
        <v>46121</v>
      </c>
      <c r="G904" s="4">
        <v>46118</v>
      </c>
      <c r="H904">
        <v>759</v>
      </c>
      <c r="I904" t="s">
        <v>1440</v>
      </c>
      <c r="J904">
        <v>5</v>
      </c>
      <c r="K904" t="s">
        <v>1563</v>
      </c>
    </row>
    <row r="905" spans="1:11">
      <c r="A905" t="s">
        <v>1441</v>
      </c>
      <c r="B905" t="s">
        <v>32</v>
      </c>
      <c r="C905" t="s">
        <v>23</v>
      </c>
      <c r="D905">
        <v>990</v>
      </c>
      <c r="E905" s="4">
        <v>46141</v>
      </c>
      <c r="F905" s="4">
        <v>46153</v>
      </c>
      <c r="G905" s="4">
        <v>46150</v>
      </c>
      <c r="H905">
        <v>978</v>
      </c>
      <c r="I905" t="s">
        <v>739</v>
      </c>
      <c r="J905">
        <v>58</v>
      </c>
      <c r="K905" t="s">
        <v>1563</v>
      </c>
    </row>
    <row r="906" spans="1:11">
      <c r="A906" t="s">
        <v>1442</v>
      </c>
      <c r="B906" t="s">
        <v>100</v>
      </c>
      <c r="C906" t="s">
        <v>16</v>
      </c>
      <c r="D906">
        <v>819</v>
      </c>
      <c r="E906" s="4">
        <v>46043</v>
      </c>
      <c r="F906" s="4">
        <v>46051</v>
      </c>
      <c r="G906" s="4">
        <v>46051</v>
      </c>
      <c r="H906">
        <v>805</v>
      </c>
      <c r="I906" t="s">
        <v>207</v>
      </c>
      <c r="J906">
        <v>18</v>
      </c>
      <c r="K906" t="s">
        <v>1563</v>
      </c>
    </row>
    <row r="907" spans="1:11">
      <c r="A907" t="s">
        <v>1443</v>
      </c>
      <c r="B907" t="s">
        <v>26</v>
      </c>
      <c r="C907" t="s">
        <v>16</v>
      </c>
      <c r="D907">
        <v>583</v>
      </c>
      <c r="E907" s="4">
        <v>46034</v>
      </c>
      <c r="F907" s="4">
        <v>46045</v>
      </c>
      <c r="G907" s="4">
        <v>46044</v>
      </c>
      <c r="H907">
        <v>586</v>
      </c>
      <c r="I907" t="s">
        <v>578</v>
      </c>
      <c r="J907">
        <v>8</v>
      </c>
      <c r="K907" t="s">
        <v>1563</v>
      </c>
    </row>
    <row r="908" spans="1:11">
      <c r="A908" t="s">
        <v>1444</v>
      </c>
      <c r="B908" t="s">
        <v>46</v>
      </c>
      <c r="C908" t="s">
        <v>12</v>
      </c>
      <c r="D908">
        <v>866</v>
      </c>
      <c r="E908" s="4">
        <v>46093</v>
      </c>
      <c r="F908" s="4">
        <v>46103</v>
      </c>
      <c r="G908" s="4">
        <v>46101</v>
      </c>
      <c r="H908">
        <v>881</v>
      </c>
      <c r="I908" t="s">
        <v>444</v>
      </c>
      <c r="J908">
        <v>6</v>
      </c>
      <c r="K908" t="s">
        <v>1563</v>
      </c>
    </row>
    <row r="909" spans="1:11">
      <c r="A909" t="s">
        <v>1445</v>
      </c>
      <c r="B909" t="s">
        <v>67</v>
      </c>
      <c r="C909" t="s">
        <v>23</v>
      </c>
      <c r="D909">
        <v>754</v>
      </c>
      <c r="E909" s="4">
        <v>46127</v>
      </c>
      <c r="F909" s="4">
        <v>46138</v>
      </c>
      <c r="G909" s="4">
        <v>46136</v>
      </c>
      <c r="H909">
        <v>740</v>
      </c>
      <c r="I909" t="s">
        <v>1446</v>
      </c>
      <c r="J909">
        <v>37</v>
      </c>
      <c r="K909" t="s">
        <v>1563</v>
      </c>
    </row>
    <row r="910" spans="1:11">
      <c r="A910" t="s">
        <v>1447</v>
      </c>
      <c r="B910" t="s">
        <v>54</v>
      </c>
      <c r="C910" t="s">
        <v>16</v>
      </c>
      <c r="D910">
        <v>760</v>
      </c>
      <c r="E910" s="4">
        <v>46103</v>
      </c>
      <c r="F910" s="4">
        <v>46110</v>
      </c>
      <c r="G910" s="4">
        <v>46115</v>
      </c>
      <c r="H910">
        <v>755</v>
      </c>
      <c r="I910" t="s">
        <v>1019</v>
      </c>
      <c r="J910">
        <v>5</v>
      </c>
      <c r="K910" t="s">
        <v>1563</v>
      </c>
    </row>
    <row r="911" spans="1:11">
      <c r="A911" t="s">
        <v>1448</v>
      </c>
      <c r="B911" t="s">
        <v>46</v>
      </c>
      <c r="C911" t="s">
        <v>16</v>
      </c>
      <c r="D911">
        <v>949</v>
      </c>
      <c r="E911" s="4">
        <v>46164</v>
      </c>
      <c r="F911" s="4">
        <v>46179</v>
      </c>
      <c r="G911" s="4">
        <v>46176</v>
      </c>
      <c r="H911">
        <v>965</v>
      </c>
      <c r="I911" t="s">
        <v>843</v>
      </c>
      <c r="J911">
        <v>49</v>
      </c>
      <c r="K911" t="s">
        <v>1563</v>
      </c>
    </row>
    <row r="912" spans="1:11">
      <c r="A912" t="s">
        <v>1449</v>
      </c>
      <c r="B912" t="s">
        <v>64</v>
      </c>
      <c r="C912" t="s">
        <v>12</v>
      </c>
      <c r="D912">
        <v>101</v>
      </c>
      <c r="E912" s="4">
        <v>46144</v>
      </c>
      <c r="F912" s="4">
        <v>46149</v>
      </c>
      <c r="G912" s="4">
        <v>46148</v>
      </c>
      <c r="H912">
        <v>103</v>
      </c>
      <c r="I912" t="s">
        <v>936</v>
      </c>
      <c r="J912">
        <v>6</v>
      </c>
      <c r="K912" t="s">
        <v>1563</v>
      </c>
    </row>
    <row r="913" spans="1:11">
      <c r="A913" t="s">
        <v>1450</v>
      </c>
      <c r="B913" t="s">
        <v>32</v>
      </c>
      <c r="C913" t="s">
        <v>23</v>
      </c>
      <c r="D913">
        <v>656</v>
      </c>
      <c r="E913" s="4">
        <v>46127</v>
      </c>
      <c r="F913" s="4">
        <v>46134</v>
      </c>
      <c r="G913" s="4">
        <v>46132</v>
      </c>
      <c r="H913">
        <v>555</v>
      </c>
      <c r="I913" t="s">
        <v>672</v>
      </c>
      <c r="J913">
        <v>9</v>
      </c>
      <c r="K913" t="s">
        <v>1563</v>
      </c>
    </row>
    <row r="914" spans="1:11">
      <c r="A914" t="s">
        <v>1451</v>
      </c>
      <c r="B914" t="s">
        <v>29</v>
      </c>
      <c r="C914" t="s">
        <v>16</v>
      </c>
      <c r="D914">
        <v>481</v>
      </c>
      <c r="E914" s="4">
        <v>46074</v>
      </c>
      <c r="F914" s="4">
        <v>46089</v>
      </c>
      <c r="G914" s="4">
        <v>46087</v>
      </c>
      <c r="H914">
        <v>463</v>
      </c>
      <c r="I914" t="s">
        <v>1090</v>
      </c>
      <c r="J914">
        <v>3</v>
      </c>
      <c r="K914" t="s">
        <v>1563</v>
      </c>
    </row>
    <row r="915" spans="1:11">
      <c r="A915" t="s">
        <v>1452</v>
      </c>
      <c r="B915" t="s">
        <v>19</v>
      </c>
      <c r="C915" t="s">
        <v>12</v>
      </c>
      <c r="D915">
        <v>868</v>
      </c>
      <c r="E915" s="4">
        <v>46155</v>
      </c>
      <c r="F915" s="4">
        <v>46170</v>
      </c>
      <c r="G915" s="4">
        <v>46170</v>
      </c>
      <c r="H915">
        <v>867</v>
      </c>
      <c r="I915" t="s">
        <v>821</v>
      </c>
      <c r="J915">
        <v>11</v>
      </c>
      <c r="K915" t="s">
        <v>1563</v>
      </c>
    </row>
    <row r="916" spans="1:11">
      <c r="A916" t="s">
        <v>1453</v>
      </c>
      <c r="B916" t="s">
        <v>40</v>
      </c>
      <c r="C916" t="s">
        <v>12</v>
      </c>
      <c r="D916">
        <v>734</v>
      </c>
      <c r="E916" s="4">
        <v>46051</v>
      </c>
      <c r="F916" s="4">
        <v>46062</v>
      </c>
      <c r="G916" s="4">
        <v>46063</v>
      </c>
      <c r="H916">
        <v>736</v>
      </c>
      <c r="I916" t="s">
        <v>167</v>
      </c>
      <c r="J916">
        <v>11</v>
      </c>
      <c r="K916" t="s">
        <v>1563</v>
      </c>
    </row>
    <row r="917" spans="1:11">
      <c r="A917" t="s">
        <v>1454</v>
      </c>
      <c r="B917" t="s">
        <v>54</v>
      </c>
      <c r="C917" t="s">
        <v>12</v>
      </c>
      <c r="D917">
        <v>532</v>
      </c>
      <c r="E917" s="4">
        <v>46054</v>
      </c>
      <c r="F917" s="4">
        <v>46059</v>
      </c>
      <c r="G917" s="4">
        <v>46062</v>
      </c>
      <c r="H917">
        <v>538</v>
      </c>
      <c r="I917" t="s">
        <v>1455</v>
      </c>
      <c r="J917">
        <v>1</v>
      </c>
      <c r="K917" t="s">
        <v>1563</v>
      </c>
    </row>
    <row r="918" spans="1:11">
      <c r="A918" t="s">
        <v>1456</v>
      </c>
      <c r="B918" t="s">
        <v>22</v>
      </c>
      <c r="C918" t="s">
        <v>23</v>
      </c>
      <c r="D918">
        <v>254</v>
      </c>
      <c r="E918" s="4">
        <v>46052</v>
      </c>
      <c r="F918" s="4">
        <v>46066</v>
      </c>
      <c r="G918" s="4">
        <v>46064</v>
      </c>
      <c r="H918">
        <v>211</v>
      </c>
      <c r="I918" t="s">
        <v>619</v>
      </c>
      <c r="J918">
        <v>10</v>
      </c>
      <c r="K918" t="s">
        <v>1563</v>
      </c>
    </row>
    <row r="919" spans="1:11">
      <c r="A919" t="s">
        <v>1457</v>
      </c>
      <c r="B919" t="s">
        <v>81</v>
      </c>
      <c r="C919" t="s">
        <v>16</v>
      </c>
      <c r="D919">
        <v>373</v>
      </c>
      <c r="E919" s="4">
        <v>46102</v>
      </c>
      <c r="F919" s="4">
        <v>46114</v>
      </c>
      <c r="G919" s="4">
        <v>46112</v>
      </c>
      <c r="H919">
        <v>377</v>
      </c>
      <c r="I919" t="s">
        <v>934</v>
      </c>
      <c r="J919">
        <v>3</v>
      </c>
      <c r="K919" t="s">
        <v>1563</v>
      </c>
    </row>
    <row r="920" spans="1:11">
      <c r="A920" t="s">
        <v>1458</v>
      </c>
      <c r="B920" t="s">
        <v>70</v>
      </c>
      <c r="C920" t="s">
        <v>12</v>
      </c>
      <c r="D920">
        <v>672</v>
      </c>
      <c r="E920" s="4">
        <v>46044</v>
      </c>
      <c r="F920" s="4">
        <v>46051</v>
      </c>
      <c r="G920" s="4">
        <v>46059</v>
      </c>
      <c r="H920">
        <v>585</v>
      </c>
      <c r="I920" t="s">
        <v>690</v>
      </c>
      <c r="J920">
        <v>5</v>
      </c>
      <c r="K920" t="s">
        <v>1563</v>
      </c>
    </row>
    <row r="921" spans="1:11">
      <c r="A921" t="s">
        <v>1459</v>
      </c>
      <c r="B921" t="s">
        <v>52</v>
      </c>
      <c r="C921" t="s">
        <v>16</v>
      </c>
      <c r="D921">
        <v>169</v>
      </c>
      <c r="E921" s="4">
        <v>46057</v>
      </c>
      <c r="F921" s="4">
        <v>46066</v>
      </c>
      <c r="G921" s="4">
        <v>46063</v>
      </c>
      <c r="H921">
        <v>167</v>
      </c>
      <c r="I921" t="s">
        <v>383</v>
      </c>
      <c r="J921">
        <v>1</v>
      </c>
      <c r="K921" t="s">
        <v>1563</v>
      </c>
    </row>
    <row r="922" spans="1:11">
      <c r="A922" t="s">
        <v>1460</v>
      </c>
      <c r="B922" t="s">
        <v>26</v>
      </c>
      <c r="C922" t="s">
        <v>12</v>
      </c>
      <c r="D922">
        <v>696</v>
      </c>
      <c r="E922" s="4">
        <v>46100</v>
      </c>
      <c r="F922" s="4">
        <v>46108</v>
      </c>
      <c r="G922" s="4">
        <v>46105</v>
      </c>
      <c r="H922">
        <v>698</v>
      </c>
      <c r="I922" t="s">
        <v>38</v>
      </c>
      <c r="J922">
        <v>21</v>
      </c>
      <c r="K922" t="s">
        <v>1563</v>
      </c>
    </row>
    <row r="923" spans="1:11">
      <c r="A923" t="s">
        <v>1461</v>
      </c>
      <c r="B923" t="s">
        <v>54</v>
      </c>
      <c r="C923" t="s">
        <v>16</v>
      </c>
      <c r="D923">
        <v>329</v>
      </c>
      <c r="E923" s="4">
        <v>46162</v>
      </c>
      <c r="F923" s="4">
        <v>46175</v>
      </c>
      <c r="G923" s="4">
        <v>46175</v>
      </c>
      <c r="H923">
        <v>333</v>
      </c>
      <c r="I923" t="s">
        <v>1357</v>
      </c>
      <c r="J923">
        <v>4</v>
      </c>
      <c r="K923" t="s">
        <v>1563</v>
      </c>
    </row>
    <row r="924" spans="1:11">
      <c r="A924" t="s">
        <v>1462</v>
      </c>
      <c r="B924" t="s">
        <v>64</v>
      </c>
      <c r="C924" t="s">
        <v>12</v>
      </c>
      <c r="D924">
        <v>897</v>
      </c>
      <c r="E924" s="4">
        <v>46158</v>
      </c>
      <c r="F924" s="4">
        <v>46168</v>
      </c>
      <c r="G924" s="4">
        <v>46171</v>
      </c>
      <c r="H924">
        <v>892</v>
      </c>
      <c r="I924" t="s">
        <v>1463</v>
      </c>
      <c r="J924">
        <v>8</v>
      </c>
      <c r="K924" t="s">
        <v>1563</v>
      </c>
    </row>
    <row r="925" spans="1:11">
      <c r="A925" t="s">
        <v>1464</v>
      </c>
      <c r="B925" t="s">
        <v>100</v>
      </c>
      <c r="C925" t="s">
        <v>16</v>
      </c>
      <c r="D925">
        <v>956</v>
      </c>
      <c r="E925" s="4">
        <v>46033</v>
      </c>
      <c r="F925" s="4">
        <v>46040</v>
      </c>
      <c r="G925" s="4">
        <v>46038</v>
      </c>
      <c r="H925">
        <v>956</v>
      </c>
      <c r="I925" t="s">
        <v>1465</v>
      </c>
      <c r="J925">
        <v>22</v>
      </c>
      <c r="K925" t="s">
        <v>1563</v>
      </c>
    </row>
    <row r="926" spans="1:11">
      <c r="A926" t="s">
        <v>1466</v>
      </c>
      <c r="B926" t="s">
        <v>40</v>
      </c>
      <c r="C926" t="s">
        <v>16</v>
      </c>
      <c r="D926">
        <v>731</v>
      </c>
      <c r="E926" s="4">
        <v>46134</v>
      </c>
      <c r="F926" s="4">
        <v>46149</v>
      </c>
      <c r="G926" s="4">
        <v>46147</v>
      </c>
      <c r="H926">
        <v>732</v>
      </c>
      <c r="I926" t="s">
        <v>815</v>
      </c>
      <c r="J926">
        <v>47</v>
      </c>
      <c r="K926" t="s">
        <v>1563</v>
      </c>
    </row>
    <row r="927" spans="1:11">
      <c r="A927" t="s">
        <v>1467</v>
      </c>
      <c r="B927" t="s">
        <v>40</v>
      </c>
      <c r="C927" t="s">
        <v>23</v>
      </c>
      <c r="D927">
        <v>86</v>
      </c>
      <c r="E927" s="4">
        <v>46168</v>
      </c>
      <c r="F927" s="4">
        <v>46179</v>
      </c>
      <c r="G927" s="4">
        <v>46176</v>
      </c>
      <c r="H927">
        <v>84</v>
      </c>
      <c r="I927" t="s">
        <v>33</v>
      </c>
      <c r="J927">
        <v>1</v>
      </c>
      <c r="K927" t="s">
        <v>1563</v>
      </c>
    </row>
    <row r="928" spans="1:11">
      <c r="A928" t="s">
        <v>1469</v>
      </c>
      <c r="B928" t="s">
        <v>43</v>
      </c>
      <c r="C928" t="s">
        <v>12</v>
      </c>
      <c r="D928">
        <v>87</v>
      </c>
      <c r="E928" s="4">
        <v>46150</v>
      </c>
      <c r="F928" s="4">
        <v>46161</v>
      </c>
      <c r="G928" s="4">
        <v>46158</v>
      </c>
      <c r="H928">
        <v>86</v>
      </c>
      <c r="I928" t="s">
        <v>231</v>
      </c>
      <c r="J928">
        <v>1</v>
      </c>
      <c r="K928" t="s">
        <v>1563</v>
      </c>
    </row>
    <row r="929" spans="1:11">
      <c r="A929" t="s">
        <v>1470</v>
      </c>
      <c r="B929" t="s">
        <v>64</v>
      </c>
      <c r="C929" t="s">
        <v>16</v>
      </c>
      <c r="D929">
        <v>665</v>
      </c>
      <c r="E929" s="4">
        <v>46093</v>
      </c>
      <c r="F929" s="4">
        <v>46098</v>
      </c>
      <c r="G929" s="4">
        <v>46097</v>
      </c>
      <c r="H929">
        <v>631</v>
      </c>
      <c r="I929" t="s">
        <v>1471</v>
      </c>
      <c r="J929">
        <v>27</v>
      </c>
      <c r="K929" t="s">
        <v>1563</v>
      </c>
    </row>
    <row r="930" spans="1:11">
      <c r="A930" t="s">
        <v>1472</v>
      </c>
      <c r="B930" t="s">
        <v>120</v>
      </c>
      <c r="C930" t="s">
        <v>12</v>
      </c>
      <c r="D930">
        <v>271</v>
      </c>
      <c r="E930" s="4">
        <v>46102</v>
      </c>
      <c r="F930" s="4">
        <v>46113</v>
      </c>
      <c r="G930" s="4">
        <v>46112</v>
      </c>
      <c r="H930">
        <v>271</v>
      </c>
      <c r="I930" t="s">
        <v>658</v>
      </c>
      <c r="J930">
        <v>7</v>
      </c>
      <c r="K930" t="s">
        <v>1563</v>
      </c>
    </row>
    <row r="931" spans="1:11">
      <c r="A931" t="s">
        <v>1473</v>
      </c>
      <c r="B931" t="s">
        <v>64</v>
      </c>
      <c r="C931" t="s">
        <v>16</v>
      </c>
      <c r="D931">
        <v>758</v>
      </c>
      <c r="E931" s="4">
        <v>46046</v>
      </c>
      <c r="F931" s="4">
        <v>46059</v>
      </c>
      <c r="G931" s="4">
        <v>46057</v>
      </c>
      <c r="H931">
        <v>746</v>
      </c>
      <c r="I931" t="s">
        <v>815</v>
      </c>
      <c r="J931">
        <v>48</v>
      </c>
      <c r="K931" t="s">
        <v>1563</v>
      </c>
    </row>
    <row r="932" spans="1:11">
      <c r="A932" t="s">
        <v>1474</v>
      </c>
      <c r="B932" t="s">
        <v>120</v>
      </c>
      <c r="C932" t="s">
        <v>12</v>
      </c>
      <c r="D932">
        <v>208</v>
      </c>
      <c r="E932" s="4">
        <v>46049</v>
      </c>
      <c r="F932" s="4">
        <v>46055</v>
      </c>
      <c r="G932" s="4">
        <v>46052</v>
      </c>
      <c r="H932">
        <v>211</v>
      </c>
      <c r="I932" t="s">
        <v>38</v>
      </c>
      <c r="J932">
        <v>11</v>
      </c>
      <c r="K932" t="s">
        <v>1563</v>
      </c>
    </row>
    <row r="933" spans="1:11">
      <c r="A933" t="s">
        <v>1475</v>
      </c>
      <c r="B933" t="s">
        <v>11</v>
      </c>
      <c r="C933" t="s">
        <v>16</v>
      </c>
      <c r="D933">
        <v>307</v>
      </c>
      <c r="E933" s="4">
        <v>46112</v>
      </c>
      <c r="F933" s="4">
        <v>46117</v>
      </c>
      <c r="G933" s="4">
        <v>46116</v>
      </c>
      <c r="H933">
        <v>312</v>
      </c>
      <c r="I933" t="s">
        <v>650</v>
      </c>
      <c r="J933">
        <v>1</v>
      </c>
      <c r="K933" t="s">
        <v>1563</v>
      </c>
    </row>
    <row r="934" spans="1:11">
      <c r="A934" t="s">
        <v>1476</v>
      </c>
      <c r="B934" t="s">
        <v>35</v>
      </c>
      <c r="C934" t="s">
        <v>23</v>
      </c>
      <c r="D934">
        <v>122</v>
      </c>
      <c r="E934" s="4">
        <v>46057</v>
      </c>
      <c r="F934" s="4">
        <v>46063</v>
      </c>
      <c r="G934" s="4">
        <v>46064</v>
      </c>
      <c r="H934">
        <v>123</v>
      </c>
      <c r="I934" t="s">
        <v>1477</v>
      </c>
      <c r="J934">
        <v>7</v>
      </c>
      <c r="K934" t="s">
        <v>1563</v>
      </c>
    </row>
    <row r="935" spans="1:11">
      <c r="A935" t="s">
        <v>1478</v>
      </c>
      <c r="B935" t="s">
        <v>49</v>
      </c>
      <c r="C935" t="s">
        <v>23</v>
      </c>
      <c r="D935">
        <v>753</v>
      </c>
      <c r="E935" s="4">
        <v>46173</v>
      </c>
      <c r="F935" s="4">
        <v>46186</v>
      </c>
      <c r="G935" s="4">
        <v>46190</v>
      </c>
      <c r="H935">
        <v>766</v>
      </c>
      <c r="I935" t="s">
        <v>1479</v>
      </c>
      <c r="J935">
        <v>5</v>
      </c>
      <c r="K935" t="s">
        <v>1563</v>
      </c>
    </row>
    <row r="936" spans="1:11">
      <c r="A936" t="s">
        <v>1480</v>
      </c>
      <c r="B936" t="s">
        <v>29</v>
      </c>
      <c r="C936" t="s">
        <v>12</v>
      </c>
      <c r="D936">
        <v>529</v>
      </c>
      <c r="E936" s="4">
        <v>46129</v>
      </c>
      <c r="F936" s="4">
        <v>46135</v>
      </c>
      <c r="G936" s="4">
        <v>46133</v>
      </c>
      <c r="H936">
        <v>535</v>
      </c>
      <c r="I936" t="s">
        <v>1481</v>
      </c>
      <c r="J936">
        <v>3</v>
      </c>
      <c r="K936" t="s">
        <v>1563</v>
      </c>
    </row>
    <row r="937" spans="1:11">
      <c r="A937" t="s">
        <v>1482</v>
      </c>
      <c r="B937" t="s">
        <v>177</v>
      </c>
      <c r="C937" t="s">
        <v>12</v>
      </c>
      <c r="D937">
        <v>403</v>
      </c>
      <c r="E937" s="4">
        <v>46119</v>
      </c>
      <c r="F937" s="4">
        <v>46124</v>
      </c>
      <c r="G937" s="4">
        <v>46124</v>
      </c>
      <c r="H937">
        <v>404</v>
      </c>
      <c r="I937" t="s">
        <v>1483</v>
      </c>
      <c r="J937">
        <v>0</v>
      </c>
      <c r="K937" t="s">
        <v>1563</v>
      </c>
    </row>
    <row r="938" spans="1:11">
      <c r="A938" t="s">
        <v>1484</v>
      </c>
      <c r="B938" t="s">
        <v>49</v>
      </c>
      <c r="C938" t="s">
        <v>12</v>
      </c>
      <c r="D938">
        <v>911</v>
      </c>
      <c r="E938" s="4">
        <v>46143</v>
      </c>
      <c r="F938" s="4">
        <v>46154</v>
      </c>
      <c r="G938" s="4">
        <v>46162</v>
      </c>
      <c r="H938">
        <v>923</v>
      </c>
      <c r="I938" t="s">
        <v>1455</v>
      </c>
      <c r="J938">
        <v>11</v>
      </c>
      <c r="K938" t="s">
        <v>1563</v>
      </c>
    </row>
    <row r="939" spans="1:11">
      <c r="A939" t="s">
        <v>1485</v>
      </c>
      <c r="B939" t="s">
        <v>70</v>
      </c>
      <c r="C939" t="s">
        <v>12</v>
      </c>
      <c r="D939">
        <v>819</v>
      </c>
      <c r="E939" s="4">
        <v>46115</v>
      </c>
      <c r="F939" s="4">
        <v>46123</v>
      </c>
      <c r="G939" s="4">
        <v>46121</v>
      </c>
      <c r="H939">
        <v>830</v>
      </c>
      <c r="I939" t="s">
        <v>603</v>
      </c>
      <c r="J939">
        <v>2</v>
      </c>
      <c r="K939" t="s">
        <v>1563</v>
      </c>
    </row>
    <row r="940" spans="1:11">
      <c r="A940" t="s">
        <v>1486</v>
      </c>
      <c r="B940" t="s">
        <v>35</v>
      </c>
      <c r="C940" t="s">
        <v>12</v>
      </c>
      <c r="D940">
        <v>348</v>
      </c>
      <c r="E940" s="4">
        <v>46043</v>
      </c>
      <c r="F940" s="4">
        <v>46054</v>
      </c>
      <c r="G940" s="4">
        <v>46051</v>
      </c>
      <c r="H940">
        <v>352</v>
      </c>
      <c r="I940" t="s">
        <v>98</v>
      </c>
      <c r="J940">
        <v>22</v>
      </c>
      <c r="K940" t="s">
        <v>1563</v>
      </c>
    </row>
    <row r="941" spans="1:11">
      <c r="A941" t="s">
        <v>1487</v>
      </c>
      <c r="B941" t="s">
        <v>67</v>
      </c>
      <c r="C941" t="s">
        <v>12</v>
      </c>
      <c r="D941">
        <v>321</v>
      </c>
      <c r="E941" s="4">
        <v>46028</v>
      </c>
      <c r="F941" s="4">
        <v>46035</v>
      </c>
      <c r="G941" s="4">
        <v>46040</v>
      </c>
      <c r="H941">
        <v>276</v>
      </c>
      <c r="I941" t="s">
        <v>645</v>
      </c>
      <c r="J941">
        <v>1</v>
      </c>
      <c r="K941" t="s">
        <v>1563</v>
      </c>
    </row>
    <row r="942" spans="1:11">
      <c r="A942" t="s">
        <v>1488</v>
      </c>
      <c r="B942" t="s">
        <v>11</v>
      </c>
      <c r="C942" t="s">
        <v>12</v>
      </c>
      <c r="D942">
        <v>518</v>
      </c>
      <c r="E942" s="4">
        <v>46110</v>
      </c>
      <c r="F942" s="4">
        <v>46118</v>
      </c>
      <c r="G942" s="4"/>
      <c r="I942" t="s">
        <v>891</v>
      </c>
      <c r="K942" t="s">
        <v>1565</v>
      </c>
    </row>
    <row r="943" spans="1:11">
      <c r="A943" t="s">
        <v>1489</v>
      </c>
      <c r="B943" t="s">
        <v>29</v>
      </c>
      <c r="C943" t="s">
        <v>23</v>
      </c>
      <c r="D943">
        <v>290</v>
      </c>
      <c r="E943" s="4">
        <v>46130</v>
      </c>
      <c r="F943" s="4">
        <v>46144</v>
      </c>
      <c r="G943" s="4">
        <v>46141</v>
      </c>
      <c r="H943">
        <v>278</v>
      </c>
      <c r="I943" t="s">
        <v>1491</v>
      </c>
      <c r="J943">
        <v>3</v>
      </c>
      <c r="K943" t="s">
        <v>1563</v>
      </c>
    </row>
    <row r="944" spans="1:11">
      <c r="A944" t="s">
        <v>1492</v>
      </c>
      <c r="B944" t="s">
        <v>49</v>
      </c>
      <c r="C944" t="s">
        <v>23</v>
      </c>
      <c r="D944">
        <v>694</v>
      </c>
      <c r="E944" s="4">
        <v>46052</v>
      </c>
      <c r="F944" s="4">
        <v>46063</v>
      </c>
      <c r="G944" s="4">
        <v>46062</v>
      </c>
      <c r="H944">
        <v>693</v>
      </c>
      <c r="I944" t="s">
        <v>1493</v>
      </c>
      <c r="J944">
        <v>7</v>
      </c>
      <c r="K944" t="s">
        <v>1563</v>
      </c>
    </row>
    <row r="945" spans="1:11">
      <c r="A945" t="s">
        <v>1494</v>
      </c>
      <c r="B945" t="s">
        <v>46</v>
      </c>
      <c r="C945" t="s">
        <v>12</v>
      </c>
      <c r="D945">
        <v>522</v>
      </c>
      <c r="E945" s="4">
        <v>46146</v>
      </c>
      <c r="F945" s="4">
        <v>46158</v>
      </c>
      <c r="G945" s="4">
        <v>46155</v>
      </c>
      <c r="H945">
        <v>512</v>
      </c>
      <c r="I945" t="s">
        <v>731</v>
      </c>
      <c r="J945">
        <v>2</v>
      </c>
      <c r="K945" t="s">
        <v>1563</v>
      </c>
    </row>
    <row r="946" spans="1:11">
      <c r="A946" t="s">
        <v>1495</v>
      </c>
      <c r="B946" t="s">
        <v>64</v>
      </c>
      <c r="C946" t="s">
        <v>23</v>
      </c>
      <c r="D946">
        <v>835</v>
      </c>
      <c r="E946" s="4">
        <v>46147</v>
      </c>
      <c r="F946" s="4">
        <v>46152</v>
      </c>
      <c r="G946" s="4">
        <v>46160</v>
      </c>
      <c r="H946">
        <v>835</v>
      </c>
      <c r="I946" t="s">
        <v>1496</v>
      </c>
      <c r="J946">
        <v>68</v>
      </c>
      <c r="K946" t="s">
        <v>1563</v>
      </c>
    </row>
    <row r="947" spans="1:11">
      <c r="A947" t="s">
        <v>1497</v>
      </c>
      <c r="B947" t="s">
        <v>64</v>
      </c>
      <c r="C947" t="s">
        <v>12</v>
      </c>
      <c r="D947">
        <v>961</v>
      </c>
      <c r="E947" s="4">
        <v>46134</v>
      </c>
      <c r="F947" s="4">
        <v>46148</v>
      </c>
      <c r="G947" s="4">
        <v>46157</v>
      </c>
      <c r="H947">
        <v>906</v>
      </c>
      <c r="I947" t="s">
        <v>1119</v>
      </c>
      <c r="J947">
        <v>2</v>
      </c>
      <c r="K947" t="s">
        <v>1563</v>
      </c>
    </row>
    <row r="948" spans="1:11">
      <c r="A948" t="s">
        <v>1498</v>
      </c>
      <c r="B948" t="s">
        <v>54</v>
      </c>
      <c r="C948" t="s">
        <v>12</v>
      </c>
      <c r="D948">
        <v>399</v>
      </c>
      <c r="E948" s="4">
        <v>46027</v>
      </c>
      <c r="F948" s="4">
        <v>46039</v>
      </c>
      <c r="G948" s="4">
        <v>46039</v>
      </c>
      <c r="H948">
        <v>404</v>
      </c>
      <c r="I948" t="s">
        <v>178</v>
      </c>
      <c r="J948">
        <v>7</v>
      </c>
      <c r="K948" t="s">
        <v>1563</v>
      </c>
    </row>
    <row r="949" spans="1:11">
      <c r="A949" t="s">
        <v>1499</v>
      </c>
      <c r="B949" t="s">
        <v>46</v>
      </c>
      <c r="C949" t="s">
        <v>23</v>
      </c>
      <c r="D949">
        <v>705</v>
      </c>
      <c r="E949" s="4">
        <v>46085</v>
      </c>
      <c r="F949" s="4">
        <v>46099</v>
      </c>
      <c r="G949" s="4">
        <v>46097</v>
      </c>
      <c r="H949">
        <v>710</v>
      </c>
      <c r="I949" t="s">
        <v>1005</v>
      </c>
      <c r="J949">
        <v>34</v>
      </c>
      <c r="K949" t="s">
        <v>1563</v>
      </c>
    </row>
    <row r="950" spans="1:11">
      <c r="A950" t="s">
        <v>1500</v>
      </c>
      <c r="B950" t="s">
        <v>177</v>
      </c>
      <c r="C950" t="s">
        <v>12</v>
      </c>
      <c r="D950">
        <v>304</v>
      </c>
      <c r="E950" s="4">
        <v>46143</v>
      </c>
      <c r="F950" s="4">
        <v>46150</v>
      </c>
      <c r="G950" s="4">
        <v>46152</v>
      </c>
      <c r="H950">
        <v>302</v>
      </c>
      <c r="I950" t="s">
        <v>1501</v>
      </c>
      <c r="J950">
        <v>2</v>
      </c>
      <c r="K950" t="s">
        <v>1563</v>
      </c>
    </row>
    <row r="951" spans="1:11">
      <c r="A951" t="s">
        <v>1502</v>
      </c>
      <c r="B951" t="s">
        <v>43</v>
      </c>
      <c r="C951" t="s">
        <v>16</v>
      </c>
      <c r="D951">
        <v>927</v>
      </c>
      <c r="E951" s="4">
        <v>46119</v>
      </c>
      <c r="F951" s="4">
        <v>46131</v>
      </c>
      <c r="G951" s="4">
        <v>46130</v>
      </c>
      <c r="H951">
        <v>869</v>
      </c>
      <c r="I951" t="s">
        <v>1503</v>
      </c>
      <c r="J951">
        <v>42</v>
      </c>
      <c r="K951" t="s">
        <v>1563</v>
      </c>
    </row>
    <row r="952" spans="1:11">
      <c r="A952" t="s">
        <v>1504</v>
      </c>
      <c r="B952" t="s">
        <v>40</v>
      </c>
      <c r="C952" t="s">
        <v>12</v>
      </c>
      <c r="D952">
        <v>311</v>
      </c>
      <c r="E952" s="4">
        <v>46170</v>
      </c>
      <c r="F952" s="4">
        <v>46180</v>
      </c>
      <c r="G952" s="4">
        <v>46178</v>
      </c>
      <c r="H952">
        <v>315</v>
      </c>
      <c r="I952" t="s">
        <v>658</v>
      </c>
      <c r="J952">
        <v>27</v>
      </c>
      <c r="K952" t="s">
        <v>1563</v>
      </c>
    </row>
    <row r="953" spans="1:11">
      <c r="A953" t="s">
        <v>1505</v>
      </c>
      <c r="B953" t="s">
        <v>54</v>
      </c>
      <c r="C953" t="s">
        <v>23</v>
      </c>
      <c r="D953">
        <v>175</v>
      </c>
      <c r="E953" s="4">
        <v>46041</v>
      </c>
      <c r="F953" s="4">
        <v>46053</v>
      </c>
      <c r="G953" s="4">
        <v>46058</v>
      </c>
      <c r="H953">
        <v>177</v>
      </c>
      <c r="I953" t="s">
        <v>1446</v>
      </c>
      <c r="J953">
        <v>0</v>
      </c>
      <c r="K953" t="s">
        <v>1563</v>
      </c>
    </row>
    <row r="954" spans="1:11">
      <c r="A954" t="s">
        <v>1506</v>
      </c>
      <c r="B954" t="s">
        <v>81</v>
      </c>
      <c r="C954" t="s">
        <v>16</v>
      </c>
      <c r="D954">
        <v>358</v>
      </c>
      <c r="E954" s="4">
        <v>46045</v>
      </c>
      <c r="F954" s="4">
        <v>46059</v>
      </c>
      <c r="G954" s="4">
        <v>46060</v>
      </c>
      <c r="H954">
        <v>312</v>
      </c>
      <c r="I954" t="s">
        <v>1507</v>
      </c>
      <c r="J954">
        <v>1</v>
      </c>
      <c r="K954" t="s">
        <v>1563</v>
      </c>
    </row>
    <row r="955" spans="1:11">
      <c r="A955" t="s">
        <v>1508</v>
      </c>
      <c r="B955" t="s">
        <v>35</v>
      </c>
      <c r="C955" t="s">
        <v>16</v>
      </c>
      <c r="D955">
        <v>169</v>
      </c>
      <c r="E955" s="4">
        <v>46116</v>
      </c>
      <c r="F955" s="4">
        <v>46127</v>
      </c>
      <c r="G955" s="4">
        <v>46133</v>
      </c>
      <c r="H955">
        <v>171</v>
      </c>
      <c r="I955" t="s">
        <v>594</v>
      </c>
      <c r="J955">
        <v>5</v>
      </c>
      <c r="K955" t="s">
        <v>1563</v>
      </c>
    </row>
    <row r="956" spans="1:11">
      <c r="A956" t="s">
        <v>1509</v>
      </c>
      <c r="B956" t="s">
        <v>35</v>
      </c>
      <c r="C956" t="s">
        <v>16</v>
      </c>
      <c r="D956">
        <v>579</v>
      </c>
      <c r="E956" s="4">
        <v>46138</v>
      </c>
      <c r="F956" s="4">
        <v>46151</v>
      </c>
      <c r="G956" s="4">
        <v>46149</v>
      </c>
      <c r="H956">
        <v>568</v>
      </c>
      <c r="I956" t="s">
        <v>1510</v>
      </c>
      <c r="J956">
        <v>28</v>
      </c>
      <c r="K956" t="s">
        <v>1563</v>
      </c>
    </row>
    <row r="957" spans="1:11">
      <c r="A957" t="s">
        <v>1511</v>
      </c>
      <c r="B957" t="s">
        <v>22</v>
      </c>
      <c r="C957" t="s">
        <v>23</v>
      </c>
      <c r="D957">
        <v>285</v>
      </c>
      <c r="E957" s="4">
        <v>46051</v>
      </c>
      <c r="F957" s="4">
        <v>46066</v>
      </c>
      <c r="G957" s="4">
        <v>46072</v>
      </c>
      <c r="H957">
        <v>239</v>
      </c>
      <c r="I957" t="s">
        <v>1512</v>
      </c>
      <c r="J957">
        <v>16</v>
      </c>
      <c r="K957" t="s">
        <v>1563</v>
      </c>
    </row>
    <row r="958" spans="1:11">
      <c r="A958" t="s">
        <v>1513</v>
      </c>
      <c r="B958" t="s">
        <v>52</v>
      </c>
      <c r="C958" t="s">
        <v>16</v>
      </c>
      <c r="D958">
        <v>138</v>
      </c>
      <c r="E958" s="4">
        <v>46071</v>
      </c>
      <c r="F958" s="4">
        <v>46081</v>
      </c>
      <c r="G958" s="4">
        <v>46080</v>
      </c>
      <c r="H958">
        <v>140</v>
      </c>
      <c r="I958" t="s">
        <v>1067</v>
      </c>
      <c r="J958">
        <v>2</v>
      </c>
      <c r="K958" t="s">
        <v>1563</v>
      </c>
    </row>
    <row r="959" spans="1:11">
      <c r="A959" t="s">
        <v>1514</v>
      </c>
      <c r="B959" t="s">
        <v>22</v>
      </c>
      <c r="C959" t="s">
        <v>23</v>
      </c>
      <c r="D959">
        <v>468</v>
      </c>
      <c r="E959" s="4">
        <v>46102</v>
      </c>
      <c r="F959" s="4">
        <v>46108</v>
      </c>
      <c r="G959" s="4">
        <v>46106</v>
      </c>
      <c r="H959">
        <v>382</v>
      </c>
      <c r="I959" t="s">
        <v>1337</v>
      </c>
      <c r="J959">
        <v>12</v>
      </c>
      <c r="K959" t="s">
        <v>1563</v>
      </c>
    </row>
    <row r="960" spans="1:11">
      <c r="A960" t="s">
        <v>1515</v>
      </c>
      <c r="B960" t="s">
        <v>11</v>
      </c>
      <c r="C960" t="s">
        <v>12</v>
      </c>
      <c r="D960">
        <v>252</v>
      </c>
      <c r="E960" s="4">
        <v>46113</v>
      </c>
      <c r="F960" s="4">
        <v>46125</v>
      </c>
      <c r="G960" s="4">
        <v>46125</v>
      </c>
      <c r="H960">
        <v>251</v>
      </c>
      <c r="I960" t="s">
        <v>664</v>
      </c>
      <c r="J960">
        <v>1</v>
      </c>
      <c r="K960" t="s">
        <v>1563</v>
      </c>
    </row>
    <row r="961" spans="1:11">
      <c r="A961" t="s">
        <v>1516</v>
      </c>
      <c r="B961" t="s">
        <v>26</v>
      </c>
      <c r="C961" t="s">
        <v>16</v>
      </c>
      <c r="D961">
        <v>977</v>
      </c>
      <c r="E961" s="4">
        <v>46098</v>
      </c>
      <c r="F961" s="4">
        <v>46104</v>
      </c>
      <c r="G961" s="4">
        <v>46103</v>
      </c>
      <c r="H961">
        <v>958</v>
      </c>
      <c r="I961" t="s">
        <v>529</v>
      </c>
      <c r="J961">
        <v>1</v>
      </c>
      <c r="K961" t="s">
        <v>1563</v>
      </c>
    </row>
    <row r="962" spans="1:11">
      <c r="A962" t="s">
        <v>1517</v>
      </c>
      <c r="B962" t="s">
        <v>177</v>
      </c>
      <c r="C962" t="s">
        <v>16</v>
      </c>
      <c r="D962">
        <v>232</v>
      </c>
      <c r="E962" s="4">
        <v>46103</v>
      </c>
      <c r="F962" s="4">
        <v>46109</v>
      </c>
      <c r="G962" s="4">
        <v>46109</v>
      </c>
      <c r="H962">
        <v>236</v>
      </c>
      <c r="I962" t="s">
        <v>1518</v>
      </c>
      <c r="J962">
        <v>8</v>
      </c>
      <c r="K962" t="s">
        <v>1563</v>
      </c>
    </row>
    <row r="963" spans="1:11">
      <c r="A963" t="s">
        <v>1519</v>
      </c>
      <c r="B963" t="s">
        <v>52</v>
      </c>
      <c r="C963" t="s">
        <v>12</v>
      </c>
      <c r="D963">
        <v>603</v>
      </c>
      <c r="E963" s="4">
        <v>46080</v>
      </c>
      <c r="F963" s="4">
        <v>46090</v>
      </c>
      <c r="G963" s="4">
        <v>46088</v>
      </c>
      <c r="H963">
        <v>582</v>
      </c>
      <c r="I963" t="s">
        <v>101</v>
      </c>
      <c r="J963">
        <v>4</v>
      </c>
      <c r="K963" t="s">
        <v>1563</v>
      </c>
    </row>
    <row r="964" spans="1:11">
      <c r="A964" t="s">
        <v>1520</v>
      </c>
      <c r="B964" t="s">
        <v>70</v>
      </c>
      <c r="C964" t="s">
        <v>16</v>
      </c>
      <c r="D964">
        <v>203</v>
      </c>
      <c r="E964" s="4">
        <v>46078</v>
      </c>
      <c r="F964" s="4">
        <v>46086</v>
      </c>
      <c r="G964" s="4">
        <v>46084</v>
      </c>
      <c r="H964">
        <v>193</v>
      </c>
      <c r="I964" t="s">
        <v>472</v>
      </c>
      <c r="J964">
        <v>2</v>
      </c>
      <c r="K964" t="s">
        <v>1563</v>
      </c>
    </row>
    <row r="965" spans="1:11">
      <c r="A965" t="s">
        <v>1521</v>
      </c>
      <c r="B965" t="s">
        <v>26</v>
      </c>
      <c r="C965" t="s">
        <v>12</v>
      </c>
      <c r="D965">
        <v>297</v>
      </c>
      <c r="E965" s="4">
        <v>46081</v>
      </c>
      <c r="F965" s="4">
        <v>46092</v>
      </c>
      <c r="G965" s="4">
        <v>46090</v>
      </c>
      <c r="H965">
        <v>298</v>
      </c>
      <c r="I965" t="s">
        <v>499</v>
      </c>
      <c r="J965">
        <v>9</v>
      </c>
      <c r="K965" t="s">
        <v>1563</v>
      </c>
    </row>
    <row r="966" spans="1:11">
      <c r="A966" t="s">
        <v>1522</v>
      </c>
      <c r="B966" t="s">
        <v>67</v>
      </c>
      <c r="C966" t="s">
        <v>12</v>
      </c>
      <c r="D966">
        <v>820</v>
      </c>
      <c r="E966" s="4">
        <v>46102</v>
      </c>
      <c r="F966" s="4">
        <v>46107</v>
      </c>
      <c r="G966" s="4">
        <v>46104</v>
      </c>
      <c r="H966">
        <v>826</v>
      </c>
      <c r="I966" t="s">
        <v>1009</v>
      </c>
      <c r="J966">
        <v>4</v>
      </c>
      <c r="K966" t="s">
        <v>1563</v>
      </c>
    </row>
    <row r="967" spans="1:11">
      <c r="A967" t="s">
        <v>1523</v>
      </c>
      <c r="B967" t="s">
        <v>22</v>
      </c>
      <c r="C967" t="s">
        <v>23</v>
      </c>
      <c r="D967">
        <v>297</v>
      </c>
      <c r="E967" s="4">
        <v>46083</v>
      </c>
      <c r="F967" s="4">
        <v>46095</v>
      </c>
      <c r="G967" s="4">
        <v>46093</v>
      </c>
      <c r="H967">
        <v>287</v>
      </c>
      <c r="I967" t="s">
        <v>956</v>
      </c>
      <c r="J967">
        <v>3</v>
      </c>
      <c r="K967" t="s">
        <v>1563</v>
      </c>
    </row>
    <row r="968" spans="1:11">
      <c r="A968" t="s">
        <v>1524</v>
      </c>
      <c r="B968" t="s">
        <v>67</v>
      </c>
      <c r="C968" t="s">
        <v>16</v>
      </c>
      <c r="D968">
        <v>715</v>
      </c>
      <c r="E968" s="4">
        <v>46107</v>
      </c>
      <c r="F968" s="4">
        <v>46116</v>
      </c>
      <c r="G968" s="4">
        <v>46114</v>
      </c>
      <c r="H968">
        <v>725</v>
      </c>
      <c r="I968" t="s">
        <v>242</v>
      </c>
      <c r="J968">
        <v>10</v>
      </c>
      <c r="K968" t="s">
        <v>1563</v>
      </c>
    </row>
    <row r="969" spans="1:11">
      <c r="A969" t="s">
        <v>1525</v>
      </c>
      <c r="B969" t="s">
        <v>46</v>
      </c>
      <c r="C969" t="s">
        <v>12</v>
      </c>
      <c r="D969">
        <v>137</v>
      </c>
      <c r="E969" s="4">
        <v>46143</v>
      </c>
      <c r="F969" s="4">
        <v>46153</v>
      </c>
      <c r="G969" s="4">
        <v>46158</v>
      </c>
      <c r="H969">
        <v>131</v>
      </c>
      <c r="I969" t="s">
        <v>403</v>
      </c>
      <c r="J969">
        <v>12</v>
      </c>
      <c r="K969" t="s">
        <v>1563</v>
      </c>
    </row>
    <row r="970" spans="1:11">
      <c r="A970" t="s">
        <v>1526</v>
      </c>
      <c r="B970" t="s">
        <v>120</v>
      </c>
      <c r="C970" t="s">
        <v>12</v>
      </c>
      <c r="D970">
        <v>269</v>
      </c>
      <c r="E970" s="4">
        <v>46136</v>
      </c>
      <c r="F970" s="4">
        <v>46146</v>
      </c>
      <c r="G970" s="4">
        <v>46146</v>
      </c>
      <c r="H970">
        <v>272</v>
      </c>
      <c r="I970" t="s">
        <v>214</v>
      </c>
      <c r="J970">
        <v>16</v>
      </c>
      <c r="K970" t="s">
        <v>1563</v>
      </c>
    </row>
    <row r="971" spans="1:11">
      <c r="A971" t="s">
        <v>1527</v>
      </c>
      <c r="B971" t="s">
        <v>19</v>
      </c>
      <c r="C971" t="s">
        <v>12</v>
      </c>
      <c r="D971">
        <v>237</v>
      </c>
      <c r="E971" s="4">
        <v>46127</v>
      </c>
      <c r="F971" s="4">
        <v>46140</v>
      </c>
      <c r="G971" s="4">
        <v>46140</v>
      </c>
      <c r="H971">
        <v>241</v>
      </c>
      <c r="I971" t="s">
        <v>101</v>
      </c>
      <c r="J971">
        <v>12</v>
      </c>
      <c r="K971" t="s">
        <v>1563</v>
      </c>
    </row>
    <row r="972" spans="1:11">
      <c r="A972" t="s">
        <v>1528</v>
      </c>
      <c r="B972" t="s">
        <v>19</v>
      </c>
      <c r="C972" t="s">
        <v>16</v>
      </c>
      <c r="D972">
        <v>877</v>
      </c>
      <c r="E972" s="4">
        <v>46070</v>
      </c>
      <c r="F972" s="4">
        <v>46078</v>
      </c>
      <c r="G972" s="4"/>
      <c r="I972" t="s">
        <v>1529</v>
      </c>
      <c r="K972" t="s">
        <v>1565</v>
      </c>
    </row>
    <row r="973" spans="1:11">
      <c r="A973" t="s">
        <v>1530</v>
      </c>
      <c r="B973" t="s">
        <v>49</v>
      </c>
      <c r="C973" t="s">
        <v>16</v>
      </c>
      <c r="D973">
        <v>792</v>
      </c>
      <c r="E973" s="4">
        <v>46077</v>
      </c>
      <c r="F973" s="4">
        <v>46087</v>
      </c>
      <c r="G973" s="4">
        <v>46087</v>
      </c>
      <c r="H973">
        <v>796</v>
      </c>
      <c r="I973" t="s">
        <v>1227</v>
      </c>
      <c r="J973">
        <v>9</v>
      </c>
      <c r="K973" t="s">
        <v>1563</v>
      </c>
    </row>
    <row r="974" spans="1:11">
      <c r="A974" t="s">
        <v>1531</v>
      </c>
      <c r="B974" t="s">
        <v>35</v>
      </c>
      <c r="C974" t="s">
        <v>12</v>
      </c>
      <c r="D974">
        <v>726</v>
      </c>
      <c r="E974" s="4">
        <v>46064</v>
      </c>
      <c r="F974" s="4">
        <v>46077</v>
      </c>
      <c r="G974" s="4">
        <v>46074</v>
      </c>
      <c r="H974">
        <v>738</v>
      </c>
      <c r="I974" t="s">
        <v>1273</v>
      </c>
      <c r="J974">
        <v>19</v>
      </c>
      <c r="K974" t="s">
        <v>1563</v>
      </c>
    </row>
    <row r="975" spans="1:11">
      <c r="A975" t="s">
        <v>1532</v>
      </c>
      <c r="B975" t="s">
        <v>26</v>
      </c>
      <c r="C975" t="s">
        <v>12</v>
      </c>
      <c r="D975">
        <v>118</v>
      </c>
      <c r="E975" s="4">
        <v>46130</v>
      </c>
      <c r="F975" s="4">
        <v>46142</v>
      </c>
      <c r="G975" s="4">
        <v>46140</v>
      </c>
      <c r="H975">
        <v>109</v>
      </c>
      <c r="I975" t="s">
        <v>240</v>
      </c>
      <c r="J975">
        <v>3</v>
      </c>
      <c r="K975" t="s">
        <v>1563</v>
      </c>
    </row>
    <row r="976" spans="1:11">
      <c r="A976" t="s">
        <v>1533</v>
      </c>
      <c r="B976" t="s">
        <v>177</v>
      </c>
      <c r="C976" t="s">
        <v>23</v>
      </c>
      <c r="D976">
        <v>514</v>
      </c>
      <c r="E976" s="4">
        <v>46102</v>
      </c>
      <c r="F976" s="4">
        <v>46116</v>
      </c>
      <c r="G976" s="4">
        <v>46122</v>
      </c>
      <c r="H976">
        <v>521</v>
      </c>
      <c r="I976" t="s">
        <v>702</v>
      </c>
      <c r="J976">
        <v>0</v>
      </c>
      <c r="K976" t="s">
        <v>1563</v>
      </c>
    </row>
    <row r="977" spans="1:11">
      <c r="A977" t="s">
        <v>1534</v>
      </c>
      <c r="B977" t="s">
        <v>70</v>
      </c>
      <c r="C977" t="s">
        <v>16</v>
      </c>
      <c r="D977">
        <v>375</v>
      </c>
      <c r="E977" s="4">
        <v>46070</v>
      </c>
      <c r="F977" s="4">
        <v>46084</v>
      </c>
      <c r="G977" s="4">
        <v>46082</v>
      </c>
      <c r="H977">
        <v>333</v>
      </c>
      <c r="I977" t="s">
        <v>1090</v>
      </c>
      <c r="J977">
        <v>5</v>
      </c>
      <c r="K977" t="s">
        <v>1563</v>
      </c>
    </row>
    <row r="978" spans="1:11">
      <c r="A978" t="s">
        <v>1535</v>
      </c>
      <c r="B978" t="s">
        <v>177</v>
      </c>
      <c r="C978" t="s">
        <v>23</v>
      </c>
      <c r="D978">
        <v>703</v>
      </c>
      <c r="E978" s="4">
        <v>46120</v>
      </c>
      <c r="F978" s="4">
        <v>46129</v>
      </c>
      <c r="G978" s="4">
        <v>46129</v>
      </c>
      <c r="H978">
        <v>708</v>
      </c>
      <c r="I978" t="s">
        <v>674</v>
      </c>
      <c r="J978">
        <v>18</v>
      </c>
      <c r="K978" t="s">
        <v>1563</v>
      </c>
    </row>
    <row r="979" spans="1:11">
      <c r="A979" t="s">
        <v>1536</v>
      </c>
      <c r="B979" t="s">
        <v>35</v>
      </c>
      <c r="C979" t="s">
        <v>12</v>
      </c>
      <c r="D979">
        <v>767</v>
      </c>
      <c r="E979" s="4">
        <v>46099</v>
      </c>
      <c r="F979" s="4">
        <v>46107</v>
      </c>
      <c r="G979" s="4">
        <v>46115</v>
      </c>
      <c r="H979">
        <v>764</v>
      </c>
      <c r="I979" t="s">
        <v>221</v>
      </c>
      <c r="J979">
        <v>1</v>
      </c>
      <c r="K979" t="s">
        <v>1563</v>
      </c>
    </row>
    <row r="980" spans="1:11">
      <c r="A980" t="s">
        <v>1537</v>
      </c>
      <c r="B980" t="s">
        <v>100</v>
      </c>
      <c r="C980" t="s">
        <v>12</v>
      </c>
      <c r="D980">
        <v>864</v>
      </c>
      <c r="E980" s="4">
        <v>46086</v>
      </c>
      <c r="F980" s="4">
        <v>46098</v>
      </c>
      <c r="G980" s="4">
        <v>46098</v>
      </c>
      <c r="H980">
        <v>879</v>
      </c>
      <c r="I980" t="s">
        <v>505</v>
      </c>
      <c r="J980">
        <v>24</v>
      </c>
      <c r="K980" t="s">
        <v>1563</v>
      </c>
    </row>
    <row r="981" spans="1:11">
      <c r="A981" t="s">
        <v>1538</v>
      </c>
      <c r="B981" t="s">
        <v>49</v>
      </c>
      <c r="C981" t="s">
        <v>16</v>
      </c>
      <c r="D981">
        <v>405</v>
      </c>
      <c r="E981" s="4">
        <v>46070</v>
      </c>
      <c r="F981" s="4">
        <v>46079</v>
      </c>
      <c r="G981" s="4">
        <v>46079</v>
      </c>
      <c r="H981">
        <v>405</v>
      </c>
      <c r="I981" t="s">
        <v>1331</v>
      </c>
      <c r="J981">
        <v>2</v>
      </c>
      <c r="K981" t="s">
        <v>1563</v>
      </c>
    </row>
    <row r="982" spans="1:11">
      <c r="A982" t="s">
        <v>1539</v>
      </c>
      <c r="B982" t="s">
        <v>120</v>
      </c>
      <c r="C982" t="s">
        <v>16</v>
      </c>
      <c r="D982">
        <v>930</v>
      </c>
      <c r="E982" s="4">
        <v>46050</v>
      </c>
      <c r="F982" s="4">
        <v>46057</v>
      </c>
      <c r="G982" s="4">
        <v>46055</v>
      </c>
      <c r="H982">
        <v>759</v>
      </c>
      <c r="I982" t="s">
        <v>1092</v>
      </c>
      <c r="J982">
        <v>29</v>
      </c>
      <c r="K982" t="s">
        <v>1563</v>
      </c>
    </row>
    <row r="983" spans="1:11">
      <c r="A983" t="s">
        <v>1540</v>
      </c>
      <c r="B983" t="s">
        <v>177</v>
      </c>
      <c r="C983" t="s">
        <v>16</v>
      </c>
      <c r="D983">
        <v>342</v>
      </c>
      <c r="E983" s="4">
        <v>46028</v>
      </c>
      <c r="F983" s="4">
        <v>46035</v>
      </c>
      <c r="G983" s="4">
        <v>46034</v>
      </c>
      <c r="H983">
        <v>341</v>
      </c>
      <c r="I983" t="s">
        <v>767</v>
      </c>
      <c r="J983">
        <v>13</v>
      </c>
      <c r="K983" t="s">
        <v>1563</v>
      </c>
    </row>
    <row r="984" spans="1:11">
      <c r="A984" t="s">
        <v>1541</v>
      </c>
      <c r="B984" t="s">
        <v>52</v>
      </c>
      <c r="C984" t="s">
        <v>16</v>
      </c>
      <c r="D984">
        <v>994</v>
      </c>
      <c r="E984" s="4">
        <v>46038</v>
      </c>
      <c r="F984" s="4">
        <v>46048</v>
      </c>
      <c r="G984" s="4">
        <v>46045</v>
      </c>
      <c r="H984">
        <v>995</v>
      </c>
      <c r="I984" t="s">
        <v>169</v>
      </c>
      <c r="J984">
        <v>28</v>
      </c>
      <c r="K984" t="s">
        <v>1563</v>
      </c>
    </row>
    <row r="985" spans="1:11">
      <c r="A985" t="s">
        <v>1542</v>
      </c>
      <c r="B985" t="s">
        <v>40</v>
      </c>
      <c r="C985" t="s">
        <v>16</v>
      </c>
      <c r="D985">
        <v>505</v>
      </c>
      <c r="E985" s="4">
        <v>46130</v>
      </c>
      <c r="F985" s="4">
        <v>46140</v>
      </c>
      <c r="G985" s="4">
        <v>46142</v>
      </c>
      <c r="H985">
        <v>498</v>
      </c>
      <c r="I985" t="s">
        <v>810</v>
      </c>
      <c r="J985">
        <v>21</v>
      </c>
      <c r="K985" t="s">
        <v>1563</v>
      </c>
    </row>
    <row r="986" spans="1:11">
      <c r="A986" t="s">
        <v>1543</v>
      </c>
      <c r="B986" t="s">
        <v>26</v>
      </c>
      <c r="C986" t="s">
        <v>12</v>
      </c>
      <c r="D986">
        <v>495</v>
      </c>
      <c r="E986" s="4">
        <v>46033</v>
      </c>
      <c r="F986" s="4">
        <v>46045</v>
      </c>
      <c r="G986" s="4">
        <v>46044</v>
      </c>
      <c r="H986">
        <v>460</v>
      </c>
      <c r="I986" t="s">
        <v>312</v>
      </c>
      <c r="J986">
        <v>7</v>
      </c>
      <c r="K986" t="s">
        <v>1563</v>
      </c>
    </row>
    <row r="987" spans="1:11">
      <c r="A987" t="s">
        <v>1544</v>
      </c>
      <c r="B987" t="s">
        <v>67</v>
      </c>
      <c r="C987" t="s">
        <v>12</v>
      </c>
      <c r="D987">
        <v>435</v>
      </c>
      <c r="E987" s="4">
        <v>46140</v>
      </c>
      <c r="F987" s="4">
        <v>46145</v>
      </c>
      <c r="G987" s="4">
        <v>46148</v>
      </c>
      <c r="H987">
        <v>434</v>
      </c>
      <c r="I987" t="s">
        <v>690</v>
      </c>
      <c r="J987">
        <v>10</v>
      </c>
      <c r="K987" t="s">
        <v>1563</v>
      </c>
    </row>
    <row r="988" spans="1:11">
      <c r="A988" t="s">
        <v>1545</v>
      </c>
      <c r="B988" t="s">
        <v>11</v>
      </c>
      <c r="C988" t="s">
        <v>23</v>
      </c>
      <c r="D988">
        <v>685</v>
      </c>
      <c r="E988" s="4">
        <v>46134</v>
      </c>
      <c r="F988" s="4">
        <v>46140</v>
      </c>
      <c r="G988" s="4"/>
      <c r="I988" t="s">
        <v>103</v>
      </c>
      <c r="K988" t="s">
        <v>1565</v>
      </c>
    </row>
    <row r="989" spans="1:11">
      <c r="A989" t="s">
        <v>1546</v>
      </c>
      <c r="B989" t="s">
        <v>52</v>
      </c>
      <c r="C989" t="s">
        <v>16</v>
      </c>
      <c r="D989">
        <v>258</v>
      </c>
      <c r="E989" s="4">
        <v>46071</v>
      </c>
      <c r="F989" s="4">
        <v>46085</v>
      </c>
      <c r="G989" s="4">
        <v>46091</v>
      </c>
      <c r="H989">
        <v>258</v>
      </c>
      <c r="I989" t="s">
        <v>1306</v>
      </c>
      <c r="J989">
        <v>2</v>
      </c>
      <c r="K989" t="s">
        <v>1563</v>
      </c>
    </row>
    <row r="990" spans="1:11">
      <c r="A990" t="s">
        <v>1547</v>
      </c>
      <c r="B990" t="s">
        <v>29</v>
      </c>
      <c r="C990" t="s">
        <v>23</v>
      </c>
      <c r="D990">
        <v>333</v>
      </c>
      <c r="E990" s="4">
        <v>46049</v>
      </c>
      <c r="F990" s="4">
        <v>46054</v>
      </c>
      <c r="G990" s="4">
        <v>46056</v>
      </c>
      <c r="H990">
        <v>308</v>
      </c>
      <c r="I990" t="s">
        <v>592</v>
      </c>
      <c r="J990">
        <v>3</v>
      </c>
      <c r="K990" t="s">
        <v>1563</v>
      </c>
    </row>
    <row r="991" spans="1:11">
      <c r="A991" t="s">
        <v>1548</v>
      </c>
      <c r="B991" t="s">
        <v>32</v>
      </c>
      <c r="C991" t="s">
        <v>12</v>
      </c>
      <c r="D991">
        <v>526</v>
      </c>
      <c r="E991" s="4">
        <v>46066</v>
      </c>
      <c r="F991" s="4">
        <v>46071</v>
      </c>
      <c r="G991" s="4">
        <v>46071</v>
      </c>
      <c r="H991">
        <v>504</v>
      </c>
      <c r="I991" t="s">
        <v>1549</v>
      </c>
      <c r="J991">
        <v>2</v>
      </c>
      <c r="K991" t="s">
        <v>1563</v>
      </c>
    </row>
    <row r="992" spans="1:11">
      <c r="A992" t="s">
        <v>1550</v>
      </c>
      <c r="B992" t="s">
        <v>19</v>
      </c>
      <c r="C992" t="s">
        <v>12</v>
      </c>
      <c r="D992">
        <v>502</v>
      </c>
      <c r="E992" s="4">
        <v>46084</v>
      </c>
      <c r="F992" s="4">
        <v>46096</v>
      </c>
      <c r="G992" s="4">
        <v>46093</v>
      </c>
      <c r="H992">
        <v>422</v>
      </c>
      <c r="I992" t="s">
        <v>936</v>
      </c>
      <c r="J992">
        <v>24</v>
      </c>
      <c r="K992" t="s">
        <v>1563</v>
      </c>
    </row>
    <row r="993" spans="1:11">
      <c r="A993" t="s">
        <v>1551</v>
      </c>
      <c r="B993" t="s">
        <v>26</v>
      </c>
      <c r="C993" t="s">
        <v>16</v>
      </c>
      <c r="D993">
        <v>220</v>
      </c>
      <c r="E993" s="4">
        <v>46124</v>
      </c>
      <c r="F993" s="4">
        <v>46131</v>
      </c>
      <c r="G993" s="4">
        <v>46129</v>
      </c>
      <c r="H993">
        <v>211</v>
      </c>
      <c r="I993" t="s">
        <v>1302</v>
      </c>
      <c r="J993">
        <v>5</v>
      </c>
      <c r="K993" t="s">
        <v>1563</v>
      </c>
    </row>
    <row r="994" spans="1:11">
      <c r="A994" t="s">
        <v>1552</v>
      </c>
      <c r="B994" t="s">
        <v>43</v>
      </c>
      <c r="C994" t="s">
        <v>12</v>
      </c>
      <c r="D994">
        <v>115</v>
      </c>
      <c r="E994" s="4">
        <v>46061</v>
      </c>
      <c r="F994" s="4">
        <v>46071</v>
      </c>
      <c r="G994" s="4">
        <v>46080</v>
      </c>
      <c r="H994">
        <v>115</v>
      </c>
      <c r="I994" t="s">
        <v>385</v>
      </c>
      <c r="J994">
        <v>1</v>
      </c>
      <c r="K994" t="s">
        <v>1563</v>
      </c>
    </row>
    <row r="995" spans="1:11">
      <c r="A995" t="s">
        <v>1553</v>
      </c>
      <c r="B995" t="s">
        <v>100</v>
      </c>
      <c r="C995" t="s">
        <v>16</v>
      </c>
      <c r="D995">
        <v>336</v>
      </c>
      <c r="E995" s="4">
        <v>46152</v>
      </c>
      <c r="F995" s="4">
        <v>46167</v>
      </c>
      <c r="G995" s="4">
        <v>46167</v>
      </c>
      <c r="H995">
        <v>331</v>
      </c>
      <c r="I995" t="s">
        <v>1269</v>
      </c>
      <c r="J995">
        <v>0</v>
      </c>
      <c r="K995" t="s">
        <v>1563</v>
      </c>
    </row>
    <row r="996" spans="1:11">
      <c r="A996" t="s">
        <v>1554</v>
      </c>
      <c r="B996" t="s">
        <v>22</v>
      </c>
      <c r="C996" t="s">
        <v>23</v>
      </c>
      <c r="D996">
        <v>917</v>
      </c>
      <c r="E996" s="4">
        <v>46083</v>
      </c>
      <c r="F996" s="4">
        <v>46091</v>
      </c>
      <c r="G996" s="4">
        <v>46100</v>
      </c>
      <c r="H996">
        <v>923</v>
      </c>
      <c r="I996" t="s">
        <v>1564</v>
      </c>
      <c r="J996">
        <v>80</v>
      </c>
      <c r="K996" t="s">
        <v>1563</v>
      </c>
    </row>
    <row r="997" spans="1:11">
      <c r="A997" t="s">
        <v>1555</v>
      </c>
      <c r="B997" t="s">
        <v>35</v>
      </c>
      <c r="C997" t="s">
        <v>16</v>
      </c>
      <c r="D997">
        <v>811</v>
      </c>
      <c r="E997" s="4">
        <v>46138</v>
      </c>
      <c r="F997" s="4">
        <v>46153</v>
      </c>
      <c r="G997" s="4">
        <v>46152</v>
      </c>
      <c r="H997">
        <v>803</v>
      </c>
      <c r="I997" t="s">
        <v>1365</v>
      </c>
      <c r="J997">
        <v>24</v>
      </c>
      <c r="K997" t="s">
        <v>1563</v>
      </c>
    </row>
    <row r="998" spans="1:11">
      <c r="A998" t="s">
        <v>1556</v>
      </c>
      <c r="B998" t="s">
        <v>11</v>
      </c>
      <c r="C998" t="s">
        <v>16</v>
      </c>
      <c r="D998">
        <v>945</v>
      </c>
      <c r="E998" s="4">
        <v>46073</v>
      </c>
      <c r="F998" s="4">
        <v>46086</v>
      </c>
      <c r="G998" s="4"/>
      <c r="I998" t="s">
        <v>1557</v>
      </c>
      <c r="K998" t="s">
        <v>1565</v>
      </c>
    </row>
    <row r="999" spans="1:11">
      <c r="A999" t="s">
        <v>1558</v>
      </c>
      <c r="B999" t="s">
        <v>64</v>
      </c>
      <c r="C999" t="s">
        <v>23</v>
      </c>
      <c r="D999">
        <v>150</v>
      </c>
      <c r="E999" s="4">
        <v>46077</v>
      </c>
      <c r="F999" s="4">
        <v>46089</v>
      </c>
      <c r="G999" s="4">
        <v>46088</v>
      </c>
      <c r="H999">
        <v>142</v>
      </c>
      <c r="I999" t="s">
        <v>1559</v>
      </c>
      <c r="J999">
        <v>1</v>
      </c>
      <c r="K999" t="s">
        <v>1563</v>
      </c>
    </row>
    <row r="1000" spans="1:11">
      <c r="A1000" t="s">
        <v>1560</v>
      </c>
      <c r="B1000" t="s">
        <v>46</v>
      </c>
      <c r="C1000" t="s">
        <v>16</v>
      </c>
      <c r="D1000">
        <v>118</v>
      </c>
      <c r="E1000" s="4">
        <v>46058</v>
      </c>
      <c r="F1000" s="4">
        <v>46069</v>
      </c>
      <c r="G1000" s="4">
        <v>46066</v>
      </c>
      <c r="H1000">
        <v>119</v>
      </c>
      <c r="I1000" t="s">
        <v>318</v>
      </c>
      <c r="J1000">
        <v>3</v>
      </c>
      <c r="K1000" t="s">
        <v>1563</v>
      </c>
    </row>
    <row r="1001" spans="1:11">
      <c r="A1001" t="s">
        <v>1561</v>
      </c>
      <c r="B1001" t="s">
        <v>22</v>
      </c>
      <c r="C1001" t="s">
        <v>12</v>
      </c>
      <c r="D1001">
        <v>840</v>
      </c>
      <c r="E1001" s="4">
        <v>46111</v>
      </c>
      <c r="F1001" s="4">
        <v>46117</v>
      </c>
      <c r="G1001" s="4">
        <v>46116</v>
      </c>
      <c r="H1001">
        <v>833</v>
      </c>
      <c r="I1001" t="s">
        <v>195</v>
      </c>
      <c r="J1001">
        <v>71</v>
      </c>
      <c r="K1001" t="s">
        <v>1563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DCA1-9360-4BEA-A456-FDF4E74A22D1}">
  <dimension ref="A1:T1001"/>
  <sheetViews>
    <sheetView topLeftCell="G1" zoomScale="85" zoomScaleNormal="85" workbookViewId="0"/>
  </sheetViews>
  <sheetFormatPr defaultRowHeight="14.4"/>
  <cols>
    <col min="1" max="1" width="13.5546875" bestFit="1" customWidth="1"/>
    <col min="2" max="2" width="15.5546875" bestFit="1" customWidth="1"/>
    <col min="3" max="3" width="11.88671875" bestFit="1" customWidth="1"/>
    <col min="4" max="4" width="14.109375" bestFit="1" customWidth="1"/>
    <col min="5" max="5" width="15.44140625" bestFit="1" customWidth="1"/>
    <col min="6" max="6" width="16.109375" bestFit="1" customWidth="1"/>
    <col min="7" max="7" width="15.77734375" bestFit="1" customWidth="1"/>
    <col min="8" max="8" width="14.77734375" bestFit="1" customWidth="1"/>
    <col min="9" max="9" width="12.6640625" bestFit="1" customWidth="1"/>
    <col min="10" max="10" width="14.5546875" bestFit="1" customWidth="1"/>
    <col min="11" max="11" width="11.88671875" bestFit="1" customWidth="1"/>
    <col min="12" max="12" width="15.6640625" bestFit="1" customWidth="1"/>
    <col min="13" max="13" width="16.21875" bestFit="1" customWidth="1"/>
    <col min="15" max="15" width="17.44140625" bestFit="1" customWidth="1"/>
    <col min="16" max="16" width="12.6640625" style="6" bestFit="1" customWidth="1"/>
    <col min="17" max="17" width="18.44140625" style="6" bestFit="1" customWidth="1"/>
    <col min="18" max="18" width="15.109375" bestFit="1" customWidth="1"/>
    <col min="19" max="19" width="12.88671875" bestFit="1" customWidth="1"/>
  </cols>
  <sheetData>
    <row r="1" spans="1:20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3</v>
      </c>
      <c r="J1" t="s">
        <v>9</v>
      </c>
      <c r="K1" t="s">
        <v>1562</v>
      </c>
      <c r="L1" s="5" t="s">
        <v>1566</v>
      </c>
      <c r="M1" t="s">
        <v>1567</v>
      </c>
      <c r="N1" t="s">
        <v>1568</v>
      </c>
      <c r="O1" t="s">
        <v>1569</v>
      </c>
      <c r="P1" s="6" t="s">
        <v>1570</v>
      </c>
      <c r="Q1" s="6" t="s">
        <v>1571</v>
      </c>
      <c r="R1" t="s">
        <v>1575</v>
      </c>
      <c r="S1" t="s">
        <v>1579</v>
      </c>
      <c r="T1" t="s">
        <v>1588</v>
      </c>
    </row>
    <row r="2" spans="1:20">
      <c r="A2" t="s">
        <v>10</v>
      </c>
      <c r="B2" t="s">
        <v>11</v>
      </c>
      <c r="C2" t="s">
        <v>12</v>
      </c>
      <c r="D2">
        <v>225</v>
      </c>
      <c r="E2" s="4">
        <v>46131</v>
      </c>
      <c r="F2" s="4">
        <v>46141</v>
      </c>
      <c r="G2" s="4">
        <v>46140</v>
      </c>
      <c r="H2">
        <v>186</v>
      </c>
      <c r="I2" t="s">
        <v>13</v>
      </c>
      <c r="J2">
        <v>6</v>
      </c>
      <c r="K2" t="s">
        <v>1563</v>
      </c>
      <c r="L2" t="str">
        <f t="shared" ref="L2:L65" si="0">IF(G2="","N/A",IF(G2&lt;=F2,"Y","N"))</f>
        <v>Y</v>
      </c>
      <c r="M2" t="str">
        <f t="shared" ref="M2:M65" si="1">IF(H2="","N/A",IF(H2&gt;=D2*0.98,"Y","N"))</f>
        <v>N</v>
      </c>
      <c r="N2" t="str">
        <f t="shared" ref="N2:N65" si="2">IF(OR(L2="N/A",M2="N/A"),"N/A",IF(AND(L2="Y",M2="Y"),"Y","N"))</f>
        <v>N</v>
      </c>
      <c r="O2">
        <f t="shared" ref="O2:O65" si="3">IF(G2="","N/A",G2-E2)</f>
        <v>9</v>
      </c>
      <c r="P2" s="6">
        <f t="shared" ref="P2:P65" si="4">IF(H2="","N/A",H2/D2)</f>
        <v>0.82666666666666666</v>
      </c>
      <c r="Q2" s="6">
        <f t="shared" ref="Q2:Q65" si="5">IF(H2="","N/A",IF(H2=0,0,J2/H2))</f>
        <v>3.2258064516129031E-2</v>
      </c>
      <c r="R2">
        <f t="shared" ref="R2:R65" si="6">IF(N2="Y",1,IF(N2="N",0,""))</f>
        <v>0</v>
      </c>
      <c r="S2">
        <f t="shared" ref="S2:S65" si="7">IF(G2="","N/A",MAX(G2-F2,0))</f>
        <v>0</v>
      </c>
      <c r="T2" t="str">
        <f t="shared" ref="T2:T65" si="8">IF(G2="","N/A",TEXT(G2,"mmm-yy"))</f>
        <v>Apr-26</v>
      </c>
    </row>
    <row r="3" spans="1:20">
      <c r="A3" t="s">
        <v>14</v>
      </c>
      <c r="B3" t="s">
        <v>54</v>
      </c>
      <c r="C3" t="s">
        <v>16</v>
      </c>
      <c r="D3">
        <v>875</v>
      </c>
      <c r="E3" s="4">
        <v>46142</v>
      </c>
      <c r="F3" s="4">
        <v>46156</v>
      </c>
      <c r="G3" s="4">
        <v>46154</v>
      </c>
      <c r="H3">
        <v>859</v>
      </c>
      <c r="I3" t="s">
        <v>17</v>
      </c>
      <c r="J3">
        <v>10</v>
      </c>
      <c r="K3" t="s">
        <v>1563</v>
      </c>
      <c r="L3" t="str">
        <f t="shared" si="0"/>
        <v>Y</v>
      </c>
      <c r="M3" t="str">
        <f t="shared" si="1"/>
        <v>Y</v>
      </c>
      <c r="N3" t="str">
        <f t="shared" si="2"/>
        <v>Y</v>
      </c>
      <c r="O3">
        <f t="shared" si="3"/>
        <v>12</v>
      </c>
      <c r="P3" s="6">
        <f t="shared" si="4"/>
        <v>0.98171428571428576</v>
      </c>
      <c r="Q3" s="6">
        <f t="shared" si="5"/>
        <v>1.1641443538998836E-2</v>
      </c>
      <c r="R3">
        <f t="shared" si="6"/>
        <v>1</v>
      </c>
      <c r="S3">
        <f t="shared" si="7"/>
        <v>0</v>
      </c>
      <c r="T3" t="str">
        <f t="shared" si="8"/>
        <v>May-26</v>
      </c>
    </row>
    <row r="4" spans="1:20">
      <c r="A4" t="s">
        <v>18</v>
      </c>
      <c r="B4" t="s">
        <v>19</v>
      </c>
      <c r="C4" t="s">
        <v>12</v>
      </c>
      <c r="D4">
        <v>288</v>
      </c>
      <c r="E4" s="4">
        <v>46028</v>
      </c>
      <c r="F4" s="4">
        <v>46038</v>
      </c>
      <c r="G4" s="4">
        <v>46037</v>
      </c>
      <c r="H4">
        <v>283</v>
      </c>
      <c r="I4" t="s">
        <v>20</v>
      </c>
      <c r="J4">
        <v>9</v>
      </c>
      <c r="K4" t="s">
        <v>1563</v>
      </c>
      <c r="L4" t="str">
        <f t="shared" si="0"/>
        <v>Y</v>
      </c>
      <c r="M4" t="str">
        <f t="shared" si="1"/>
        <v>Y</v>
      </c>
      <c r="N4" t="str">
        <f t="shared" si="2"/>
        <v>Y</v>
      </c>
      <c r="O4">
        <f t="shared" si="3"/>
        <v>9</v>
      </c>
      <c r="P4" s="6">
        <f t="shared" si="4"/>
        <v>0.98263888888888884</v>
      </c>
      <c r="Q4" s="6">
        <f t="shared" si="5"/>
        <v>3.1802120141342753E-2</v>
      </c>
      <c r="R4">
        <f t="shared" si="6"/>
        <v>1</v>
      </c>
      <c r="S4">
        <f t="shared" si="7"/>
        <v>0</v>
      </c>
      <c r="T4" t="str">
        <f t="shared" si="8"/>
        <v>Jan-26</v>
      </c>
    </row>
    <row r="5" spans="1:20">
      <c r="A5" t="s">
        <v>21</v>
      </c>
      <c r="B5" t="s">
        <v>22</v>
      </c>
      <c r="C5" t="s">
        <v>23</v>
      </c>
      <c r="D5">
        <v>876</v>
      </c>
      <c r="E5" s="4">
        <v>46039</v>
      </c>
      <c r="F5" s="4">
        <v>46046</v>
      </c>
      <c r="G5" s="4">
        <v>46054</v>
      </c>
      <c r="H5">
        <v>877</v>
      </c>
      <c r="I5" t="s">
        <v>24</v>
      </c>
      <c r="J5">
        <v>8</v>
      </c>
      <c r="K5" t="s">
        <v>1563</v>
      </c>
      <c r="L5" t="str">
        <f t="shared" si="0"/>
        <v>N</v>
      </c>
      <c r="M5" t="str">
        <f t="shared" si="1"/>
        <v>Y</v>
      </c>
      <c r="N5" t="str">
        <f t="shared" si="2"/>
        <v>N</v>
      </c>
      <c r="O5">
        <f t="shared" si="3"/>
        <v>15</v>
      </c>
      <c r="P5" s="6">
        <f t="shared" si="4"/>
        <v>1.0011415525114156</v>
      </c>
      <c r="Q5" s="6">
        <f t="shared" si="5"/>
        <v>9.1220068415051314E-3</v>
      </c>
      <c r="R5">
        <f t="shared" si="6"/>
        <v>0</v>
      </c>
      <c r="S5">
        <f t="shared" si="7"/>
        <v>8</v>
      </c>
      <c r="T5" t="str">
        <f t="shared" si="8"/>
        <v>Feb-26</v>
      </c>
    </row>
    <row r="6" spans="1:20">
      <c r="A6" t="s">
        <v>25</v>
      </c>
      <c r="B6" t="s">
        <v>26</v>
      </c>
      <c r="C6" t="s">
        <v>16</v>
      </c>
      <c r="D6">
        <v>445</v>
      </c>
      <c r="E6" s="4">
        <v>46089</v>
      </c>
      <c r="F6" s="4">
        <v>46094</v>
      </c>
      <c r="G6" s="4">
        <v>46094</v>
      </c>
      <c r="H6">
        <v>442</v>
      </c>
      <c r="I6" t="s">
        <v>27</v>
      </c>
      <c r="J6">
        <v>6</v>
      </c>
      <c r="K6" t="s">
        <v>1563</v>
      </c>
      <c r="L6" t="str">
        <f t="shared" si="0"/>
        <v>Y</v>
      </c>
      <c r="M6" t="str">
        <f t="shared" si="1"/>
        <v>Y</v>
      </c>
      <c r="N6" t="str">
        <f t="shared" si="2"/>
        <v>Y</v>
      </c>
      <c r="O6">
        <f t="shared" si="3"/>
        <v>5</v>
      </c>
      <c r="P6" s="6">
        <f t="shared" si="4"/>
        <v>0.99325842696629218</v>
      </c>
      <c r="Q6" s="6">
        <f t="shared" si="5"/>
        <v>1.3574660633484163E-2</v>
      </c>
      <c r="R6">
        <f t="shared" si="6"/>
        <v>1</v>
      </c>
      <c r="S6">
        <f t="shared" si="7"/>
        <v>0</v>
      </c>
      <c r="T6" t="str">
        <f t="shared" si="8"/>
        <v>Mar-26</v>
      </c>
    </row>
    <row r="7" spans="1:20">
      <c r="A7" t="s">
        <v>28</v>
      </c>
      <c r="B7" t="s">
        <v>29</v>
      </c>
      <c r="C7" t="s">
        <v>12</v>
      </c>
      <c r="D7">
        <v>482</v>
      </c>
      <c r="E7" s="4">
        <v>46134</v>
      </c>
      <c r="F7" s="4">
        <v>46147</v>
      </c>
      <c r="G7" s="4">
        <v>46146</v>
      </c>
      <c r="H7">
        <v>473</v>
      </c>
      <c r="I7" t="s">
        <v>30</v>
      </c>
      <c r="J7">
        <v>3</v>
      </c>
      <c r="K7" t="s">
        <v>1563</v>
      </c>
      <c r="L7" t="str">
        <f t="shared" si="0"/>
        <v>Y</v>
      </c>
      <c r="M7" t="str">
        <f t="shared" si="1"/>
        <v>Y</v>
      </c>
      <c r="N7" t="str">
        <f t="shared" si="2"/>
        <v>Y</v>
      </c>
      <c r="O7">
        <f t="shared" si="3"/>
        <v>12</v>
      </c>
      <c r="P7" s="6">
        <f t="shared" si="4"/>
        <v>0.98132780082987547</v>
      </c>
      <c r="Q7" s="6">
        <f t="shared" si="5"/>
        <v>6.3424947145877377E-3</v>
      </c>
      <c r="R7">
        <f t="shared" si="6"/>
        <v>1</v>
      </c>
      <c r="S7">
        <f t="shared" si="7"/>
        <v>0</v>
      </c>
      <c r="T7" t="str">
        <f t="shared" si="8"/>
        <v>May-26</v>
      </c>
    </row>
    <row r="8" spans="1:20">
      <c r="A8" t="s">
        <v>31</v>
      </c>
      <c r="B8" t="s">
        <v>32</v>
      </c>
      <c r="C8" t="s">
        <v>23</v>
      </c>
      <c r="D8">
        <v>810</v>
      </c>
      <c r="E8" s="4">
        <v>46043</v>
      </c>
      <c r="F8" s="4">
        <v>46050</v>
      </c>
      <c r="G8" s="4">
        <v>46050</v>
      </c>
      <c r="H8">
        <v>805</v>
      </c>
      <c r="I8" t="s">
        <v>33</v>
      </c>
      <c r="J8">
        <v>7</v>
      </c>
      <c r="K8" t="s">
        <v>1563</v>
      </c>
      <c r="L8" t="str">
        <f t="shared" si="0"/>
        <v>Y</v>
      </c>
      <c r="M8" t="str">
        <f t="shared" si="1"/>
        <v>Y</v>
      </c>
      <c r="N8" t="str">
        <f t="shared" si="2"/>
        <v>Y</v>
      </c>
      <c r="O8">
        <f t="shared" si="3"/>
        <v>7</v>
      </c>
      <c r="P8" s="6">
        <f t="shared" si="4"/>
        <v>0.99382716049382713</v>
      </c>
      <c r="Q8" s="6">
        <f t="shared" si="5"/>
        <v>8.6956521739130436E-3</v>
      </c>
      <c r="R8">
        <f t="shared" si="6"/>
        <v>1</v>
      </c>
      <c r="S8">
        <f t="shared" si="7"/>
        <v>0</v>
      </c>
      <c r="T8" t="str">
        <f t="shared" si="8"/>
        <v>Jan-26</v>
      </c>
    </row>
    <row r="9" spans="1:20">
      <c r="A9" t="s">
        <v>34</v>
      </c>
      <c r="B9" t="s">
        <v>35</v>
      </c>
      <c r="C9" t="s">
        <v>23</v>
      </c>
      <c r="D9">
        <v>208</v>
      </c>
      <c r="E9" s="4">
        <v>46161</v>
      </c>
      <c r="F9" s="4">
        <v>46174</v>
      </c>
      <c r="G9" s="4">
        <v>46172</v>
      </c>
      <c r="H9">
        <v>183</v>
      </c>
      <c r="I9" t="s">
        <v>36</v>
      </c>
      <c r="J9">
        <v>4</v>
      </c>
      <c r="K9" t="s">
        <v>1563</v>
      </c>
      <c r="L9" t="str">
        <f t="shared" si="0"/>
        <v>Y</v>
      </c>
      <c r="M9" t="str">
        <f t="shared" si="1"/>
        <v>N</v>
      </c>
      <c r="N9" t="str">
        <f t="shared" si="2"/>
        <v>N</v>
      </c>
      <c r="O9">
        <f t="shared" si="3"/>
        <v>11</v>
      </c>
      <c r="P9" s="6">
        <f t="shared" si="4"/>
        <v>0.87980769230769229</v>
      </c>
      <c r="Q9" s="6">
        <f t="shared" si="5"/>
        <v>2.185792349726776E-2</v>
      </c>
      <c r="R9">
        <f t="shared" si="6"/>
        <v>0</v>
      </c>
      <c r="S9">
        <f t="shared" si="7"/>
        <v>0</v>
      </c>
      <c r="T9" t="str">
        <f t="shared" si="8"/>
        <v>May-26</v>
      </c>
    </row>
    <row r="10" spans="1:20">
      <c r="A10" t="s">
        <v>37</v>
      </c>
      <c r="B10" t="s">
        <v>19</v>
      </c>
      <c r="C10" t="s">
        <v>12</v>
      </c>
      <c r="D10">
        <v>266</v>
      </c>
      <c r="E10" s="4">
        <v>46089</v>
      </c>
      <c r="F10" s="4">
        <v>46102</v>
      </c>
      <c r="G10" s="4">
        <v>46099</v>
      </c>
      <c r="H10">
        <v>270</v>
      </c>
      <c r="I10" t="s">
        <v>38</v>
      </c>
      <c r="J10">
        <v>2</v>
      </c>
      <c r="K10" t="s">
        <v>1563</v>
      </c>
      <c r="L10" t="str">
        <f t="shared" si="0"/>
        <v>Y</v>
      </c>
      <c r="M10" t="str">
        <f t="shared" si="1"/>
        <v>Y</v>
      </c>
      <c r="N10" t="str">
        <f t="shared" si="2"/>
        <v>Y</v>
      </c>
      <c r="O10">
        <f t="shared" si="3"/>
        <v>10</v>
      </c>
      <c r="P10" s="6">
        <f t="shared" si="4"/>
        <v>1.0150375939849625</v>
      </c>
      <c r="Q10" s="6">
        <f t="shared" si="5"/>
        <v>7.4074074074074077E-3</v>
      </c>
      <c r="R10">
        <f t="shared" si="6"/>
        <v>1</v>
      </c>
      <c r="S10">
        <f t="shared" si="7"/>
        <v>0</v>
      </c>
      <c r="T10" t="str">
        <f t="shared" si="8"/>
        <v>Mar-26</v>
      </c>
    </row>
    <row r="11" spans="1:20">
      <c r="A11" t="s">
        <v>39</v>
      </c>
      <c r="B11" t="s">
        <v>40</v>
      </c>
      <c r="C11" t="s">
        <v>23</v>
      </c>
      <c r="D11">
        <v>184</v>
      </c>
      <c r="E11" s="4">
        <v>46084</v>
      </c>
      <c r="F11" s="4">
        <v>46089</v>
      </c>
      <c r="G11" s="4">
        <v>46092</v>
      </c>
      <c r="H11">
        <v>183</v>
      </c>
      <c r="I11" t="s">
        <v>41</v>
      </c>
      <c r="J11">
        <v>1</v>
      </c>
      <c r="K11" t="s">
        <v>1563</v>
      </c>
      <c r="L11" t="str">
        <f t="shared" si="0"/>
        <v>N</v>
      </c>
      <c r="M11" t="str">
        <f t="shared" si="1"/>
        <v>Y</v>
      </c>
      <c r="N11" t="str">
        <f t="shared" si="2"/>
        <v>N</v>
      </c>
      <c r="O11">
        <f t="shared" si="3"/>
        <v>8</v>
      </c>
      <c r="P11" s="6">
        <f t="shared" si="4"/>
        <v>0.99456521739130432</v>
      </c>
      <c r="Q11" s="6">
        <f t="shared" si="5"/>
        <v>5.4644808743169399E-3</v>
      </c>
      <c r="R11">
        <f t="shared" si="6"/>
        <v>0</v>
      </c>
      <c r="S11">
        <f t="shared" si="7"/>
        <v>3</v>
      </c>
      <c r="T11" t="str">
        <f t="shared" si="8"/>
        <v>Mar-26</v>
      </c>
    </row>
    <row r="12" spans="1:20">
      <c r="A12" t="s">
        <v>42</v>
      </c>
      <c r="B12" t="s">
        <v>43</v>
      </c>
      <c r="C12" t="s">
        <v>12</v>
      </c>
      <c r="D12">
        <v>242</v>
      </c>
      <c r="E12" s="4">
        <v>46104</v>
      </c>
      <c r="F12" s="4">
        <v>46114</v>
      </c>
      <c r="G12" s="4">
        <v>46113</v>
      </c>
      <c r="H12">
        <v>243</v>
      </c>
      <c r="I12" t="s">
        <v>44</v>
      </c>
      <c r="J12">
        <v>13</v>
      </c>
      <c r="K12" t="s">
        <v>1563</v>
      </c>
      <c r="L12" t="str">
        <f t="shared" si="0"/>
        <v>Y</v>
      </c>
      <c r="M12" t="str">
        <f t="shared" si="1"/>
        <v>Y</v>
      </c>
      <c r="N12" t="str">
        <f t="shared" si="2"/>
        <v>Y</v>
      </c>
      <c r="O12">
        <f t="shared" si="3"/>
        <v>9</v>
      </c>
      <c r="P12" s="6">
        <f t="shared" si="4"/>
        <v>1.0041322314049588</v>
      </c>
      <c r="Q12" s="6">
        <f t="shared" si="5"/>
        <v>5.3497942386831275E-2</v>
      </c>
      <c r="R12">
        <f t="shared" si="6"/>
        <v>1</v>
      </c>
      <c r="S12">
        <f t="shared" si="7"/>
        <v>0</v>
      </c>
      <c r="T12" t="str">
        <f t="shared" si="8"/>
        <v>Apr-26</v>
      </c>
    </row>
    <row r="13" spans="1:20">
      <c r="A13" t="s">
        <v>45</v>
      </c>
      <c r="B13" t="s">
        <v>46</v>
      </c>
      <c r="C13" t="s">
        <v>23</v>
      </c>
      <c r="D13">
        <v>180</v>
      </c>
      <c r="E13" s="4">
        <v>46099</v>
      </c>
      <c r="F13" s="4">
        <v>46104</v>
      </c>
      <c r="G13" s="4">
        <v>46105</v>
      </c>
      <c r="H13">
        <v>181</v>
      </c>
      <c r="I13" t="s">
        <v>47</v>
      </c>
      <c r="J13">
        <v>4</v>
      </c>
      <c r="K13" t="s">
        <v>1563</v>
      </c>
      <c r="L13" t="str">
        <f t="shared" si="0"/>
        <v>N</v>
      </c>
      <c r="M13" t="str">
        <f t="shared" si="1"/>
        <v>Y</v>
      </c>
      <c r="N13" t="str">
        <f t="shared" si="2"/>
        <v>N</v>
      </c>
      <c r="O13">
        <f t="shared" si="3"/>
        <v>6</v>
      </c>
      <c r="P13" s="6">
        <f t="shared" si="4"/>
        <v>1.0055555555555555</v>
      </c>
      <c r="Q13" s="6">
        <f t="shared" si="5"/>
        <v>2.2099447513812154E-2</v>
      </c>
      <c r="R13">
        <f t="shared" si="6"/>
        <v>0</v>
      </c>
      <c r="S13">
        <f t="shared" si="7"/>
        <v>1</v>
      </c>
      <c r="T13" t="str">
        <f t="shared" si="8"/>
        <v>Mar-26</v>
      </c>
    </row>
    <row r="14" spans="1:20">
      <c r="A14" t="s">
        <v>48</v>
      </c>
      <c r="B14" t="s">
        <v>49</v>
      </c>
      <c r="C14" t="s">
        <v>16</v>
      </c>
      <c r="D14">
        <v>480</v>
      </c>
      <c r="E14" s="4">
        <v>46148</v>
      </c>
      <c r="F14" s="4">
        <v>46153</v>
      </c>
      <c r="G14" s="4">
        <v>46161</v>
      </c>
      <c r="H14">
        <v>489</v>
      </c>
      <c r="I14" t="s">
        <v>50</v>
      </c>
      <c r="J14">
        <v>5</v>
      </c>
      <c r="K14" t="s">
        <v>1563</v>
      </c>
      <c r="L14" t="str">
        <f t="shared" si="0"/>
        <v>N</v>
      </c>
      <c r="M14" t="str">
        <f t="shared" si="1"/>
        <v>Y</v>
      </c>
      <c r="N14" t="str">
        <f t="shared" si="2"/>
        <v>N</v>
      </c>
      <c r="O14">
        <f t="shared" si="3"/>
        <v>13</v>
      </c>
      <c r="P14" s="6">
        <f t="shared" si="4"/>
        <v>1.01875</v>
      </c>
      <c r="Q14" s="6">
        <f t="shared" si="5"/>
        <v>1.0224948875255624E-2</v>
      </c>
      <c r="R14">
        <f t="shared" si="6"/>
        <v>0</v>
      </c>
      <c r="S14">
        <f t="shared" si="7"/>
        <v>8</v>
      </c>
      <c r="T14" t="str">
        <f t="shared" si="8"/>
        <v>May-26</v>
      </c>
    </row>
    <row r="15" spans="1:20">
      <c r="A15" t="s">
        <v>51</v>
      </c>
      <c r="B15" t="s">
        <v>52</v>
      </c>
      <c r="C15" t="s">
        <v>12</v>
      </c>
      <c r="D15">
        <v>126</v>
      </c>
      <c r="E15" s="4">
        <v>46151</v>
      </c>
      <c r="F15" s="4">
        <v>46160</v>
      </c>
      <c r="G15" s="4">
        <v>46159</v>
      </c>
      <c r="H15">
        <v>124</v>
      </c>
      <c r="I15" t="s">
        <v>1564</v>
      </c>
      <c r="J15">
        <v>1</v>
      </c>
      <c r="K15" t="s">
        <v>1563</v>
      </c>
      <c r="L15" t="str">
        <f t="shared" si="0"/>
        <v>Y</v>
      </c>
      <c r="M15" t="str">
        <f t="shared" si="1"/>
        <v>Y</v>
      </c>
      <c r="N15" t="str">
        <f t="shared" si="2"/>
        <v>Y</v>
      </c>
      <c r="O15">
        <f t="shared" si="3"/>
        <v>8</v>
      </c>
      <c r="P15" s="6">
        <f t="shared" si="4"/>
        <v>0.98412698412698407</v>
      </c>
      <c r="Q15" s="6">
        <f t="shared" si="5"/>
        <v>8.0645161290322578E-3</v>
      </c>
      <c r="R15">
        <f t="shared" si="6"/>
        <v>1</v>
      </c>
      <c r="S15">
        <f t="shared" si="7"/>
        <v>0</v>
      </c>
      <c r="T15" t="str">
        <f t="shared" si="8"/>
        <v>May-26</v>
      </c>
    </row>
    <row r="16" spans="1:20">
      <c r="A16" t="s">
        <v>53</v>
      </c>
      <c r="B16" t="s">
        <v>54</v>
      </c>
      <c r="C16" t="s">
        <v>12</v>
      </c>
      <c r="D16">
        <v>178</v>
      </c>
      <c r="E16" s="4">
        <v>46030</v>
      </c>
      <c r="F16" s="4">
        <v>46035</v>
      </c>
      <c r="G16" s="4">
        <v>46034</v>
      </c>
      <c r="H16">
        <v>180</v>
      </c>
      <c r="I16" t="s">
        <v>55</v>
      </c>
      <c r="J16">
        <v>1</v>
      </c>
      <c r="K16" t="s">
        <v>1563</v>
      </c>
      <c r="L16" t="str">
        <f t="shared" si="0"/>
        <v>Y</v>
      </c>
      <c r="M16" t="str">
        <f t="shared" si="1"/>
        <v>Y</v>
      </c>
      <c r="N16" t="str">
        <f t="shared" si="2"/>
        <v>Y</v>
      </c>
      <c r="O16">
        <f t="shared" si="3"/>
        <v>4</v>
      </c>
      <c r="P16" s="6">
        <f t="shared" si="4"/>
        <v>1.0112359550561798</v>
      </c>
      <c r="Q16" s="6">
        <f t="shared" si="5"/>
        <v>5.5555555555555558E-3</v>
      </c>
      <c r="R16">
        <f t="shared" si="6"/>
        <v>1</v>
      </c>
      <c r="S16">
        <f t="shared" si="7"/>
        <v>0</v>
      </c>
      <c r="T16" t="str">
        <f t="shared" si="8"/>
        <v>Jan-26</v>
      </c>
    </row>
    <row r="17" spans="1:20">
      <c r="A17" t="s">
        <v>56</v>
      </c>
      <c r="B17" t="s">
        <v>40</v>
      </c>
      <c r="C17" t="s">
        <v>12</v>
      </c>
      <c r="D17">
        <v>369</v>
      </c>
      <c r="E17" s="4">
        <v>46038</v>
      </c>
      <c r="F17" s="4">
        <v>46049</v>
      </c>
      <c r="G17" s="4">
        <v>46051</v>
      </c>
      <c r="H17">
        <v>366</v>
      </c>
      <c r="I17" t="s">
        <v>57</v>
      </c>
      <c r="J17">
        <v>14</v>
      </c>
      <c r="K17" t="s">
        <v>1563</v>
      </c>
      <c r="L17" t="str">
        <f t="shared" si="0"/>
        <v>N</v>
      </c>
      <c r="M17" t="str">
        <f t="shared" si="1"/>
        <v>Y</v>
      </c>
      <c r="N17" t="str">
        <f t="shared" si="2"/>
        <v>N</v>
      </c>
      <c r="O17">
        <f t="shared" si="3"/>
        <v>13</v>
      </c>
      <c r="P17" s="6">
        <f t="shared" si="4"/>
        <v>0.99186991869918695</v>
      </c>
      <c r="Q17" s="6">
        <f t="shared" si="5"/>
        <v>3.825136612021858E-2</v>
      </c>
      <c r="R17">
        <f t="shared" si="6"/>
        <v>0</v>
      </c>
      <c r="S17">
        <f t="shared" si="7"/>
        <v>2</v>
      </c>
      <c r="T17" t="str">
        <f t="shared" si="8"/>
        <v>Jan-26</v>
      </c>
    </row>
    <row r="18" spans="1:20">
      <c r="A18" t="s">
        <v>58</v>
      </c>
      <c r="B18" t="s">
        <v>46</v>
      </c>
      <c r="C18" t="s">
        <v>12</v>
      </c>
      <c r="D18">
        <v>998</v>
      </c>
      <c r="E18" s="4">
        <v>46105</v>
      </c>
      <c r="F18" s="4">
        <v>46111</v>
      </c>
      <c r="G18" s="4">
        <v>46109</v>
      </c>
      <c r="H18">
        <v>996</v>
      </c>
      <c r="I18" t="s">
        <v>59</v>
      </c>
      <c r="J18">
        <v>96</v>
      </c>
      <c r="K18" t="s">
        <v>1563</v>
      </c>
      <c r="L18" t="str">
        <f t="shared" si="0"/>
        <v>Y</v>
      </c>
      <c r="M18" t="str">
        <f t="shared" si="1"/>
        <v>Y</v>
      </c>
      <c r="N18" t="str">
        <f t="shared" si="2"/>
        <v>Y</v>
      </c>
      <c r="O18">
        <f t="shared" si="3"/>
        <v>4</v>
      </c>
      <c r="P18" s="6">
        <f t="shared" si="4"/>
        <v>0.99799599198396793</v>
      </c>
      <c r="Q18" s="6">
        <f t="shared" si="5"/>
        <v>9.6385542168674704E-2</v>
      </c>
      <c r="R18">
        <f t="shared" si="6"/>
        <v>1</v>
      </c>
      <c r="S18">
        <f t="shared" si="7"/>
        <v>0</v>
      </c>
      <c r="T18" t="str">
        <f t="shared" si="8"/>
        <v>Mar-26</v>
      </c>
    </row>
    <row r="19" spans="1:20">
      <c r="A19" t="s">
        <v>60</v>
      </c>
      <c r="B19" t="s">
        <v>54</v>
      </c>
      <c r="C19" t="s">
        <v>23</v>
      </c>
      <c r="D19">
        <v>984</v>
      </c>
      <c r="E19" s="4">
        <v>46074</v>
      </c>
      <c r="F19" s="4">
        <v>46081</v>
      </c>
      <c r="G19" s="4">
        <v>46079</v>
      </c>
      <c r="H19">
        <v>978</v>
      </c>
      <c r="I19" t="s">
        <v>61</v>
      </c>
      <c r="J19">
        <v>23</v>
      </c>
      <c r="K19" t="s">
        <v>1563</v>
      </c>
      <c r="L19" t="str">
        <f t="shared" si="0"/>
        <v>Y</v>
      </c>
      <c r="M19" t="str">
        <f t="shared" si="1"/>
        <v>Y</v>
      </c>
      <c r="N19" t="str">
        <f t="shared" si="2"/>
        <v>Y</v>
      </c>
      <c r="O19">
        <f t="shared" si="3"/>
        <v>5</v>
      </c>
      <c r="P19" s="6">
        <f t="shared" si="4"/>
        <v>0.99390243902439024</v>
      </c>
      <c r="Q19" s="6">
        <f t="shared" si="5"/>
        <v>2.3517382413087935E-2</v>
      </c>
      <c r="R19">
        <f t="shared" si="6"/>
        <v>1</v>
      </c>
      <c r="S19">
        <f t="shared" si="7"/>
        <v>0</v>
      </c>
      <c r="T19" t="str">
        <f t="shared" si="8"/>
        <v>Feb-26</v>
      </c>
    </row>
    <row r="20" spans="1:20">
      <c r="A20" t="s">
        <v>62</v>
      </c>
      <c r="B20" t="s">
        <v>43</v>
      </c>
      <c r="C20" t="s">
        <v>12</v>
      </c>
      <c r="D20">
        <v>586</v>
      </c>
      <c r="E20" s="4">
        <v>46143</v>
      </c>
      <c r="F20" s="4">
        <v>46151</v>
      </c>
      <c r="G20" s="4">
        <v>46148</v>
      </c>
      <c r="H20">
        <v>514</v>
      </c>
      <c r="I20" t="s">
        <v>20</v>
      </c>
      <c r="J20">
        <v>12</v>
      </c>
      <c r="K20" t="s">
        <v>1563</v>
      </c>
      <c r="L20" t="str">
        <f t="shared" si="0"/>
        <v>Y</v>
      </c>
      <c r="M20" t="str">
        <f t="shared" si="1"/>
        <v>N</v>
      </c>
      <c r="N20" t="str">
        <f t="shared" si="2"/>
        <v>N</v>
      </c>
      <c r="O20">
        <f t="shared" si="3"/>
        <v>5</v>
      </c>
      <c r="P20" s="6">
        <f t="shared" si="4"/>
        <v>0.87713310580204773</v>
      </c>
      <c r="Q20" s="6">
        <f t="shared" si="5"/>
        <v>2.3346303501945526E-2</v>
      </c>
      <c r="R20">
        <f t="shared" si="6"/>
        <v>0</v>
      </c>
      <c r="S20">
        <f t="shared" si="7"/>
        <v>0</v>
      </c>
      <c r="T20" t="str">
        <f t="shared" si="8"/>
        <v>May-26</v>
      </c>
    </row>
    <row r="21" spans="1:20">
      <c r="A21" t="s">
        <v>63</v>
      </c>
      <c r="B21" t="s">
        <v>64</v>
      </c>
      <c r="C21" t="s">
        <v>23</v>
      </c>
      <c r="D21">
        <v>132</v>
      </c>
      <c r="E21" s="4">
        <v>46163</v>
      </c>
      <c r="F21" s="4">
        <v>46169</v>
      </c>
      <c r="G21" s="4">
        <v>46173</v>
      </c>
      <c r="H21">
        <v>133</v>
      </c>
      <c r="I21" t="s">
        <v>65</v>
      </c>
      <c r="J21">
        <v>1</v>
      </c>
      <c r="K21" t="s">
        <v>1563</v>
      </c>
      <c r="L21" t="str">
        <f t="shared" si="0"/>
        <v>N</v>
      </c>
      <c r="M21" t="str">
        <f t="shared" si="1"/>
        <v>Y</v>
      </c>
      <c r="N21" t="str">
        <f t="shared" si="2"/>
        <v>N</v>
      </c>
      <c r="O21">
        <f t="shared" si="3"/>
        <v>10</v>
      </c>
      <c r="P21" s="6">
        <f t="shared" si="4"/>
        <v>1.0075757575757576</v>
      </c>
      <c r="Q21" s="6">
        <f t="shared" si="5"/>
        <v>7.5187969924812026E-3</v>
      </c>
      <c r="R21">
        <f t="shared" si="6"/>
        <v>0</v>
      </c>
      <c r="S21">
        <f t="shared" si="7"/>
        <v>4</v>
      </c>
      <c r="T21" t="str">
        <f t="shared" si="8"/>
        <v>May-26</v>
      </c>
    </row>
    <row r="22" spans="1:20">
      <c r="A22" t="s">
        <v>66</v>
      </c>
      <c r="B22" t="s">
        <v>67</v>
      </c>
      <c r="C22" t="s">
        <v>12</v>
      </c>
      <c r="D22">
        <v>390</v>
      </c>
      <c r="E22" s="4">
        <v>46152</v>
      </c>
      <c r="F22" s="4">
        <v>46158</v>
      </c>
      <c r="G22" s="4"/>
      <c r="I22" t="s">
        <v>68</v>
      </c>
      <c r="K22" t="s">
        <v>1565</v>
      </c>
      <c r="L22" t="str">
        <f t="shared" si="0"/>
        <v>N/A</v>
      </c>
      <c r="M22" t="str">
        <f t="shared" si="1"/>
        <v>N/A</v>
      </c>
      <c r="N22" t="str">
        <f t="shared" si="2"/>
        <v>N/A</v>
      </c>
      <c r="O22" t="str">
        <f t="shared" si="3"/>
        <v>N/A</v>
      </c>
      <c r="P22" s="6" t="str">
        <f t="shared" si="4"/>
        <v>N/A</v>
      </c>
      <c r="Q22" s="6" t="str">
        <f t="shared" si="5"/>
        <v>N/A</v>
      </c>
      <c r="R22" t="str">
        <f t="shared" si="6"/>
        <v/>
      </c>
      <c r="S22" t="str">
        <f t="shared" si="7"/>
        <v>N/A</v>
      </c>
      <c r="T22" t="str">
        <f t="shared" si="8"/>
        <v>N/A</v>
      </c>
    </row>
    <row r="23" spans="1:20">
      <c r="A23" t="s">
        <v>69</v>
      </c>
      <c r="B23" t="s">
        <v>70</v>
      </c>
      <c r="C23" t="s">
        <v>16</v>
      </c>
      <c r="D23">
        <v>678</v>
      </c>
      <c r="E23" s="4">
        <v>46166</v>
      </c>
      <c r="F23" s="4">
        <v>46171</v>
      </c>
      <c r="G23" s="4">
        <v>46170</v>
      </c>
      <c r="H23">
        <v>636</v>
      </c>
      <c r="I23" t="s">
        <v>71</v>
      </c>
      <c r="J23">
        <v>15</v>
      </c>
      <c r="K23" t="s">
        <v>1563</v>
      </c>
      <c r="L23" t="str">
        <f t="shared" si="0"/>
        <v>Y</v>
      </c>
      <c r="M23" t="str">
        <f t="shared" si="1"/>
        <v>N</v>
      </c>
      <c r="N23" t="str">
        <f t="shared" si="2"/>
        <v>N</v>
      </c>
      <c r="O23">
        <f t="shared" si="3"/>
        <v>4</v>
      </c>
      <c r="P23" s="6">
        <f t="shared" si="4"/>
        <v>0.93805309734513276</v>
      </c>
      <c r="Q23" s="6">
        <f t="shared" si="5"/>
        <v>2.358490566037736E-2</v>
      </c>
      <c r="R23">
        <f t="shared" si="6"/>
        <v>0</v>
      </c>
      <c r="S23">
        <f t="shared" si="7"/>
        <v>0</v>
      </c>
      <c r="T23" t="str">
        <f t="shared" si="8"/>
        <v>May-26</v>
      </c>
    </row>
    <row r="24" spans="1:20">
      <c r="A24" t="s">
        <v>72</v>
      </c>
      <c r="B24" t="s">
        <v>26</v>
      </c>
      <c r="C24" t="s">
        <v>12</v>
      </c>
      <c r="D24">
        <v>368</v>
      </c>
      <c r="E24" s="4">
        <v>46119</v>
      </c>
      <c r="F24" s="4">
        <v>46127</v>
      </c>
      <c r="G24" s="4"/>
      <c r="I24" t="s">
        <v>73</v>
      </c>
      <c r="K24" t="s">
        <v>1565</v>
      </c>
      <c r="L24" t="str">
        <f t="shared" si="0"/>
        <v>N/A</v>
      </c>
      <c r="M24" t="str">
        <f t="shared" si="1"/>
        <v>N/A</v>
      </c>
      <c r="N24" t="str">
        <f t="shared" si="2"/>
        <v>N/A</v>
      </c>
      <c r="O24" t="str">
        <f t="shared" si="3"/>
        <v>N/A</v>
      </c>
      <c r="P24" s="6" t="str">
        <f t="shared" si="4"/>
        <v>N/A</v>
      </c>
      <c r="Q24" s="6" t="str">
        <f t="shared" si="5"/>
        <v>N/A</v>
      </c>
      <c r="R24" t="str">
        <f t="shared" si="6"/>
        <v/>
      </c>
      <c r="S24" t="str">
        <f t="shared" si="7"/>
        <v>N/A</v>
      </c>
      <c r="T24" t="str">
        <f t="shared" si="8"/>
        <v>N/A</v>
      </c>
    </row>
    <row r="25" spans="1:20">
      <c r="A25" t="s">
        <v>74</v>
      </c>
      <c r="B25" t="s">
        <v>32</v>
      </c>
      <c r="C25" t="s">
        <v>12</v>
      </c>
      <c r="D25">
        <v>381</v>
      </c>
      <c r="E25" s="4">
        <v>46136</v>
      </c>
      <c r="F25" s="4">
        <v>46144</v>
      </c>
      <c r="G25" s="4">
        <v>46144</v>
      </c>
      <c r="H25">
        <v>340</v>
      </c>
      <c r="I25" t="s">
        <v>75</v>
      </c>
      <c r="J25">
        <v>23</v>
      </c>
      <c r="K25" t="s">
        <v>1563</v>
      </c>
      <c r="L25" t="str">
        <f t="shared" si="0"/>
        <v>Y</v>
      </c>
      <c r="M25" t="str">
        <f t="shared" si="1"/>
        <v>N</v>
      </c>
      <c r="N25" t="str">
        <f t="shared" si="2"/>
        <v>N</v>
      </c>
      <c r="O25">
        <f t="shared" si="3"/>
        <v>8</v>
      </c>
      <c r="P25" s="6">
        <f t="shared" si="4"/>
        <v>0.8923884514435696</v>
      </c>
      <c r="Q25" s="6">
        <f t="shared" si="5"/>
        <v>6.7647058823529407E-2</v>
      </c>
      <c r="R25">
        <f t="shared" si="6"/>
        <v>0</v>
      </c>
      <c r="S25">
        <f t="shared" si="7"/>
        <v>0</v>
      </c>
      <c r="T25" t="str">
        <f t="shared" si="8"/>
        <v>May-26</v>
      </c>
    </row>
    <row r="26" spans="1:20">
      <c r="A26" t="s">
        <v>76</v>
      </c>
      <c r="B26" t="s">
        <v>54</v>
      </c>
      <c r="C26" t="s">
        <v>12</v>
      </c>
      <c r="D26">
        <v>577</v>
      </c>
      <c r="E26" s="4">
        <v>46074</v>
      </c>
      <c r="F26" s="4">
        <v>46088</v>
      </c>
      <c r="G26" s="4">
        <v>46085</v>
      </c>
      <c r="H26">
        <v>536</v>
      </c>
      <c r="I26" t="s">
        <v>77</v>
      </c>
      <c r="J26">
        <v>8</v>
      </c>
      <c r="K26" t="s">
        <v>1563</v>
      </c>
      <c r="L26" t="str">
        <f t="shared" si="0"/>
        <v>Y</v>
      </c>
      <c r="M26" t="str">
        <f t="shared" si="1"/>
        <v>N</v>
      </c>
      <c r="N26" t="str">
        <f t="shared" si="2"/>
        <v>N</v>
      </c>
      <c r="O26">
        <f t="shared" si="3"/>
        <v>11</v>
      </c>
      <c r="P26" s="6">
        <f t="shared" si="4"/>
        <v>0.92894280762564996</v>
      </c>
      <c r="Q26" s="6">
        <f t="shared" si="5"/>
        <v>1.4925373134328358E-2</v>
      </c>
      <c r="R26">
        <f t="shared" si="6"/>
        <v>0</v>
      </c>
      <c r="S26">
        <f t="shared" si="7"/>
        <v>0</v>
      </c>
      <c r="T26" t="str">
        <f t="shared" si="8"/>
        <v>Mar-26</v>
      </c>
    </row>
    <row r="27" spans="1:20">
      <c r="A27" t="s">
        <v>78</v>
      </c>
      <c r="B27" t="s">
        <v>11</v>
      </c>
      <c r="C27" t="s">
        <v>16</v>
      </c>
      <c r="D27">
        <v>550</v>
      </c>
      <c r="E27" s="4">
        <v>46168</v>
      </c>
      <c r="F27" s="4">
        <v>46175</v>
      </c>
      <c r="G27" s="4">
        <v>46177</v>
      </c>
      <c r="H27">
        <v>494</v>
      </c>
      <c r="I27" t="s">
        <v>79</v>
      </c>
      <c r="J27">
        <v>1</v>
      </c>
      <c r="K27" t="s">
        <v>1563</v>
      </c>
      <c r="L27" t="str">
        <f t="shared" si="0"/>
        <v>N</v>
      </c>
      <c r="M27" t="str">
        <f t="shared" si="1"/>
        <v>N</v>
      </c>
      <c r="N27" t="str">
        <f t="shared" si="2"/>
        <v>N</v>
      </c>
      <c r="O27">
        <f t="shared" si="3"/>
        <v>9</v>
      </c>
      <c r="P27" s="6">
        <f t="shared" si="4"/>
        <v>0.89818181818181819</v>
      </c>
      <c r="Q27" s="6">
        <f t="shared" si="5"/>
        <v>2.0242914979757085E-3</v>
      </c>
      <c r="R27">
        <f t="shared" si="6"/>
        <v>0</v>
      </c>
      <c r="S27">
        <f t="shared" si="7"/>
        <v>2</v>
      </c>
      <c r="T27" t="str">
        <f t="shared" si="8"/>
        <v>Jun-26</v>
      </c>
    </row>
    <row r="28" spans="1:20">
      <c r="A28" t="s">
        <v>80</v>
      </c>
      <c r="B28" t="s">
        <v>81</v>
      </c>
      <c r="C28" t="s">
        <v>23</v>
      </c>
      <c r="D28">
        <v>201</v>
      </c>
      <c r="E28" s="4">
        <v>46029</v>
      </c>
      <c r="F28" s="4">
        <v>46044</v>
      </c>
      <c r="G28" s="4">
        <v>46041</v>
      </c>
      <c r="H28">
        <v>175</v>
      </c>
      <c r="I28" t="s">
        <v>82</v>
      </c>
      <c r="J28">
        <v>0</v>
      </c>
      <c r="K28" t="s">
        <v>1563</v>
      </c>
      <c r="L28" t="str">
        <f t="shared" si="0"/>
        <v>Y</v>
      </c>
      <c r="M28" t="str">
        <f t="shared" si="1"/>
        <v>N</v>
      </c>
      <c r="N28" t="str">
        <f t="shared" si="2"/>
        <v>N</v>
      </c>
      <c r="O28">
        <f t="shared" si="3"/>
        <v>12</v>
      </c>
      <c r="P28" s="6">
        <f t="shared" si="4"/>
        <v>0.87064676616915426</v>
      </c>
      <c r="Q28" s="6">
        <f t="shared" si="5"/>
        <v>0</v>
      </c>
      <c r="R28">
        <f t="shared" si="6"/>
        <v>0</v>
      </c>
      <c r="S28">
        <f t="shared" si="7"/>
        <v>0</v>
      </c>
      <c r="T28" t="str">
        <f t="shared" si="8"/>
        <v>Jan-26</v>
      </c>
    </row>
    <row r="29" spans="1:20">
      <c r="A29" t="s">
        <v>83</v>
      </c>
      <c r="B29" t="s">
        <v>81</v>
      </c>
      <c r="C29" t="s">
        <v>12</v>
      </c>
      <c r="D29">
        <v>661</v>
      </c>
      <c r="E29" s="4">
        <v>46060</v>
      </c>
      <c r="F29" s="4">
        <v>46068</v>
      </c>
      <c r="G29" s="4">
        <v>46068</v>
      </c>
      <c r="H29">
        <v>660</v>
      </c>
      <c r="I29" t="s">
        <v>84</v>
      </c>
      <c r="J29">
        <v>6</v>
      </c>
      <c r="K29" t="s">
        <v>1563</v>
      </c>
      <c r="L29" t="str">
        <f t="shared" si="0"/>
        <v>Y</v>
      </c>
      <c r="M29" t="str">
        <f t="shared" si="1"/>
        <v>Y</v>
      </c>
      <c r="N29" t="str">
        <f t="shared" si="2"/>
        <v>Y</v>
      </c>
      <c r="O29">
        <f t="shared" si="3"/>
        <v>8</v>
      </c>
      <c r="P29" s="6">
        <f t="shared" si="4"/>
        <v>0.99848714069591527</v>
      </c>
      <c r="Q29" s="6">
        <f t="shared" si="5"/>
        <v>9.0909090909090905E-3</v>
      </c>
      <c r="R29">
        <f t="shared" si="6"/>
        <v>1</v>
      </c>
      <c r="S29">
        <f t="shared" si="7"/>
        <v>0</v>
      </c>
      <c r="T29" t="str">
        <f t="shared" si="8"/>
        <v>Feb-26</v>
      </c>
    </row>
    <row r="30" spans="1:20">
      <c r="A30" t="s">
        <v>85</v>
      </c>
      <c r="B30" t="s">
        <v>81</v>
      </c>
      <c r="C30" t="s">
        <v>23</v>
      </c>
      <c r="D30">
        <v>248</v>
      </c>
      <c r="E30" s="4">
        <v>46161</v>
      </c>
      <c r="F30" s="4">
        <v>46169</v>
      </c>
      <c r="G30" s="4">
        <v>46178</v>
      </c>
      <c r="H30">
        <v>234</v>
      </c>
      <c r="I30" t="s">
        <v>86</v>
      </c>
      <c r="J30">
        <v>2</v>
      </c>
      <c r="K30" t="s">
        <v>1563</v>
      </c>
      <c r="L30" t="str">
        <f t="shared" si="0"/>
        <v>N</v>
      </c>
      <c r="M30" t="str">
        <f t="shared" si="1"/>
        <v>N</v>
      </c>
      <c r="N30" t="str">
        <f t="shared" si="2"/>
        <v>N</v>
      </c>
      <c r="O30">
        <f t="shared" si="3"/>
        <v>17</v>
      </c>
      <c r="P30" s="6">
        <f t="shared" si="4"/>
        <v>0.94354838709677424</v>
      </c>
      <c r="Q30" s="6">
        <f t="shared" si="5"/>
        <v>8.5470085470085479E-3</v>
      </c>
      <c r="R30">
        <f t="shared" si="6"/>
        <v>0</v>
      </c>
      <c r="S30">
        <f t="shared" si="7"/>
        <v>9</v>
      </c>
      <c r="T30" t="str">
        <f t="shared" si="8"/>
        <v>Jun-26</v>
      </c>
    </row>
    <row r="31" spans="1:20">
      <c r="A31" t="s">
        <v>87</v>
      </c>
      <c r="B31" t="s">
        <v>64</v>
      </c>
      <c r="C31" t="s">
        <v>12</v>
      </c>
      <c r="D31">
        <v>692</v>
      </c>
      <c r="E31" s="4">
        <v>46157</v>
      </c>
      <c r="F31" s="4">
        <v>46162</v>
      </c>
      <c r="G31" s="4">
        <v>46163</v>
      </c>
      <c r="H31">
        <v>668</v>
      </c>
      <c r="I31" t="s">
        <v>88</v>
      </c>
      <c r="J31">
        <v>23</v>
      </c>
      <c r="K31" t="s">
        <v>1563</v>
      </c>
      <c r="L31" t="str">
        <f t="shared" si="0"/>
        <v>N</v>
      </c>
      <c r="M31" t="str">
        <f t="shared" si="1"/>
        <v>N</v>
      </c>
      <c r="N31" t="str">
        <f t="shared" si="2"/>
        <v>N</v>
      </c>
      <c r="O31">
        <f t="shared" si="3"/>
        <v>6</v>
      </c>
      <c r="P31" s="6">
        <f t="shared" si="4"/>
        <v>0.96531791907514453</v>
      </c>
      <c r="Q31" s="6">
        <f t="shared" si="5"/>
        <v>3.4431137724550899E-2</v>
      </c>
      <c r="R31">
        <f t="shared" si="6"/>
        <v>0</v>
      </c>
      <c r="S31">
        <f t="shared" si="7"/>
        <v>1</v>
      </c>
      <c r="T31" t="str">
        <f t="shared" si="8"/>
        <v>May-26</v>
      </c>
    </row>
    <row r="32" spans="1:20">
      <c r="A32" t="s">
        <v>89</v>
      </c>
      <c r="B32" t="s">
        <v>54</v>
      </c>
      <c r="C32" t="s">
        <v>16</v>
      </c>
      <c r="D32">
        <v>326</v>
      </c>
      <c r="E32" s="4">
        <v>46106</v>
      </c>
      <c r="F32" s="4">
        <v>46112</v>
      </c>
      <c r="G32" s="4">
        <v>46110</v>
      </c>
      <c r="H32">
        <v>329</v>
      </c>
      <c r="I32" t="s">
        <v>90</v>
      </c>
      <c r="J32">
        <v>2</v>
      </c>
      <c r="K32" t="s">
        <v>1563</v>
      </c>
      <c r="L32" t="str">
        <f t="shared" si="0"/>
        <v>Y</v>
      </c>
      <c r="M32" t="str">
        <f t="shared" si="1"/>
        <v>Y</v>
      </c>
      <c r="N32" t="str">
        <f t="shared" si="2"/>
        <v>Y</v>
      </c>
      <c r="O32">
        <f t="shared" si="3"/>
        <v>4</v>
      </c>
      <c r="P32" s="6">
        <f t="shared" si="4"/>
        <v>1.00920245398773</v>
      </c>
      <c r="Q32" s="6">
        <f t="shared" si="5"/>
        <v>6.0790273556231003E-3</v>
      </c>
      <c r="R32">
        <f t="shared" si="6"/>
        <v>1</v>
      </c>
      <c r="S32">
        <f t="shared" si="7"/>
        <v>0</v>
      </c>
      <c r="T32" t="str">
        <f t="shared" si="8"/>
        <v>Mar-26</v>
      </c>
    </row>
    <row r="33" spans="1:20">
      <c r="A33" t="s">
        <v>91</v>
      </c>
      <c r="B33" t="s">
        <v>54</v>
      </c>
      <c r="C33" t="s">
        <v>16</v>
      </c>
      <c r="D33">
        <v>761</v>
      </c>
      <c r="E33" s="4">
        <v>46084</v>
      </c>
      <c r="F33" s="4">
        <v>46096</v>
      </c>
      <c r="G33" s="4">
        <v>46094</v>
      </c>
      <c r="H33">
        <v>753</v>
      </c>
      <c r="I33" t="s">
        <v>92</v>
      </c>
      <c r="J33">
        <v>4</v>
      </c>
      <c r="K33" t="s">
        <v>1563</v>
      </c>
      <c r="L33" t="str">
        <f t="shared" si="0"/>
        <v>Y</v>
      </c>
      <c r="M33" t="str">
        <f t="shared" si="1"/>
        <v>Y</v>
      </c>
      <c r="N33" t="str">
        <f t="shared" si="2"/>
        <v>Y</v>
      </c>
      <c r="O33">
        <f t="shared" si="3"/>
        <v>10</v>
      </c>
      <c r="P33" s="6">
        <f t="shared" si="4"/>
        <v>0.98948751642575561</v>
      </c>
      <c r="Q33" s="6">
        <f t="shared" si="5"/>
        <v>5.3120849933598934E-3</v>
      </c>
      <c r="R33">
        <f t="shared" si="6"/>
        <v>1</v>
      </c>
      <c r="S33">
        <f t="shared" si="7"/>
        <v>0</v>
      </c>
      <c r="T33" t="str">
        <f t="shared" si="8"/>
        <v>Mar-26</v>
      </c>
    </row>
    <row r="34" spans="1:20">
      <c r="A34" t="s">
        <v>93</v>
      </c>
      <c r="B34" t="s">
        <v>26</v>
      </c>
      <c r="C34" t="s">
        <v>23</v>
      </c>
      <c r="D34">
        <v>843</v>
      </c>
      <c r="E34" s="4">
        <v>46043</v>
      </c>
      <c r="F34" s="4">
        <v>46050</v>
      </c>
      <c r="G34" s="4"/>
      <c r="I34" t="s">
        <v>94</v>
      </c>
      <c r="K34" t="s">
        <v>1565</v>
      </c>
      <c r="L34" t="str">
        <f t="shared" si="0"/>
        <v>N/A</v>
      </c>
      <c r="M34" t="str">
        <f t="shared" si="1"/>
        <v>N/A</v>
      </c>
      <c r="N34" t="str">
        <f t="shared" si="2"/>
        <v>N/A</v>
      </c>
      <c r="O34" t="str">
        <f t="shared" si="3"/>
        <v>N/A</v>
      </c>
      <c r="P34" s="6" t="str">
        <f t="shared" si="4"/>
        <v>N/A</v>
      </c>
      <c r="Q34" s="6" t="str">
        <f t="shared" si="5"/>
        <v>N/A</v>
      </c>
      <c r="R34" t="str">
        <f t="shared" si="6"/>
        <v/>
      </c>
      <c r="S34" t="str">
        <f t="shared" si="7"/>
        <v>N/A</v>
      </c>
      <c r="T34" t="str">
        <f t="shared" si="8"/>
        <v>N/A</v>
      </c>
    </row>
    <row r="35" spans="1:20">
      <c r="A35" t="s">
        <v>95</v>
      </c>
      <c r="B35" t="s">
        <v>64</v>
      </c>
      <c r="C35" t="s">
        <v>12</v>
      </c>
      <c r="D35">
        <v>201</v>
      </c>
      <c r="E35" s="4">
        <v>46051</v>
      </c>
      <c r="F35" s="4">
        <v>46058</v>
      </c>
      <c r="G35" s="4">
        <v>46062</v>
      </c>
      <c r="H35">
        <v>204</v>
      </c>
      <c r="I35" t="s">
        <v>96</v>
      </c>
      <c r="J35">
        <v>7</v>
      </c>
      <c r="K35" t="s">
        <v>1563</v>
      </c>
      <c r="L35" t="str">
        <f t="shared" si="0"/>
        <v>N</v>
      </c>
      <c r="M35" t="str">
        <f t="shared" si="1"/>
        <v>Y</v>
      </c>
      <c r="N35" t="str">
        <f t="shared" si="2"/>
        <v>N</v>
      </c>
      <c r="O35">
        <f t="shared" si="3"/>
        <v>11</v>
      </c>
      <c r="P35" s="6">
        <f t="shared" si="4"/>
        <v>1.0149253731343284</v>
      </c>
      <c r="Q35" s="6">
        <f t="shared" si="5"/>
        <v>3.4313725490196081E-2</v>
      </c>
      <c r="R35">
        <f t="shared" si="6"/>
        <v>0</v>
      </c>
      <c r="S35">
        <f t="shared" si="7"/>
        <v>4</v>
      </c>
      <c r="T35" t="str">
        <f t="shared" si="8"/>
        <v>Feb-26</v>
      </c>
    </row>
    <row r="36" spans="1:20">
      <c r="A36" t="s">
        <v>97</v>
      </c>
      <c r="B36" t="s">
        <v>67</v>
      </c>
      <c r="C36" t="s">
        <v>12</v>
      </c>
      <c r="D36">
        <v>87</v>
      </c>
      <c r="E36" s="4">
        <v>46062</v>
      </c>
      <c r="F36" s="4">
        <v>46067</v>
      </c>
      <c r="G36" s="4">
        <v>46064</v>
      </c>
      <c r="H36">
        <v>87</v>
      </c>
      <c r="I36" t="s">
        <v>98</v>
      </c>
      <c r="J36">
        <v>5</v>
      </c>
      <c r="K36" t="s">
        <v>1563</v>
      </c>
      <c r="L36" t="str">
        <f t="shared" si="0"/>
        <v>Y</v>
      </c>
      <c r="M36" t="str">
        <f t="shared" si="1"/>
        <v>Y</v>
      </c>
      <c r="N36" t="str">
        <f t="shared" si="2"/>
        <v>Y</v>
      </c>
      <c r="O36">
        <f t="shared" si="3"/>
        <v>2</v>
      </c>
      <c r="P36" s="6">
        <f t="shared" si="4"/>
        <v>1</v>
      </c>
      <c r="Q36" s="6">
        <f t="shared" si="5"/>
        <v>5.7471264367816091E-2</v>
      </c>
      <c r="R36">
        <f t="shared" si="6"/>
        <v>1</v>
      </c>
      <c r="S36">
        <f t="shared" si="7"/>
        <v>0</v>
      </c>
      <c r="T36" t="str">
        <f t="shared" si="8"/>
        <v>Feb-26</v>
      </c>
    </row>
    <row r="37" spans="1:20">
      <c r="A37" t="s">
        <v>99</v>
      </c>
      <c r="B37" t="s">
        <v>100</v>
      </c>
      <c r="C37" t="s">
        <v>12</v>
      </c>
      <c r="D37">
        <v>864</v>
      </c>
      <c r="E37" s="4">
        <v>46172</v>
      </c>
      <c r="F37" s="4">
        <v>46180</v>
      </c>
      <c r="G37" s="4">
        <v>46178</v>
      </c>
      <c r="H37">
        <v>861</v>
      </c>
      <c r="I37" t="s">
        <v>101</v>
      </c>
      <c r="J37">
        <v>4</v>
      </c>
      <c r="K37" t="s">
        <v>1563</v>
      </c>
      <c r="L37" t="str">
        <f t="shared" si="0"/>
        <v>Y</v>
      </c>
      <c r="M37" t="str">
        <f t="shared" si="1"/>
        <v>Y</v>
      </c>
      <c r="N37" t="str">
        <f t="shared" si="2"/>
        <v>Y</v>
      </c>
      <c r="O37">
        <f t="shared" si="3"/>
        <v>6</v>
      </c>
      <c r="P37" s="6">
        <f t="shared" si="4"/>
        <v>0.99652777777777779</v>
      </c>
      <c r="Q37" s="6">
        <f t="shared" si="5"/>
        <v>4.6457607433217189E-3</v>
      </c>
      <c r="R37">
        <f t="shared" si="6"/>
        <v>1</v>
      </c>
      <c r="S37">
        <f t="shared" si="7"/>
        <v>0</v>
      </c>
      <c r="T37" t="str">
        <f t="shared" si="8"/>
        <v>Jun-26</v>
      </c>
    </row>
    <row r="38" spans="1:20">
      <c r="A38" t="s">
        <v>102</v>
      </c>
      <c r="B38" t="s">
        <v>70</v>
      </c>
      <c r="C38" t="s">
        <v>23</v>
      </c>
      <c r="D38">
        <v>872</v>
      </c>
      <c r="E38" s="4">
        <v>46115</v>
      </c>
      <c r="F38" s="4">
        <v>46120</v>
      </c>
      <c r="G38" s="4">
        <v>46118</v>
      </c>
      <c r="H38">
        <v>860</v>
      </c>
      <c r="I38" t="s">
        <v>103</v>
      </c>
      <c r="J38">
        <v>11</v>
      </c>
      <c r="K38" t="s">
        <v>1563</v>
      </c>
      <c r="L38" t="str">
        <f t="shared" si="0"/>
        <v>Y</v>
      </c>
      <c r="M38" t="str">
        <f t="shared" si="1"/>
        <v>Y</v>
      </c>
      <c r="N38" t="str">
        <f t="shared" si="2"/>
        <v>Y</v>
      </c>
      <c r="O38">
        <f t="shared" si="3"/>
        <v>3</v>
      </c>
      <c r="P38" s="6">
        <f t="shared" si="4"/>
        <v>0.98623853211009171</v>
      </c>
      <c r="Q38" s="6">
        <f t="shared" si="5"/>
        <v>1.2790697674418604E-2</v>
      </c>
      <c r="R38">
        <f t="shared" si="6"/>
        <v>1</v>
      </c>
      <c r="S38">
        <f t="shared" si="7"/>
        <v>0</v>
      </c>
      <c r="T38" t="str">
        <f t="shared" si="8"/>
        <v>Apr-26</v>
      </c>
    </row>
    <row r="39" spans="1:20">
      <c r="A39" t="s">
        <v>104</v>
      </c>
      <c r="B39" t="s">
        <v>46</v>
      </c>
      <c r="C39" t="s">
        <v>12</v>
      </c>
      <c r="D39">
        <v>523</v>
      </c>
      <c r="E39" s="4">
        <v>46041</v>
      </c>
      <c r="F39" s="4">
        <v>46051</v>
      </c>
      <c r="G39" s="4">
        <v>46051</v>
      </c>
      <c r="H39">
        <v>517</v>
      </c>
      <c r="I39" t="s">
        <v>105</v>
      </c>
      <c r="J39">
        <v>31</v>
      </c>
      <c r="K39" t="s">
        <v>1563</v>
      </c>
      <c r="L39" t="str">
        <f t="shared" si="0"/>
        <v>Y</v>
      </c>
      <c r="M39" t="str">
        <f t="shared" si="1"/>
        <v>Y</v>
      </c>
      <c r="N39" t="str">
        <f t="shared" si="2"/>
        <v>Y</v>
      </c>
      <c r="O39">
        <f t="shared" si="3"/>
        <v>10</v>
      </c>
      <c r="P39" s="6">
        <f t="shared" si="4"/>
        <v>0.98852772466539196</v>
      </c>
      <c r="Q39" s="6">
        <f t="shared" si="5"/>
        <v>5.9961315280464215E-2</v>
      </c>
      <c r="R39">
        <f t="shared" si="6"/>
        <v>1</v>
      </c>
      <c r="S39">
        <f t="shared" si="7"/>
        <v>0</v>
      </c>
      <c r="T39" t="str">
        <f t="shared" si="8"/>
        <v>Jan-26</v>
      </c>
    </row>
    <row r="40" spans="1:20">
      <c r="A40" t="s">
        <v>106</v>
      </c>
      <c r="B40" t="s">
        <v>22</v>
      </c>
      <c r="C40" t="s">
        <v>16</v>
      </c>
      <c r="D40">
        <v>965</v>
      </c>
      <c r="E40" s="4">
        <v>46049</v>
      </c>
      <c r="F40" s="4">
        <v>46059</v>
      </c>
      <c r="G40" s="4">
        <v>46058</v>
      </c>
      <c r="H40">
        <v>882</v>
      </c>
      <c r="I40" t="s">
        <v>107</v>
      </c>
      <c r="J40">
        <v>78</v>
      </c>
      <c r="K40" t="s">
        <v>1563</v>
      </c>
      <c r="L40" t="str">
        <f t="shared" si="0"/>
        <v>Y</v>
      </c>
      <c r="M40" t="str">
        <f t="shared" si="1"/>
        <v>N</v>
      </c>
      <c r="N40" t="str">
        <f t="shared" si="2"/>
        <v>N</v>
      </c>
      <c r="O40">
        <f t="shared" si="3"/>
        <v>9</v>
      </c>
      <c r="P40" s="6">
        <f t="shared" si="4"/>
        <v>0.91398963730569949</v>
      </c>
      <c r="Q40" s="6">
        <f t="shared" si="5"/>
        <v>8.8435374149659865E-2</v>
      </c>
      <c r="R40">
        <f t="shared" si="6"/>
        <v>0</v>
      </c>
      <c r="S40">
        <f t="shared" si="7"/>
        <v>0</v>
      </c>
      <c r="T40" t="str">
        <f t="shared" si="8"/>
        <v>Feb-26</v>
      </c>
    </row>
    <row r="41" spans="1:20">
      <c r="A41" t="s">
        <v>108</v>
      </c>
      <c r="B41" t="s">
        <v>81</v>
      </c>
      <c r="C41" t="s">
        <v>16</v>
      </c>
      <c r="D41">
        <v>119</v>
      </c>
      <c r="E41" s="4">
        <v>46175</v>
      </c>
      <c r="F41" s="4">
        <v>46183</v>
      </c>
      <c r="G41" s="4">
        <v>46181</v>
      </c>
      <c r="H41">
        <v>104</v>
      </c>
      <c r="I41" t="s">
        <v>109</v>
      </c>
      <c r="J41">
        <v>0</v>
      </c>
      <c r="K41" t="s">
        <v>1563</v>
      </c>
      <c r="L41" t="str">
        <f t="shared" si="0"/>
        <v>Y</v>
      </c>
      <c r="M41" t="str">
        <f t="shared" si="1"/>
        <v>N</v>
      </c>
      <c r="N41" t="str">
        <f t="shared" si="2"/>
        <v>N</v>
      </c>
      <c r="O41">
        <f t="shared" si="3"/>
        <v>6</v>
      </c>
      <c r="P41" s="6">
        <f t="shared" si="4"/>
        <v>0.87394957983193278</v>
      </c>
      <c r="Q41" s="6">
        <f t="shared" si="5"/>
        <v>0</v>
      </c>
      <c r="R41">
        <f t="shared" si="6"/>
        <v>0</v>
      </c>
      <c r="S41">
        <f t="shared" si="7"/>
        <v>0</v>
      </c>
      <c r="T41" t="str">
        <f t="shared" si="8"/>
        <v>Jun-26</v>
      </c>
    </row>
    <row r="42" spans="1:20">
      <c r="A42" t="s">
        <v>110</v>
      </c>
      <c r="B42" t="s">
        <v>43</v>
      </c>
      <c r="C42" t="s">
        <v>23</v>
      </c>
      <c r="D42">
        <v>428</v>
      </c>
      <c r="E42" s="4">
        <v>46105</v>
      </c>
      <c r="F42" s="4">
        <v>46118</v>
      </c>
      <c r="G42" s="4">
        <v>46116</v>
      </c>
      <c r="H42">
        <v>420</v>
      </c>
      <c r="I42" t="s">
        <v>111</v>
      </c>
      <c r="J42">
        <v>4</v>
      </c>
      <c r="K42" t="s">
        <v>1563</v>
      </c>
      <c r="L42" t="str">
        <f t="shared" si="0"/>
        <v>Y</v>
      </c>
      <c r="M42" t="str">
        <f t="shared" si="1"/>
        <v>Y</v>
      </c>
      <c r="N42" t="str">
        <f t="shared" si="2"/>
        <v>Y</v>
      </c>
      <c r="O42">
        <f t="shared" si="3"/>
        <v>11</v>
      </c>
      <c r="P42" s="6">
        <f t="shared" si="4"/>
        <v>0.98130841121495327</v>
      </c>
      <c r="Q42" s="6">
        <f t="shared" si="5"/>
        <v>9.5238095238095247E-3</v>
      </c>
      <c r="R42">
        <f t="shared" si="6"/>
        <v>1</v>
      </c>
      <c r="S42">
        <f t="shared" si="7"/>
        <v>0</v>
      </c>
      <c r="T42" t="str">
        <f t="shared" si="8"/>
        <v>Apr-26</v>
      </c>
    </row>
    <row r="43" spans="1:20">
      <c r="A43" t="s">
        <v>112</v>
      </c>
      <c r="B43" t="s">
        <v>32</v>
      </c>
      <c r="C43" t="s">
        <v>12</v>
      </c>
      <c r="D43">
        <v>468</v>
      </c>
      <c r="E43" s="4">
        <v>46098</v>
      </c>
      <c r="F43" s="4">
        <v>46107</v>
      </c>
      <c r="G43" s="4">
        <v>46106</v>
      </c>
      <c r="H43">
        <v>468</v>
      </c>
      <c r="I43" t="s">
        <v>113</v>
      </c>
      <c r="J43">
        <v>4</v>
      </c>
      <c r="K43" t="s">
        <v>1563</v>
      </c>
      <c r="L43" t="str">
        <f t="shared" si="0"/>
        <v>Y</v>
      </c>
      <c r="M43" t="str">
        <f t="shared" si="1"/>
        <v>Y</v>
      </c>
      <c r="N43" t="str">
        <f t="shared" si="2"/>
        <v>Y</v>
      </c>
      <c r="O43">
        <f t="shared" si="3"/>
        <v>8</v>
      </c>
      <c r="P43" s="6">
        <f t="shared" si="4"/>
        <v>1</v>
      </c>
      <c r="Q43" s="6">
        <f t="shared" si="5"/>
        <v>8.5470085470085479E-3</v>
      </c>
      <c r="R43">
        <f t="shared" si="6"/>
        <v>1</v>
      </c>
      <c r="S43">
        <f t="shared" si="7"/>
        <v>0</v>
      </c>
      <c r="T43" t="str">
        <f t="shared" si="8"/>
        <v>Mar-26</v>
      </c>
    </row>
    <row r="44" spans="1:20">
      <c r="A44" t="s">
        <v>114</v>
      </c>
      <c r="B44" t="s">
        <v>54</v>
      </c>
      <c r="C44" t="s">
        <v>12</v>
      </c>
      <c r="D44">
        <v>590</v>
      </c>
      <c r="E44" s="4">
        <v>46064</v>
      </c>
      <c r="F44" s="4">
        <v>46079</v>
      </c>
      <c r="G44" s="4">
        <v>46076</v>
      </c>
      <c r="H44">
        <v>601</v>
      </c>
      <c r="I44" t="s">
        <v>115</v>
      </c>
      <c r="J44">
        <v>14</v>
      </c>
      <c r="K44" t="s">
        <v>1563</v>
      </c>
      <c r="L44" t="str">
        <f t="shared" si="0"/>
        <v>Y</v>
      </c>
      <c r="M44" t="str">
        <f t="shared" si="1"/>
        <v>Y</v>
      </c>
      <c r="N44" t="str">
        <f t="shared" si="2"/>
        <v>Y</v>
      </c>
      <c r="O44">
        <f t="shared" si="3"/>
        <v>12</v>
      </c>
      <c r="P44" s="6">
        <f t="shared" si="4"/>
        <v>1.0186440677966102</v>
      </c>
      <c r="Q44" s="6">
        <f t="shared" si="5"/>
        <v>2.329450915141431E-2</v>
      </c>
      <c r="R44">
        <f t="shared" si="6"/>
        <v>1</v>
      </c>
      <c r="S44">
        <f t="shared" si="7"/>
        <v>0</v>
      </c>
      <c r="T44" t="str">
        <f t="shared" si="8"/>
        <v>Feb-26</v>
      </c>
    </row>
    <row r="45" spans="1:20">
      <c r="A45" t="s">
        <v>116</v>
      </c>
      <c r="B45" t="s">
        <v>40</v>
      </c>
      <c r="C45" t="s">
        <v>23</v>
      </c>
      <c r="D45">
        <v>588</v>
      </c>
      <c r="E45" s="4">
        <v>46171</v>
      </c>
      <c r="F45" s="4">
        <v>46181</v>
      </c>
      <c r="G45" s="4">
        <v>46188</v>
      </c>
      <c r="H45">
        <v>581</v>
      </c>
      <c r="I45" t="s">
        <v>118</v>
      </c>
      <c r="J45">
        <v>46</v>
      </c>
      <c r="K45" t="s">
        <v>1563</v>
      </c>
      <c r="L45" t="str">
        <f t="shared" si="0"/>
        <v>N</v>
      </c>
      <c r="M45" t="str">
        <f t="shared" si="1"/>
        <v>Y</v>
      </c>
      <c r="N45" t="str">
        <f t="shared" si="2"/>
        <v>N</v>
      </c>
      <c r="O45">
        <f t="shared" si="3"/>
        <v>17</v>
      </c>
      <c r="P45" s="6">
        <f t="shared" si="4"/>
        <v>0.98809523809523814</v>
      </c>
      <c r="Q45" s="6">
        <f t="shared" si="5"/>
        <v>7.9173838209982791E-2</v>
      </c>
      <c r="R45">
        <f t="shared" si="6"/>
        <v>0</v>
      </c>
      <c r="S45">
        <f t="shared" si="7"/>
        <v>7</v>
      </c>
      <c r="T45" t="str">
        <f t="shared" si="8"/>
        <v>Jun-26</v>
      </c>
    </row>
    <row r="46" spans="1:20">
      <c r="A46" t="s">
        <v>119</v>
      </c>
      <c r="B46" t="s">
        <v>120</v>
      </c>
      <c r="C46" t="s">
        <v>12</v>
      </c>
      <c r="D46">
        <v>411</v>
      </c>
      <c r="E46" s="4">
        <v>46123</v>
      </c>
      <c r="F46" s="4">
        <v>46134</v>
      </c>
      <c r="G46" s="4">
        <v>46131</v>
      </c>
      <c r="H46">
        <v>415</v>
      </c>
      <c r="I46" t="s">
        <v>121</v>
      </c>
      <c r="J46">
        <v>11</v>
      </c>
      <c r="K46" t="s">
        <v>1563</v>
      </c>
      <c r="L46" t="str">
        <f t="shared" si="0"/>
        <v>Y</v>
      </c>
      <c r="M46" t="str">
        <f t="shared" si="1"/>
        <v>Y</v>
      </c>
      <c r="N46" t="str">
        <f t="shared" si="2"/>
        <v>Y</v>
      </c>
      <c r="O46">
        <f t="shared" si="3"/>
        <v>8</v>
      </c>
      <c r="P46" s="6">
        <f t="shared" si="4"/>
        <v>1.0097323600973236</v>
      </c>
      <c r="Q46" s="6">
        <f t="shared" si="5"/>
        <v>2.6506024096385541E-2</v>
      </c>
      <c r="R46">
        <f t="shared" si="6"/>
        <v>1</v>
      </c>
      <c r="S46">
        <f t="shared" si="7"/>
        <v>0</v>
      </c>
      <c r="T46" t="str">
        <f t="shared" si="8"/>
        <v>Apr-26</v>
      </c>
    </row>
    <row r="47" spans="1:20">
      <c r="A47" t="s">
        <v>122</v>
      </c>
      <c r="B47" t="s">
        <v>120</v>
      </c>
      <c r="C47" t="s">
        <v>12</v>
      </c>
      <c r="D47">
        <v>543</v>
      </c>
      <c r="E47" s="4">
        <v>46121</v>
      </c>
      <c r="F47" s="4">
        <v>46131</v>
      </c>
      <c r="G47" s="4">
        <v>46128</v>
      </c>
      <c r="H47">
        <v>549</v>
      </c>
      <c r="I47" t="s">
        <v>123</v>
      </c>
      <c r="J47">
        <v>4</v>
      </c>
      <c r="K47" t="s">
        <v>1563</v>
      </c>
      <c r="L47" t="str">
        <f t="shared" si="0"/>
        <v>Y</v>
      </c>
      <c r="M47" t="str">
        <f t="shared" si="1"/>
        <v>Y</v>
      </c>
      <c r="N47" t="str">
        <f t="shared" si="2"/>
        <v>Y</v>
      </c>
      <c r="O47">
        <f t="shared" si="3"/>
        <v>7</v>
      </c>
      <c r="P47" s="6">
        <f t="shared" si="4"/>
        <v>1.011049723756906</v>
      </c>
      <c r="Q47" s="6">
        <f t="shared" si="5"/>
        <v>7.2859744990892532E-3</v>
      </c>
      <c r="R47">
        <f t="shared" si="6"/>
        <v>1</v>
      </c>
      <c r="S47">
        <f t="shared" si="7"/>
        <v>0</v>
      </c>
      <c r="T47" t="str">
        <f t="shared" si="8"/>
        <v>Apr-26</v>
      </c>
    </row>
    <row r="48" spans="1:20">
      <c r="A48" t="s">
        <v>124</v>
      </c>
      <c r="B48" t="s">
        <v>54</v>
      </c>
      <c r="C48" t="s">
        <v>16</v>
      </c>
      <c r="D48">
        <v>585</v>
      </c>
      <c r="E48" s="4">
        <v>46052</v>
      </c>
      <c r="F48" s="4">
        <v>46059</v>
      </c>
      <c r="G48" s="4">
        <v>46056</v>
      </c>
      <c r="H48">
        <v>480</v>
      </c>
      <c r="I48" t="s">
        <v>125</v>
      </c>
      <c r="J48">
        <v>7</v>
      </c>
      <c r="K48" t="s">
        <v>1563</v>
      </c>
      <c r="L48" t="str">
        <f t="shared" si="0"/>
        <v>Y</v>
      </c>
      <c r="M48" t="str">
        <f t="shared" si="1"/>
        <v>N</v>
      </c>
      <c r="N48" t="str">
        <f t="shared" si="2"/>
        <v>N</v>
      </c>
      <c r="O48">
        <f t="shared" si="3"/>
        <v>4</v>
      </c>
      <c r="P48" s="6">
        <f t="shared" si="4"/>
        <v>0.82051282051282048</v>
      </c>
      <c r="Q48" s="6">
        <f t="shared" si="5"/>
        <v>1.4583333333333334E-2</v>
      </c>
      <c r="R48">
        <f t="shared" si="6"/>
        <v>0</v>
      </c>
      <c r="S48">
        <f t="shared" si="7"/>
        <v>0</v>
      </c>
      <c r="T48" t="str">
        <f t="shared" si="8"/>
        <v>Feb-26</v>
      </c>
    </row>
    <row r="49" spans="1:20">
      <c r="A49" t="s">
        <v>126</v>
      </c>
      <c r="B49" t="s">
        <v>40</v>
      </c>
      <c r="C49" t="s">
        <v>23</v>
      </c>
      <c r="D49">
        <v>488</v>
      </c>
      <c r="E49" s="4">
        <v>46079</v>
      </c>
      <c r="F49" s="4">
        <v>46093</v>
      </c>
      <c r="G49" s="4">
        <v>46098</v>
      </c>
      <c r="H49">
        <v>479</v>
      </c>
      <c r="I49" t="s">
        <v>47</v>
      </c>
      <c r="J49">
        <v>24</v>
      </c>
      <c r="K49" t="s">
        <v>1563</v>
      </c>
      <c r="L49" t="str">
        <f t="shared" si="0"/>
        <v>N</v>
      </c>
      <c r="M49" t="str">
        <f t="shared" si="1"/>
        <v>Y</v>
      </c>
      <c r="N49" t="str">
        <f t="shared" si="2"/>
        <v>N</v>
      </c>
      <c r="O49">
        <f t="shared" si="3"/>
        <v>19</v>
      </c>
      <c r="P49" s="6">
        <f t="shared" si="4"/>
        <v>0.98155737704918034</v>
      </c>
      <c r="Q49" s="6">
        <f t="shared" si="5"/>
        <v>5.0104384133611693E-2</v>
      </c>
      <c r="R49">
        <f t="shared" si="6"/>
        <v>0</v>
      </c>
      <c r="S49">
        <f t="shared" si="7"/>
        <v>5</v>
      </c>
      <c r="T49" t="str">
        <f t="shared" si="8"/>
        <v>Mar-26</v>
      </c>
    </row>
    <row r="50" spans="1:20">
      <c r="A50" t="s">
        <v>128</v>
      </c>
      <c r="B50" t="s">
        <v>54</v>
      </c>
      <c r="C50" t="s">
        <v>12</v>
      </c>
      <c r="D50">
        <v>615</v>
      </c>
      <c r="E50" s="4">
        <v>46174</v>
      </c>
      <c r="F50" s="4">
        <v>46185</v>
      </c>
      <c r="G50" s="4">
        <v>46186</v>
      </c>
      <c r="H50">
        <v>537</v>
      </c>
      <c r="I50" t="s">
        <v>129</v>
      </c>
      <c r="J50">
        <v>0</v>
      </c>
      <c r="K50" t="s">
        <v>1563</v>
      </c>
      <c r="L50" t="str">
        <f t="shared" si="0"/>
        <v>N</v>
      </c>
      <c r="M50" t="str">
        <f t="shared" si="1"/>
        <v>N</v>
      </c>
      <c r="N50" t="str">
        <f t="shared" si="2"/>
        <v>N</v>
      </c>
      <c r="O50">
        <f t="shared" si="3"/>
        <v>12</v>
      </c>
      <c r="P50" s="6">
        <f t="shared" si="4"/>
        <v>0.87317073170731707</v>
      </c>
      <c r="Q50" s="6">
        <f t="shared" si="5"/>
        <v>0</v>
      </c>
      <c r="R50">
        <f t="shared" si="6"/>
        <v>0</v>
      </c>
      <c r="S50">
        <f t="shared" si="7"/>
        <v>1</v>
      </c>
      <c r="T50" t="str">
        <f t="shared" si="8"/>
        <v>Jun-26</v>
      </c>
    </row>
    <row r="51" spans="1:20">
      <c r="A51" t="s">
        <v>130</v>
      </c>
      <c r="B51" t="s">
        <v>70</v>
      </c>
      <c r="C51" t="s">
        <v>12</v>
      </c>
      <c r="D51">
        <v>93</v>
      </c>
      <c r="E51" s="4">
        <v>46088</v>
      </c>
      <c r="F51" s="4">
        <v>46102</v>
      </c>
      <c r="G51" s="4">
        <v>46099</v>
      </c>
      <c r="H51">
        <v>92</v>
      </c>
      <c r="I51" t="s">
        <v>131</v>
      </c>
      <c r="J51">
        <v>0</v>
      </c>
      <c r="K51" t="s">
        <v>1563</v>
      </c>
      <c r="L51" t="str">
        <f t="shared" si="0"/>
        <v>Y</v>
      </c>
      <c r="M51" t="str">
        <f t="shared" si="1"/>
        <v>Y</v>
      </c>
      <c r="N51" t="str">
        <f t="shared" si="2"/>
        <v>Y</v>
      </c>
      <c r="O51">
        <f t="shared" si="3"/>
        <v>11</v>
      </c>
      <c r="P51" s="6">
        <f t="shared" si="4"/>
        <v>0.989247311827957</v>
      </c>
      <c r="Q51" s="6">
        <f t="shared" si="5"/>
        <v>0</v>
      </c>
      <c r="R51">
        <f t="shared" si="6"/>
        <v>1</v>
      </c>
      <c r="S51">
        <f t="shared" si="7"/>
        <v>0</v>
      </c>
      <c r="T51" t="str">
        <f t="shared" si="8"/>
        <v>Mar-26</v>
      </c>
    </row>
    <row r="52" spans="1:20">
      <c r="A52" t="s">
        <v>132</v>
      </c>
      <c r="B52" t="s">
        <v>32</v>
      </c>
      <c r="C52" t="s">
        <v>12</v>
      </c>
      <c r="D52">
        <v>720</v>
      </c>
      <c r="E52" s="4">
        <v>46108</v>
      </c>
      <c r="F52" s="4">
        <v>46120</v>
      </c>
      <c r="G52" s="4">
        <v>46117</v>
      </c>
      <c r="H52">
        <v>689</v>
      </c>
      <c r="I52" t="s">
        <v>59</v>
      </c>
      <c r="J52">
        <v>46</v>
      </c>
      <c r="K52" t="s">
        <v>1563</v>
      </c>
      <c r="L52" t="str">
        <f t="shared" si="0"/>
        <v>Y</v>
      </c>
      <c r="M52" t="str">
        <f t="shared" si="1"/>
        <v>N</v>
      </c>
      <c r="N52" t="str">
        <f t="shared" si="2"/>
        <v>N</v>
      </c>
      <c r="O52">
        <f t="shared" si="3"/>
        <v>9</v>
      </c>
      <c r="P52" s="6">
        <f t="shared" si="4"/>
        <v>0.95694444444444449</v>
      </c>
      <c r="Q52" s="6">
        <f t="shared" si="5"/>
        <v>6.6763425253991288E-2</v>
      </c>
      <c r="R52">
        <f t="shared" si="6"/>
        <v>0</v>
      </c>
      <c r="S52">
        <f t="shared" si="7"/>
        <v>0</v>
      </c>
      <c r="T52" t="str">
        <f t="shared" si="8"/>
        <v>Apr-26</v>
      </c>
    </row>
    <row r="53" spans="1:20">
      <c r="A53" t="s">
        <v>133</v>
      </c>
      <c r="B53" t="s">
        <v>52</v>
      </c>
      <c r="C53" t="s">
        <v>16</v>
      </c>
      <c r="D53">
        <v>782</v>
      </c>
      <c r="E53" s="4">
        <v>46061</v>
      </c>
      <c r="F53" s="4">
        <v>46067</v>
      </c>
      <c r="G53" s="4">
        <v>46076</v>
      </c>
      <c r="H53">
        <v>775</v>
      </c>
      <c r="I53" t="s">
        <v>134</v>
      </c>
      <c r="J53">
        <v>15</v>
      </c>
      <c r="K53" t="s">
        <v>1563</v>
      </c>
      <c r="L53" t="str">
        <f t="shared" si="0"/>
        <v>N</v>
      </c>
      <c r="M53" t="str">
        <f t="shared" si="1"/>
        <v>Y</v>
      </c>
      <c r="N53" t="str">
        <f t="shared" si="2"/>
        <v>N</v>
      </c>
      <c r="O53">
        <f t="shared" si="3"/>
        <v>15</v>
      </c>
      <c r="P53" s="6">
        <f t="shared" si="4"/>
        <v>0.99104859335038364</v>
      </c>
      <c r="Q53" s="6">
        <f t="shared" si="5"/>
        <v>1.935483870967742E-2</v>
      </c>
      <c r="R53">
        <f t="shared" si="6"/>
        <v>0</v>
      </c>
      <c r="S53">
        <f t="shared" si="7"/>
        <v>9</v>
      </c>
      <c r="T53" t="str">
        <f t="shared" si="8"/>
        <v>Feb-26</v>
      </c>
    </row>
    <row r="54" spans="1:20">
      <c r="A54" t="s">
        <v>135</v>
      </c>
      <c r="B54" t="s">
        <v>46</v>
      </c>
      <c r="C54" t="s">
        <v>12</v>
      </c>
      <c r="D54">
        <v>483</v>
      </c>
      <c r="E54" s="4">
        <v>46162</v>
      </c>
      <c r="F54" s="4">
        <v>46177</v>
      </c>
      <c r="G54" s="4">
        <v>46184</v>
      </c>
      <c r="H54">
        <v>484</v>
      </c>
      <c r="I54" t="s">
        <v>136</v>
      </c>
      <c r="J54">
        <v>24</v>
      </c>
      <c r="K54" t="s">
        <v>1563</v>
      </c>
      <c r="L54" t="str">
        <f t="shared" si="0"/>
        <v>N</v>
      </c>
      <c r="M54" t="str">
        <f t="shared" si="1"/>
        <v>Y</v>
      </c>
      <c r="N54" t="str">
        <f t="shared" si="2"/>
        <v>N</v>
      </c>
      <c r="O54">
        <f t="shared" si="3"/>
        <v>22</v>
      </c>
      <c r="P54" s="6">
        <f t="shared" si="4"/>
        <v>1.0020703933747412</v>
      </c>
      <c r="Q54" s="6">
        <f t="shared" si="5"/>
        <v>4.9586776859504134E-2</v>
      </c>
      <c r="R54">
        <f t="shared" si="6"/>
        <v>0</v>
      </c>
      <c r="S54">
        <f t="shared" si="7"/>
        <v>7</v>
      </c>
      <c r="T54" t="str">
        <f t="shared" si="8"/>
        <v>Jun-26</v>
      </c>
    </row>
    <row r="55" spans="1:20">
      <c r="A55" t="s">
        <v>137</v>
      </c>
      <c r="B55" t="s">
        <v>81</v>
      </c>
      <c r="C55" t="s">
        <v>12</v>
      </c>
      <c r="D55">
        <v>622</v>
      </c>
      <c r="E55" s="4">
        <v>46087</v>
      </c>
      <c r="F55" s="4">
        <v>46101</v>
      </c>
      <c r="G55" s="4">
        <v>46110</v>
      </c>
      <c r="H55">
        <v>504</v>
      </c>
      <c r="I55" t="s">
        <v>84</v>
      </c>
      <c r="J55">
        <v>1</v>
      </c>
      <c r="K55" t="s">
        <v>1563</v>
      </c>
      <c r="L55" t="str">
        <f t="shared" si="0"/>
        <v>N</v>
      </c>
      <c r="M55" t="str">
        <f t="shared" si="1"/>
        <v>N</v>
      </c>
      <c r="N55" t="str">
        <f t="shared" si="2"/>
        <v>N</v>
      </c>
      <c r="O55">
        <f t="shared" si="3"/>
        <v>23</v>
      </c>
      <c r="P55" s="6">
        <f t="shared" si="4"/>
        <v>0.81028938906752412</v>
      </c>
      <c r="Q55" s="6">
        <f t="shared" si="5"/>
        <v>1.984126984126984E-3</v>
      </c>
      <c r="R55">
        <f t="shared" si="6"/>
        <v>0</v>
      </c>
      <c r="S55">
        <f t="shared" si="7"/>
        <v>9</v>
      </c>
      <c r="T55" t="str">
        <f t="shared" si="8"/>
        <v>Mar-26</v>
      </c>
    </row>
    <row r="56" spans="1:20">
      <c r="A56" t="s">
        <v>138</v>
      </c>
      <c r="B56" t="s">
        <v>11</v>
      </c>
      <c r="C56" t="s">
        <v>12</v>
      </c>
      <c r="D56">
        <v>371</v>
      </c>
      <c r="E56" s="4">
        <v>46093</v>
      </c>
      <c r="F56" s="4">
        <v>46098</v>
      </c>
      <c r="G56" s="4">
        <v>46095</v>
      </c>
      <c r="H56">
        <v>297</v>
      </c>
      <c r="I56" t="s">
        <v>140</v>
      </c>
      <c r="J56">
        <v>12</v>
      </c>
      <c r="K56" t="s">
        <v>1563</v>
      </c>
      <c r="L56" t="str">
        <f t="shared" si="0"/>
        <v>Y</v>
      </c>
      <c r="M56" t="str">
        <f t="shared" si="1"/>
        <v>N</v>
      </c>
      <c r="N56" t="str">
        <f t="shared" si="2"/>
        <v>N</v>
      </c>
      <c r="O56">
        <f t="shared" si="3"/>
        <v>2</v>
      </c>
      <c r="P56" s="6">
        <f t="shared" si="4"/>
        <v>0.80053908355795145</v>
      </c>
      <c r="Q56" s="6">
        <f t="shared" si="5"/>
        <v>4.0404040404040407E-2</v>
      </c>
      <c r="R56">
        <f t="shared" si="6"/>
        <v>0</v>
      </c>
      <c r="S56">
        <f t="shared" si="7"/>
        <v>0</v>
      </c>
      <c r="T56" t="str">
        <f t="shared" si="8"/>
        <v>Mar-26</v>
      </c>
    </row>
    <row r="57" spans="1:20">
      <c r="A57" t="s">
        <v>141</v>
      </c>
      <c r="B57" t="s">
        <v>43</v>
      </c>
      <c r="C57" t="s">
        <v>23</v>
      </c>
      <c r="D57">
        <v>990</v>
      </c>
      <c r="E57" s="4">
        <v>46063</v>
      </c>
      <c r="F57" s="4">
        <v>46070</v>
      </c>
      <c r="G57" s="4">
        <v>46068</v>
      </c>
      <c r="H57">
        <v>979</v>
      </c>
      <c r="I57" t="s">
        <v>142</v>
      </c>
      <c r="J57">
        <v>15</v>
      </c>
      <c r="K57" t="s">
        <v>1563</v>
      </c>
      <c r="L57" t="str">
        <f t="shared" si="0"/>
        <v>Y</v>
      </c>
      <c r="M57" t="str">
        <f t="shared" si="1"/>
        <v>Y</v>
      </c>
      <c r="N57" t="str">
        <f t="shared" si="2"/>
        <v>Y</v>
      </c>
      <c r="O57">
        <f t="shared" si="3"/>
        <v>5</v>
      </c>
      <c r="P57" s="6">
        <f t="shared" si="4"/>
        <v>0.98888888888888893</v>
      </c>
      <c r="Q57" s="6">
        <f t="shared" si="5"/>
        <v>1.5321756894790603E-2</v>
      </c>
      <c r="R57">
        <f t="shared" si="6"/>
        <v>1</v>
      </c>
      <c r="S57">
        <f t="shared" si="7"/>
        <v>0</v>
      </c>
      <c r="T57" t="str">
        <f t="shared" si="8"/>
        <v>Feb-26</v>
      </c>
    </row>
    <row r="58" spans="1:20">
      <c r="A58" t="s">
        <v>143</v>
      </c>
      <c r="B58" t="s">
        <v>35</v>
      </c>
      <c r="C58" t="s">
        <v>12</v>
      </c>
      <c r="D58">
        <v>352</v>
      </c>
      <c r="E58" s="4">
        <v>46054</v>
      </c>
      <c r="F58" s="4">
        <v>46069</v>
      </c>
      <c r="G58" s="4">
        <v>46068</v>
      </c>
      <c r="H58">
        <v>353</v>
      </c>
      <c r="I58" t="s">
        <v>144</v>
      </c>
      <c r="J58">
        <v>21</v>
      </c>
      <c r="K58" t="s">
        <v>1563</v>
      </c>
      <c r="L58" t="str">
        <f t="shared" si="0"/>
        <v>Y</v>
      </c>
      <c r="M58" t="str">
        <f t="shared" si="1"/>
        <v>Y</v>
      </c>
      <c r="N58" t="str">
        <f t="shared" si="2"/>
        <v>Y</v>
      </c>
      <c r="O58">
        <f t="shared" si="3"/>
        <v>14</v>
      </c>
      <c r="P58" s="6">
        <f t="shared" si="4"/>
        <v>1.0028409090909092</v>
      </c>
      <c r="Q58" s="6">
        <f t="shared" si="5"/>
        <v>5.9490084985835696E-2</v>
      </c>
      <c r="R58">
        <f t="shared" si="6"/>
        <v>1</v>
      </c>
      <c r="S58">
        <f t="shared" si="7"/>
        <v>0</v>
      </c>
      <c r="T58" t="str">
        <f t="shared" si="8"/>
        <v>Feb-26</v>
      </c>
    </row>
    <row r="59" spans="1:20">
      <c r="A59" t="s">
        <v>145</v>
      </c>
      <c r="B59" t="s">
        <v>29</v>
      </c>
      <c r="C59" t="s">
        <v>16</v>
      </c>
      <c r="D59">
        <v>458</v>
      </c>
      <c r="E59" s="4">
        <v>46049</v>
      </c>
      <c r="F59" s="4">
        <v>46062</v>
      </c>
      <c r="G59" s="4">
        <v>46061</v>
      </c>
      <c r="H59">
        <v>452</v>
      </c>
      <c r="I59" t="s">
        <v>146</v>
      </c>
      <c r="J59">
        <v>1</v>
      </c>
      <c r="K59" t="s">
        <v>1563</v>
      </c>
      <c r="L59" t="str">
        <f t="shared" si="0"/>
        <v>Y</v>
      </c>
      <c r="M59" t="str">
        <f t="shared" si="1"/>
        <v>Y</v>
      </c>
      <c r="N59" t="str">
        <f t="shared" si="2"/>
        <v>Y</v>
      </c>
      <c r="O59">
        <f t="shared" si="3"/>
        <v>12</v>
      </c>
      <c r="P59" s="6">
        <f t="shared" si="4"/>
        <v>0.98689956331877726</v>
      </c>
      <c r="Q59" s="6">
        <f t="shared" si="5"/>
        <v>2.2123893805309734E-3</v>
      </c>
      <c r="R59">
        <f t="shared" si="6"/>
        <v>1</v>
      </c>
      <c r="S59">
        <f t="shared" si="7"/>
        <v>0</v>
      </c>
      <c r="T59" t="str">
        <f t="shared" si="8"/>
        <v>Feb-26</v>
      </c>
    </row>
    <row r="60" spans="1:20">
      <c r="A60" t="s">
        <v>147</v>
      </c>
      <c r="B60" t="s">
        <v>67</v>
      </c>
      <c r="C60" t="s">
        <v>12</v>
      </c>
      <c r="D60">
        <v>172</v>
      </c>
      <c r="E60" s="4">
        <v>46027</v>
      </c>
      <c r="F60" s="4">
        <v>46041</v>
      </c>
      <c r="G60" s="4">
        <v>46041</v>
      </c>
      <c r="H60">
        <v>172</v>
      </c>
      <c r="I60" t="s">
        <v>148</v>
      </c>
      <c r="J60">
        <v>10</v>
      </c>
      <c r="K60" t="s">
        <v>1563</v>
      </c>
      <c r="L60" t="str">
        <f t="shared" si="0"/>
        <v>Y</v>
      </c>
      <c r="M60" t="str">
        <f t="shared" si="1"/>
        <v>Y</v>
      </c>
      <c r="N60" t="str">
        <f t="shared" si="2"/>
        <v>Y</v>
      </c>
      <c r="O60">
        <f t="shared" si="3"/>
        <v>14</v>
      </c>
      <c r="P60" s="6">
        <f t="shared" si="4"/>
        <v>1</v>
      </c>
      <c r="Q60" s="6">
        <f t="shared" si="5"/>
        <v>5.8139534883720929E-2</v>
      </c>
      <c r="R60">
        <f t="shared" si="6"/>
        <v>1</v>
      </c>
      <c r="S60">
        <f t="shared" si="7"/>
        <v>0</v>
      </c>
      <c r="T60" t="str">
        <f t="shared" si="8"/>
        <v>Jan-26</v>
      </c>
    </row>
    <row r="61" spans="1:20">
      <c r="A61" t="s">
        <v>149</v>
      </c>
      <c r="B61" t="s">
        <v>64</v>
      </c>
      <c r="C61" t="s">
        <v>16</v>
      </c>
      <c r="D61">
        <v>205</v>
      </c>
      <c r="E61" s="4">
        <v>46090</v>
      </c>
      <c r="F61" s="4">
        <v>46103</v>
      </c>
      <c r="G61" s="4">
        <v>46102</v>
      </c>
      <c r="H61">
        <v>189</v>
      </c>
      <c r="I61" t="s">
        <v>150</v>
      </c>
      <c r="J61">
        <v>0</v>
      </c>
      <c r="K61" t="s">
        <v>1563</v>
      </c>
      <c r="L61" t="str">
        <f t="shared" si="0"/>
        <v>Y</v>
      </c>
      <c r="M61" t="str">
        <f t="shared" si="1"/>
        <v>N</v>
      </c>
      <c r="N61" t="str">
        <f t="shared" si="2"/>
        <v>N</v>
      </c>
      <c r="O61">
        <f t="shared" si="3"/>
        <v>12</v>
      </c>
      <c r="P61" s="6">
        <f t="shared" si="4"/>
        <v>0.92195121951219516</v>
      </c>
      <c r="Q61" s="6">
        <f t="shared" si="5"/>
        <v>0</v>
      </c>
      <c r="R61">
        <f t="shared" si="6"/>
        <v>0</v>
      </c>
      <c r="S61">
        <f t="shared" si="7"/>
        <v>0</v>
      </c>
      <c r="T61" t="str">
        <f t="shared" si="8"/>
        <v>Mar-26</v>
      </c>
    </row>
    <row r="62" spans="1:20">
      <c r="A62" t="s">
        <v>151</v>
      </c>
      <c r="B62" t="s">
        <v>67</v>
      </c>
      <c r="C62" t="s">
        <v>12</v>
      </c>
      <c r="D62">
        <v>184</v>
      </c>
      <c r="E62" s="4">
        <v>46148</v>
      </c>
      <c r="F62" s="4">
        <v>46157</v>
      </c>
      <c r="G62" s="4">
        <v>46164</v>
      </c>
      <c r="H62">
        <v>187</v>
      </c>
      <c r="I62" t="s">
        <v>152</v>
      </c>
      <c r="J62">
        <v>0</v>
      </c>
      <c r="K62" t="s">
        <v>1563</v>
      </c>
      <c r="L62" t="str">
        <f t="shared" si="0"/>
        <v>N</v>
      </c>
      <c r="M62" t="str">
        <f t="shared" si="1"/>
        <v>Y</v>
      </c>
      <c r="N62" t="str">
        <f t="shared" si="2"/>
        <v>N</v>
      </c>
      <c r="O62">
        <f t="shared" si="3"/>
        <v>16</v>
      </c>
      <c r="P62" s="6">
        <f t="shared" si="4"/>
        <v>1.0163043478260869</v>
      </c>
      <c r="Q62" s="6">
        <f t="shared" si="5"/>
        <v>0</v>
      </c>
      <c r="R62">
        <f t="shared" si="6"/>
        <v>0</v>
      </c>
      <c r="S62">
        <f t="shared" si="7"/>
        <v>7</v>
      </c>
      <c r="T62" t="str">
        <f t="shared" si="8"/>
        <v>May-26</v>
      </c>
    </row>
    <row r="63" spans="1:20">
      <c r="A63" t="s">
        <v>153</v>
      </c>
      <c r="B63" t="s">
        <v>32</v>
      </c>
      <c r="C63" t="s">
        <v>12</v>
      </c>
      <c r="D63">
        <v>969</v>
      </c>
      <c r="E63" s="4">
        <v>46060</v>
      </c>
      <c r="F63" s="4">
        <v>46066</v>
      </c>
      <c r="G63" s="4">
        <v>46064</v>
      </c>
      <c r="H63">
        <v>973</v>
      </c>
      <c r="I63" t="s">
        <v>154</v>
      </c>
      <c r="J63">
        <v>5</v>
      </c>
      <c r="K63" t="s">
        <v>1563</v>
      </c>
      <c r="L63" t="str">
        <f t="shared" si="0"/>
        <v>Y</v>
      </c>
      <c r="M63" t="str">
        <f t="shared" si="1"/>
        <v>Y</v>
      </c>
      <c r="N63" t="str">
        <f t="shared" si="2"/>
        <v>Y</v>
      </c>
      <c r="O63">
        <f t="shared" si="3"/>
        <v>4</v>
      </c>
      <c r="P63" s="6">
        <f t="shared" si="4"/>
        <v>1.0041279669762642</v>
      </c>
      <c r="Q63" s="6">
        <f t="shared" si="5"/>
        <v>5.1387461459403904E-3</v>
      </c>
      <c r="R63">
        <f t="shared" si="6"/>
        <v>1</v>
      </c>
      <c r="S63">
        <f t="shared" si="7"/>
        <v>0</v>
      </c>
      <c r="T63" t="str">
        <f t="shared" si="8"/>
        <v>Feb-26</v>
      </c>
    </row>
    <row r="64" spans="1:20">
      <c r="A64" t="s">
        <v>155</v>
      </c>
      <c r="B64" t="s">
        <v>29</v>
      </c>
      <c r="C64" t="s">
        <v>12</v>
      </c>
      <c r="D64">
        <v>574</v>
      </c>
      <c r="E64" s="4">
        <v>46111</v>
      </c>
      <c r="F64" s="4">
        <v>46116</v>
      </c>
      <c r="G64" s="4">
        <v>46113</v>
      </c>
      <c r="H64">
        <v>578</v>
      </c>
      <c r="I64" t="s">
        <v>156</v>
      </c>
      <c r="J64">
        <v>7</v>
      </c>
      <c r="K64" t="s">
        <v>1563</v>
      </c>
      <c r="L64" t="str">
        <f t="shared" si="0"/>
        <v>Y</v>
      </c>
      <c r="M64" t="str">
        <f t="shared" si="1"/>
        <v>Y</v>
      </c>
      <c r="N64" t="str">
        <f t="shared" si="2"/>
        <v>Y</v>
      </c>
      <c r="O64">
        <f t="shared" si="3"/>
        <v>2</v>
      </c>
      <c r="P64" s="6">
        <f t="shared" si="4"/>
        <v>1.0069686411149825</v>
      </c>
      <c r="Q64" s="6">
        <f t="shared" si="5"/>
        <v>1.2110726643598616E-2</v>
      </c>
      <c r="R64">
        <f t="shared" si="6"/>
        <v>1</v>
      </c>
      <c r="S64">
        <f t="shared" si="7"/>
        <v>0</v>
      </c>
      <c r="T64" t="str">
        <f t="shared" si="8"/>
        <v>Apr-26</v>
      </c>
    </row>
    <row r="65" spans="1:20">
      <c r="A65" t="s">
        <v>157</v>
      </c>
      <c r="B65" t="s">
        <v>100</v>
      </c>
      <c r="C65" t="s">
        <v>16</v>
      </c>
      <c r="D65">
        <v>668</v>
      </c>
      <c r="E65" s="4">
        <v>46129</v>
      </c>
      <c r="F65" s="4">
        <v>46141</v>
      </c>
      <c r="G65" s="4">
        <v>46139</v>
      </c>
      <c r="H65">
        <v>677</v>
      </c>
      <c r="I65" t="s">
        <v>158</v>
      </c>
      <c r="J65">
        <v>11</v>
      </c>
      <c r="K65" t="s">
        <v>1563</v>
      </c>
      <c r="L65" t="str">
        <f t="shared" si="0"/>
        <v>Y</v>
      </c>
      <c r="M65" t="str">
        <f t="shared" si="1"/>
        <v>Y</v>
      </c>
      <c r="N65" t="str">
        <f t="shared" si="2"/>
        <v>Y</v>
      </c>
      <c r="O65">
        <f t="shared" si="3"/>
        <v>10</v>
      </c>
      <c r="P65" s="6">
        <f t="shared" si="4"/>
        <v>1.0134730538922156</v>
      </c>
      <c r="Q65" s="6">
        <f t="shared" si="5"/>
        <v>1.6248153618906941E-2</v>
      </c>
      <c r="R65">
        <f t="shared" si="6"/>
        <v>1</v>
      </c>
      <c r="S65">
        <f t="shared" si="7"/>
        <v>0</v>
      </c>
      <c r="T65" t="str">
        <f t="shared" si="8"/>
        <v>Apr-26</v>
      </c>
    </row>
    <row r="66" spans="1:20">
      <c r="A66" t="s">
        <v>159</v>
      </c>
      <c r="B66" t="s">
        <v>40</v>
      </c>
      <c r="C66" t="s">
        <v>12</v>
      </c>
      <c r="D66">
        <v>308</v>
      </c>
      <c r="E66" s="4">
        <v>46167</v>
      </c>
      <c r="F66" s="4">
        <v>46172</v>
      </c>
      <c r="G66" s="4">
        <v>46169</v>
      </c>
      <c r="H66">
        <v>308</v>
      </c>
      <c r="I66" t="s">
        <v>160</v>
      </c>
      <c r="J66">
        <v>19</v>
      </c>
      <c r="K66" t="s">
        <v>1563</v>
      </c>
      <c r="L66" t="str">
        <f t="shared" ref="L66:L129" si="9">IF(G66="","N/A",IF(G66&lt;=F66,"Y","N"))</f>
        <v>Y</v>
      </c>
      <c r="M66" t="str">
        <f t="shared" ref="M66:M129" si="10">IF(H66="","N/A",IF(H66&gt;=D66*0.98,"Y","N"))</f>
        <v>Y</v>
      </c>
      <c r="N66" t="str">
        <f t="shared" ref="N66:N129" si="11">IF(OR(L66="N/A",M66="N/A"),"N/A",IF(AND(L66="Y",M66="Y"),"Y","N"))</f>
        <v>Y</v>
      </c>
      <c r="O66">
        <f t="shared" ref="O66:O129" si="12">IF(G66="","N/A",G66-E66)</f>
        <v>2</v>
      </c>
      <c r="P66" s="6">
        <f t="shared" ref="P66:P129" si="13">IF(H66="","N/A",H66/D66)</f>
        <v>1</v>
      </c>
      <c r="Q66" s="6">
        <f t="shared" ref="Q66:Q129" si="14">IF(H66="","N/A",IF(H66=0,0,J66/H66))</f>
        <v>6.1688311688311688E-2</v>
      </c>
      <c r="R66">
        <f t="shared" ref="R66:R129" si="15">IF(N66="Y",1,IF(N66="N",0,""))</f>
        <v>1</v>
      </c>
      <c r="S66">
        <f t="shared" ref="S66:S129" si="16">IF(G66="","N/A",MAX(G66-F66,0))</f>
        <v>0</v>
      </c>
      <c r="T66" t="str">
        <f t="shared" ref="T66:T129" si="17">IF(G66="","N/A",TEXT(G66,"mmm-yy"))</f>
        <v>May-26</v>
      </c>
    </row>
    <row r="67" spans="1:20">
      <c r="A67" t="s">
        <v>161</v>
      </c>
      <c r="B67" t="s">
        <v>29</v>
      </c>
      <c r="C67" t="s">
        <v>16</v>
      </c>
      <c r="D67">
        <v>352</v>
      </c>
      <c r="E67" s="4">
        <v>46083</v>
      </c>
      <c r="F67" s="4">
        <v>46091</v>
      </c>
      <c r="G67" s="4">
        <v>46091</v>
      </c>
      <c r="H67">
        <v>355</v>
      </c>
      <c r="I67" t="s">
        <v>162</v>
      </c>
      <c r="J67">
        <v>1</v>
      </c>
      <c r="K67" t="s">
        <v>1563</v>
      </c>
      <c r="L67" t="str">
        <f t="shared" si="9"/>
        <v>Y</v>
      </c>
      <c r="M67" t="str">
        <f t="shared" si="10"/>
        <v>Y</v>
      </c>
      <c r="N67" t="str">
        <f t="shared" si="11"/>
        <v>Y</v>
      </c>
      <c r="O67">
        <f t="shared" si="12"/>
        <v>8</v>
      </c>
      <c r="P67" s="6">
        <f t="shared" si="13"/>
        <v>1.0085227272727273</v>
      </c>
      <c r="Q67" s="6">
        <f t="shared" si="14"/>
        <v>2.8169014084507044E-3</v>
      </c>
      <c r="R67">
        <f t="shared" si="15"/>
        <v>1</v>
      </c>
      <c r="S67">
        <f t="shared" si="16"/>
        <v>0</v>
      </c>
      <c r="T67" t="str">
        <f t="shared" si="17"/>
        <v>Mar-26</v>
      </c>
    </row>
    <row r="68" spans="1:20">
      <c r="A68" t="s">
        <v>163</v>
      </c>
      <c r="B68" t="s">
        <v>49</v>
      </c>
      <c r="C68" t="s">
        <v>16</v>
      </c>
      <c r="D68">
        <v>182</v>
      </c>
      <c r="E68" s="4">
        <v>46119</v>
      </c>
      <c r="F68" s="4">
        <v>46134</v>
      </c>
      <c r="G68" s="4">
        <v>46134</v>
      </c>
      <c r="H68">
        <v>184</v>
      </c>
      <c r="I68" t="s">
        <v>164</v>
      </c>
      <c r="J68">
        <v>1</v>
      </c>
      <c r="K68" t="s">
        <v>1563</v>
      </c>
      <c r="L68" t="str">
        <f t="shared" si="9"/>
        <v>Y</v>
      </c>
      <c r="M68" t="str">
        <f t="shared" si="10"/>
        <v>Y</v>
      </c>
      <c r="N68" t="str">
        <f t="shared" si="11"/>
        <v>Y</v>
      </c>
      <c r="O68">
        <f t="shared" si="12"/>
        <v>15</v>
      </c>
      <c r="P68" s="6">
        <f t="shared" si="13"/>
        <v>1.0109890109890109</v>
      </c>
      <c r="Q68" s="6">
        <f t="shared" si="14"/>
        <v>5.434782608695652E-3</v>
      </c>
      <c r="R68">
        <f t="shared" si="15"/>
        <v>1</v>
      </c>
      <c r="S68">
        <f t="shared" si="16"/>
        <v>0</v>
      </c>
      <c r="T68" t="str">
        <f t="shared" si="17"/>
        <v>Apr-26</v>
      </c>
    </row>
    <row r="69" spans="1:20">
      <c r="A69" t="s">
        <v>165</v>
      </c>
      <c r="B69" t="s">
        <v>52</v>
      </c>
      <c r="C69" t="s">
        <v>12</v>
      </c>
      <c r="D69">
        <v>788</v>
      </c>
      <c r="E69" s="4">
        <v>46085</v>
      </c>
      <c r="F69" s="4">
        <v>46091</v>
      </c>
      <c r="G69" s="4">
        <v>46092</v>
      </c>
      <c r="H69">
        <v>798</v>
      </c>
      <c r="I69" t="s">
        <v>167</v>
      </c>
      <c r="J69">
        <v>11</v>
      </c>
      <c r="K69" t="s">
        <v>1563</v>
      </c>
      <c r="L69" t="str">
        <f t="shared" si="9"/>
        <v>N</v>
      </c>
      <c r="M69" t="str">
        <f t="shared" si="10"/>
        <v>Y</v>
      </c>
      <c r="N69" t="str">
        <f t="shared" si="11"/>
        <v>N</v>
      </c>
      <c r="O69">
        <f t="shared" si="12"/>
        <v>7</v>
      </c>
      <c r="P69" s="6">
        <f t="shared" si="13"/>
        <v>1.0126903553299493</v>
      </c>
      <c r="Q69" s="6">
        <f t="shared" si="14"/>
        <v>1.3784461152882205E-2</v>
      </c>
      <c r="R69">
        <f t="shared" si="15"/>
        <v>0</v>
      </c>
      <c r="S69">
        <f t="shared" si="16"/>
        <v>1</v>
      </c>
      <c r="T69" t="str">
        <f t="shared" si="17"/>
        <v>Mar-26</v>
      </c>
    </row>
    <row r="70" spans="1:20">
      <c r="A70" t="s">
        <v>168</v>
      </c>
      <c r="B70" t="s">
        <v>26</v>
      </c>
      <c r="C70" t="s">
        <v>16</v>
      </c>
      <c r="D70">
        <v>495</v>
      </c>
      <c r="E70" s="4">
        <v>46161</v>
      </c>
      <c r="F70" s="4">
        <v>46166</v>
      </c>
      <c r="G70" s="4">
        <v>46165</v>
      </c>
      <c r="H70">
        <v>418</v>
      </c>
      <c r="I70" t="s">
        <v>169</v>
      </c>
      <c r="J70">
        <v>1</v>
      </c>
      <c r="K70" t="s">
        <v>1563</v>
      </c>
      <c r="L70" t="str">
        <f t="shared" si="9"/>
        <v>Y</v>
      </c>
      <c r="M70" t="str">
        <f t="shared" si="10"/>
        <v>N</v>
      </c>
      <c r="N70" t="str">
        <f t="shared" si="11"/>
        <v>N</v>
      </c>
      <c r="O70">
        <f t="shared" si="12"/>
        <v>4</v>
      </c>
      <c r="P70" s="6">
        <f t="shared" si="13"/>
        <v>0.84444444444444444</v>
      </c>
      <c r="Q70" s="6">
        <f t="shared" si="14"/>
        <v>2.3923444976076554E-3</v>
      </c>
      <c r="R70">
        <f t="shared" si="15"/>
        <v>0</v>
      </c>
      <c r="S70">
        <f t="shared" si="16"/>
        <v>0</v>
      </c>
      <c r="T70" t="str">
        <f t="shared" si="17"/>
        <v>May-26</v>
      </c>
    </row>
    <row r="71" spans="1:20">
      <c r="A71" t="s">
        <v>170</v>
      </c>
      <c r="B71" t="s">
        <v>26</v>
      </c>
      <c r="C71" t="s">
        <v>12</v>
      </c>
      <c r="D71">
        <v>450</v>
      </c>
      <c r="E71" s="4">
        <v>46042</v>
      </c>
      <c r="F71" s="4">
        <v>46047</v>
      </c>
      <c r="G71" s="4">
        <v>46046</v>
      </c>
      <c r="H71">
        <v>442</v>
      </c>
      <c r="I71" t="s">
        <v>171</v>
      </c>
      <c r="J71">
        <v>8</v>
      </c>
      <c r="K71" t="s">
        <v>1563</v>
      </c>
      <c r="L71" t="str">
        <f t="shared" si="9"/>
        <v>Y</v>
      </c>
      <c r="M71" t="str">
        <f t="shared" si="10"/>
        <v>Y</v>
      </c>
      <c r="N71" t="str">
        <f t="shared" si="11"/>
        <v>Y</v>
      </c>
      <c r="O71">
        <f t="shared" si="12"/>
        <v>4</v>
      </c>
      <c r="P71" s="6">
        <f t="shared" si="13"/>
        <v>0.98222222222222222</v>
      </c>
      <c r="Q71" s="6">
        <f t="shared" si="14"/>
        <v>1.8099547511312219E-2</v>
      </c>
      <c r="R71">
        <f t="shared" si="15"/>
        <v>1</v>
      </c>
      <c r="S71">
        <f t="shared" si="16"/>
        <v>0</v>
      </c>
      <c r="T71" t="str">
        <f t="shared" si="17"/>
        <v>Jan-26</v>
      </c>
    </row>
    <row r="72" spans="1:20">
      <c r="A72" t="s">
        <v>172</v>
      </c>
      <c r="B72" t="s">
        <v>22</v>
      </c>
      <c r="C72" t="s">
        <v>16</v>
      </c>
      <c r="D72">
        <v>880</v>
      </c>
      <c r="E72" s="4">
        <v>46105</v>
      </c>
      <c r="F72" s="4">
        <v>46110</v>
      </c>
      <c r="G72" s="4">
        <v>46107</v>
      </c>
      <c r="H72">
        <v>875</v>
      </c>
      <c r="I72" t="s">
        <v>173</v>
      </c>
      <c r="J72">
        <v>28</v>
      </c>
      <c r="K72" t="s">
        <v>1563</v>
      </c>
      <c r="L72" t="str">
        <f t="shared" si="9"/>
        <v>Y</v>
      </c>
      <c r="M72" t="str">
        <f t="shared" si="10"/>
        <v>Y</v>
      </c>
      <c r="N72" t="str">
        <f t="shared" si="11"/>
        <v>Y</v>
      </c>
      <c r="O72">
        <f t="shared" si="12"/>
        <v>2</v>
      </c>
      <c r="P72" s="6">
        <f t="shared" si="13"/>
        <v>0.99431818181818177</v>
      </c>
      <c r="Q72" s="6">
        <f t="shared" si="14"/>
        <v>3.2000000000000001E-2</v>
      </c>
      <c r="R72">
        <f t="shared" si="15"/>
        <v>1</v>
      </c>
      <c r="S72">
        <f t="shared" si="16"/>
        <v>0</v>
      </c>
      <c r="T72" t="str">
        <f t="shared" si="17"/>
        <v>Mar-26</v>
      </c>
    </row>
    <row r="73" spans="1:20">
      <c r="A73" t="s">
        <v>174</v>
      </c>
      <c r="B73" t="s">
        <v>67</v>
      </c>
      <c r="C73" t="s">
        <v>12</v>
      </c>
      <c r="D73">
        <v>506</v>
      </c>
      <c r="E73" s="4">
        <v>46103</v>
      </c>
      <c r="F73" s="4">
        <v>46115</v>
      </c>
      <c r="G73" s="4">
        <v>46115</v>
      </c>
      <c r="H73">
        <v>511</v>
      </c>
      <c r="I73" t="s">
        <v>175</v>
      </c>
      <c r="J73">
        <v>28</v>
      </c>
      <c r="K73" t="s">
        <v>1563</v>
      </c>
      <c r="L73" t="str">
        <f t="shared" si="9"/>
        <v>Y</v>
      </c>
      <c r="M73" t="str">
        <f t="shared" si="10"/>
        <v>Y</v>
      </c>
      <c r="N73" t="str">
        <f t="shared" si="11"/>
        <v>Y</v>
      </c>
      <c r="O73">
        <f t="shared" si="12"/>
        <v>12</v>
      </c>
      <c r="P73" s="6">
        <f t="shared" si="13"/>
        <v>1.0098814229249011</v>
      </c>
      <c r="Q73" s="6">
        <f t="shared" si="14"/>
        <v>5.4794520547945202E-2</v>
      </c>
      <c r="R73">
        <f t="shared" si="15"/>
        <v>1</v>
      </c>
      <c r="S73">
        <f t="shared" si="16"/>
        <v>0</v>
      </c>
      <c r="T73" t="str">
        <f t="shared" si="17"/>
        <v>Apr-26</v>
      </c>
    </row>
    <row r="74" spans="1:20">
      <c r="A74" t="s">
        <v>176</v>
      </c>
      <c r="B74" t="s">
        <v>177</v>
      </c>
      <c r="C74" t="s">
        <v>12</v>
      </c>
      <c r="D74">
        <v>855</v>
      </c>
      <c r="E74" s="4">
        <v>46107</v>
      </c>
      <c r="F74" s="4">
        <v>46121</v>
      </c>
      <c r="G74" s="4">
        <v>46119</v>
      </c>
      <c r="H74">
        <v>802</v>
      </c>
      <c r="I74" t="s">
        <v>178</v>
      </c>
      <c r="J74">
        <v>12</v>
      </c>
      <c r="K74" t="s">
        <v>1563</v>
      </c>
      <c r="L74" t="str">
        <f t="shared" si="9"/>
        <v>Y</v>
      </c>
      <c r="M74" t="str">
        <f t="shared" si="10"/>
        <v>N</v>
      </c>
      <c r="N74" t="str">
        <f t="shared" si="11"/>
        <v>N</v>
      </c>
      <c r="O74">
        <f t="shared" si="12"/>
        <v>12</v>
      </c>
      <c r="P74" s="6">
        <f t="shared" si="13"/>
        <v>0.93801169590643274</v>
      </c>
      <c r="Q74" s="6">
        <f t="shared" si="14"/>
        <v>1.4962593516209476E-2</v>
      </c>
      <c r="R74">
        <f t="shared" si="15"/>
        <v>0</v>
      </c>
      <c r="S74">
        <f t="shared" si="16"/>
        <v>0</v>
      </c>
      <c r="T74" t="str">
        <f t="shared" si="17"/>
        <v>Apr-26</v>
      </c>
    </row>
    <row r="75" spans="1:20">
      <c r="A75" t="s">
        <v>179</v>
      </c>
      <c r="B75" t="s">
        <v>32</v>
      </c>
      <c r="C75" t="s">
        <v>16</v>
      </c>
      <c r="D75">
        <v>703</v>
      </c>
      <c r="E75" s="4">
        <v>46083</v>
      </c>
      <c r="F75" s="4">
        <v>46088</v>
      </c>
      <c r="G75" s="4">
        <v>46087</v>
      </c>
      <c r="H75">
        <v>706</v>
      </c>
      <c r="I75" t="s">
        <v>50</v>
      </c>
      <c r="J75">
        <v>38</v>
      </c>
      <c r="K75" t="s">
        <v>1563</v>
      </c>
      <c r="L75" t="str">
        <f t="shared" si="9"/>
        <v>Y</v>
      </c>
      <c r="M75" t="str">
        <f t="shared" si="10"/>
        <v>Y</v>
      </c>
      <c r="N75" t="str">
        <f t="shared" si="11"/>
        <v>Y</v>
      </c>
      <c r="O75">
        <f t="shared" si="12"/>
        <v>4</v>
      </c>
      <c r="P75" s="6">
        <f t="shared" si="13"/>
        <v>1.004267425320057</v>
      </c>
      <c r="Q75" s="6">
        <f t="shared" si="14"/>
        <v>5.3824362606232294E-2</v>
      </c>
      <c r="R75">
        <f t="shared" si="15"/>
        <v>1</v>
      </c>
      <c r="S75">
        <f t="shared" si="16"/>
        <v>0</v>
      </c>
      <c r="T75" t="str">
        <f t="shared" si="17"/>
        <v>Mar-26</v>
      </c>
    </row>
    <row r="76" spans="1:20">
      <c r="A76" t="s">
        <v>180</v>
      </c>
      <c r="B76" t="s">
        <v>52</v>
      </c>
      <c r="C76" t="s">
        <v>16</v>
      </c>
      <c r="D76">
        <v>261</v>
      </c>
      <c r="E76" s="4">
        <v>46098</v>
      </c>
      <c r="F76" s="4">
        <v>46106</v>
      </c>
      <c r="G76" s="4">
        <v>46105</v>
      </c>
      <c r="H76">
        <v>214</v>
      </c>
      <c r="I76" t="s">
        <v>181</v>
      </c>
      <c r="J76">
        <v>2</v>
      </c>
      <c r="K76" t="s">
        <v>1563</v>
      </c>
      <c r="L76" t="str">
        <f t="shared" si="9"/>
        <v>Y</v>
      </c>
      <c r="M76" t="str">
        <f t="shared" si="10"/>
        <v>N</v>
      </c>
      <c r="N76" t="str">
        <f t="shared" si="11"/>
        <v>N</v>
      </c>
      <c r="O76">
        <f t="shared" si="12"/>
        <v>7</v>
      </c>
      <c r="P76" s="6">
        <f t="shared" si="13"/>
        <v>0.81992337164750961</v>
      </c>
      <c r="Q76" s="6">
        <f t="shared" si="14"/>
        <v>9.3457943925233638E-3</v>
      </c>
      <c r="R76">
        <f t="shared" si="15"/>
        <v>0</v>
      </c>
      <c r="S76">
        <f t="shared" si="16"/>
        <v>0</v>
      </c>
      <c r="T76" t="str">
        <f t="shared" si="17"/>
        <v>Mar-26</v>
      </c>
    </row>
    <row r="77" spans="1:20">
      <c r="A77" t="s">
        <v>182</v>
      </c>
      <c r="B77" t="s">
        <v>177</v>
      </c>
      <c r="C77" t="s">
        <v>12</v>
      </c>
      <c r="D77">
        <v>500</v>
      </c>
      <c r="E77" s="4">
        <v>46148</v>
      </c>
      <c r="F77" s="4">
        <v>46155</v>
      </c>
      <c r="G77" s="4">
        <v>46154</v>
      </c>
      <c r="H77">
        <v>507</v>
      </c>
      <c r="I77" t="s">
        <v>183</v>
      </c>
      <c r="J77">
        <v>9</v>
      </c>
      <c r="K77" t="s">
        <v>1563</v>
      </c>
      <c r="L77" t="str">
        <f t="shared" si="9"/>
        <v>Y</v>
      </c>
      <c r="M77" t="str">
        <f t="shared" si="10"/>
        <v>Y</v>
      </c>
      <c r="N77" t="str">
        <f t="shared" si="11"/>
        <v>Y</v>
      </c>
      <c r="O77">
        <f t="shared" si="12"/>
        <v>6</v>
      </c>
      <c r="P77" s="6">
        <f t="shared" si="13"/>
        <v>1.014</v>
      </c>
      <c r="Q77" s="6">
        <f t="shared" si="14"/>
        <v>1.7751479289940829E-2</v>
      </c>
      <c r="R77">
        <f t="shared" si="15"/>
        <v>1</v>
      </c>
      <c r="S77">
        <f t="shared" si="16"/>
        <v>0</v>
      </c>
      <c r="T77" t="str">
        <f t="shared" si="17"/>
        <v>May-26</v>
      </c>
    </row>
    <row r="78" spans="1:20">
      <c r="A78" t="s">
        <v>184</v>
      </c>
      <c r="B78" t="s">
        <v>177</v>
      </c>
      <c r="C78" t="s">
        <v>12</v>
      </c>
      <c r="D78">
        <v>529</v>
      </c>
      <c r="E78" s="4">
        <v>46171</v>
      </c>
      <c r="F78" s="4">
        <v>46178</v>
      </c>
      <c r="G78" s="4">
        <v>46175</v>
      </c>
      <c r="H78">
        <v>538</v>
      </c>
      <c r="I78" t="s">
        <v>185</v>
      </c>
      <c r="J78">
        <v>11</v>
      </c>
      <c r="K78" t="s">
        <v>1563</v>
      </c>
      <c r="L78" t="str">
        <f t="shared" si="9"/>
        <v>Y</v>
      </c>
      <c r="M78" t="str">
        <f t="shared" si="10"/>
        <v>Y</v>
      </c>
      <c r="N78" t="str">
        <f t="shared" si="11"/>
        <v>Y</v>
      </c>
      <c r="O78">
        <f t="shared" si="12"/>
        <v>4</v>
      </c>
      <c r="P78" s="6">
        <f t="shared" si="13"/>
        <v>1.0170132325141776</v>
      </c>
      <c r="Q78" s="6">
        <f t="shared" si="14"/>
        <v>2.0446096654275093E-2</v>
      </c>
      <c r="R78">
        <f t="shared" si="15"/>
        <v>1</v>
      </c>
      <c r="S78">
        <f t="shared" si="16"/>
        <v>0</v>
      </c>
      <c r="T78" t="str">
        <f t="shared" si="17"/>
        <v>Jun-26</v>
      </c>
    </row>
    <row r="79" spans="1:20">
      <c r="A79" t="s">
        <v>186</v>
      </c>
      <c r="B79" t="s">
        <v>100</v>
      </c>
      <c r="C79" t="s">
        <v>12</v>
      </c>
      <c r="D79">
        <v>339</v>
      </c>
      <c r="E79" s="4">
        <v>46167</v>
      </c>
      <c r="F79" s="4">
        <v>46176</v>
      </c>
      <c r="G79" s="4">
        <v>46184</v>
      </c>
      <c r="H79">
        <v>346</v>
      </c>
      <c r="I79" t="s">
        <v>187</v>
      </c>
      <c r="J79">
        <v>1</v>
      </c>
      <c r="K79" t="s">
        <v>1563</v>
      </c>
      <c r="L79" t="str">
        <f t="shared" si="9"/>
        <v>N</v>
      </c>
      <c r="M79" t="str">
        <f t="shared" si="10"/>
        <v>Y</v>
      </c>
      <c r="N79" t="str">
        <f t="shared" si="11"/>
        <v>N</v>
      </c>
      <c r="O79">
        <f t="shared" si="12"/>
        <v>17</v>
      </c>
      <c r="P79" s="6">
        <f t="shared" si="13"/>
        <v>1.0206489675516224</v>
      </c>
      <c r="Q79" s="6">
        <f t="shared" si="14"/>
        <v>2.8901734104046241E-3</v>
      </c>
      <c r="R79">
        <f t="shared" si="15"/>
        <v>0</v>
      </c>
      <c r="S79">
        <f t="shared" si="16"/>
        <v>8</v>
      </c>
      <c r="T79" t="str">
        <f t="shared" si="17"/>
        <v>Jun-26</v>
      </c>
    </row>
    <row r="80" spans="1:20">
      <c r="A80" t="s">
        <v>188</v>
      </c>
      <c r="B80" t="s">
        <v>81</v>
      </c>
      <c r="C80" t="s">
        <v>12</v>
      </c>
      <c r="D80">
        <v>356</v>
      </c>
      <c r="E80" s="4">
        <v>46157</v>
      </c>
      <c r="F80" s="4">
        <v>46171</v>
      </c>
      <c r="G80" s="4">
        <v>46171</v>
      </c>
      <c r="H80">
        <v>311</v>
      </c>
      <c r="I80" t="s">
        <v>189</v>
      </c>
      <c r="J80">
        <v>3</v>
      </c>
      <c r="K80" t="s">
        <v>1563</v>
      </c>
      <c r="L80" t="str">
        <f t="shared" si="9"/>
        <v>Y</v>
      </c>
      <c r="M80" t="str">
        <f t="shared" si="10"/>
        <v>N</v>
      </c>
      <c r="N80" t="str">
        <f t="shared" si="11"/>
        <v>N</v>
      </c>
      <c r="O80">
        <f t="shared" si="12"/>
        <v>14</v>
      </c>
      <c r="P80" s="6">
        <f t="shared" si="13"/>
        <v>0.8735955056179775</v>
      </c>
      <c r="Q80" s="6">
        <f t="shared" si="14"/>
        <v>9.6463022508038593E-3</v>
      </c>
      <c r="R80">
        <f t="shared" si="15"/>
        <v>0</v>
      </c>
      <c r="S80">
        <f t="shared" si="16"/>
        <v>0</v>
      </c>
      <c r="T80" t="str">
        <f t="shared" si="17"/>
        <v>May-26</v>
      </c>
    </row>
    <row r="81" spans="1:20">
      <c r="A81" t="s">
        <v>190</v>
      </c>
      <c r="B81" t="s">
        <v>100</v>
      </c>
      <c r="C81" t="s">
        <v>12</v>
      </c>
      <c r="D81">
        <v>493</v>
      </c>
      <c r="E81" s="4">
        <v>46122</v>
      </c>
      <c r="F81" s="4">
        <v>46137</v>
      </c>
      <c r="G81" s="4">
        <v>46135</v>
      </c>
      <c r="H81">
        <v>491</v>
      </c>
      <c r="I81" t="s">
        <v>191</v>
      </c>
      <c r="J81">
        <v>12</v>
      </c>
      <c r="K81" t="s">
        <v>1563</v>
      </c>
      <c r="L81" t="str">
        <f t="shared" si="9"/>
        <v>Y</v>
      </c>
      <c r="M81" t="str">
        <f t="shared" si="10"/>
        <v>Y</v>
      </c>
      <c r="N81" t="str">
        <f t="shared" si="11"/>
        <v>Y</v>
      </c>
      <c r="O81">
        <f t="shared" si="12"/>
        <v>13</v>
      </c>
      <c r="P81" s="6">
        <f t="shared" si="13"/>
        <v>0.99594320486815413</v>
      </c>
      <c r="Q81" s="6">
        <f t="shared" si="14"/>
        <v>2.4439918533604887E-2</v>
      </c>
      <c r="R81">
        <f t="shared" si="15"/>
        <v>1</v>
      </c>
      <c r="S81">
        <f t="shared" si="16"/>
        <v>0</v>
      </c>
      <c r="T81" t="str">
        <f t="shared" si="17"/>
        <v>Apr-26</v>
      </c>
    </row>
    <row r="82" spans="1:20">
      <c r="A82" t="s">
        <v>192</v>
      </c>
      <c r="B82" t="s">
        <v>43</v>
      </c>
      <c r="C82" t="s">
        <v>12</v>
      </c>
      <c r="D82">
        <v>901</v>
      </c>
      <c r="E82" s="4">
        <v>46087</v>
      </c>
      <c r="F82" s="4">
        <v>46102</v>
      </c>
      <c r="G82" s="4">
        <v>46103</v>
      </c>
      <c r="H82">
        <v>898</v>
      </c>
      <c r="I82" t="s">
        <v>140</v>
      </c>
      <c r="J82">
        <v>42</v>
      </c>
      <c r="K82" t="s">
        <v>1563</v>
      </c>
      <c r="L82" t="str">
        <f t="shared" si="9"/>
        <v>N</v>
      </c>
      <c r="M82" t="str">
        <f t="shared" si="10"/>
        <v>Y</v>
      </c>
      <c r="N82" t="str">
        <f t="shared" si="11"/>
        <v>N</v>
      </c>
      <c r="O82">
        <f t="shared" si="12"/>
        <v>16</v>
      </c>
      <c r="P82" s="6">
        <f t="shared" si="13"/>
        <v>0.99667036625971139</v>
      </c>
      <c r="Q82" s="6">
        <f t="shared" si="14"/>
        <v>4.6770601336302897E-2</v>
      </c>
      <c r="R82">
        <f t="shared" si="15"/>
        <v>0</v>
      </c>
      <c r="S82">
        <f t="shared" si="16"/>
        <v>1</v>
      </c>
      <c r="T82" t="str">
        <f t="shared" si="17"/>
        <v>Mar-26</v>
      </c>
    </row>
    <row r="83" spans="1:20">
      <c r="A83" t="s">
        <v>194</v>
      </c>
      <c r="B83" t="s">
        <v>64</v>
      </c>
      <c r="C83" t="s">
        <v>12</v>
      </c>
      <c r="D83">
        <v>241</v>
      </c>
      <c r="E83" s="4">
        <v>46160</v>
      </c>
      <c r="F83" s="4">
        <v>46171</v>
      </c>
      <c r="G83" s="4">
        <v>46171</v>
      </c>
      <c r="H83">
        <v>217</v>
      </c>
      <c r="I83" t="s">
        <v>195</v>
      </c>
      <c r="J83">
        <v>11</v>
      </c>
      <c r="K83" t="s">
        <v>1563</v>
      </c>
      <c r="L83" t="str">
        <f t="shared" si="9"/>
        <v>Y</v>
      </c>
      <c r="M83" t="str">
        <f t="shared" si="10"/>
        <v>N</v>
      </c>
      <c r="N83" t="str">
        <f t="shared" si="11"/>
        <v>N</v>
      </c>
      <c r="O83">
        <f t="shared" si="12"/>
        <v>11</v>
      </c>
      <c r="P83" s="6">
        <f t="shared" si="13"/>
        <v>0.90041493775933612</v>
      </c>
      <c r="Q83" s="6">
        <f t="shared" si="14"/>
        <v>5.0691244239631339E-2</v>
      </c>
      <c r="R83">
        <f t="shared" si="15"/>
        <v>0</v>
      </c>
      <c r="S83">
        <f t="shared" si="16"/>
        <v>0</v>
      </c>
      <c r="T83" t="str">
        <f t="shared" si="17"/>
        <v>May-26</v>
      </c>
    </row>
    <row r="84" spans="1:20">
      <c r="A84" t="s">
        <v>196</v>
      </c>
      <c r="B84" t="s">
        <v>70</v>
      </c>
      <c r="C84" t="s">
        <v>12</v>
      </c>
      <c r="D84">
        <v>705</v>
      </c>
      <c r="E84" s="4">
        <v>46145</v>
      </c>
      <c r="F84" s="4">
        <v>46152</v>
      </c>
      <c r="G84" s="4">
        <v>46151</v>
      </c>
      <c r="H84">
        <v>698</v>
      </c>
      <c r="I84" t="s">
        <v>38</v>
      </c>
      <c r="J84">
        <v>3</v>
      </c>
      <c r="K84" t="s">
        <v>1563</v>
      </c>
      <c r="L84" t="str">
        <f t="shared" si="9"/>
        <v>Y</v>
      </c>
      <c r="M84" t="str">
        <f t="shared" si="10"/>
        <v>Y</v>
      </c>
      <c r="N84" t="str">
        <f t="shared" si="11"/>
        <v>Y</v>
      </c>
      <c r="O84">
        <f t="shared" si="12"/>
        <v>6</v>
      </c>
      <c r="P84" s="6">
        <f t="shared" si="13"/>
        <v>0.99007092198581559</v>
      </c>
      <c r="Q84" s="6">
        <f t="shared" si="14"/>
        <v>4.2979942693409743E-3</v>
      </c>
      <c r="R84">
        <f t="shared" si="15"/>
        <v>1</v>
      </c>
      <c r="S84">
        <f t="shared" si="16"/>
        <v>0</v>
      </c>
      <c r="T84" t="str">
        <f t="shared" si="17"/>
        <v>May-26</v>
      </c>
    </row>
    <row r="85" spans="1:20">
      <c r="A85" t="s">
        <v>197</v>
      </c>
      <c r="B85" t="s">
        <v>67</v>
      </c>
      <c r="C85" t="s">
        <v>16</v>
      </c>
      <c r="D85">
        <v>100</v>
      </c>
      <c r="E85" s="4">
        <v>46061</v>
      </c>
      <c r="F85" s="4">
        <v>46066</v>
      </c>
      <c r="G85" s="4">
        <v>46066</v>
      </c>
      <c r="H85">
        <v>99</v>
      </c>
      <c r="I85" t="s">
        <v>107</v>
      </c>
      <c r="J85">
        <v>3</v>
      </c>
      <c r="K85" t="s">
        <v>1563</v>
      </c>
      <c r="L85" t="str">
        <f t="shared" si="9"/>
        <v>Y</v>
      </c>
      <c r="M85" t="str">
        <f t="shared" si="10"/>
        <v>Y</v>
      </c>
      <c r="N85" t="str">
        <f t="shared" si="11"/>
        <v>Y</v>
      </c>
      <c r="O85">
        <f t="shared" si="12"/>
        <v>5</v>
      </c>
      <c r="P85" s="6">
        <f t="shared" si="13"/>
        <v>0.99</v>
      </c>
      <c r="Q85" s="6">
        <f t="shared" si="14"/>
        <v>3.0303030303030304E-2</v>
      </c>
      <c r="R85">
        <f t="shared" si="15"/>
        <v>1</v>
      </c>
      <c r="S85">
        <f t="shared" si="16"/>
        <v>0</v>
      </c>
      <c r="T85" t="str">
        <f t="shared" si="17"/>
        <v>Feb-26</v>
      </c>
    </row>
    <row r="86" spans="1:20">
      <c r="A86" t="s">
        <v>198</v>
      </c>
      <c r="B86" t="s">
        <v>11</v>
      </c>
      <c r="C86" t="s">
        <v>23</v>
      </c>
      <c r="D86">
        <v>454</v>
      </c>
      <c r="E86" s="4">
        <v>46103</v>
      </c>
      <c r="F86" s="4">
        <v>46114</v>
      </c>
      <c r="G86" s="4">
        <v>46122</v>
      </c>
      <c r="H86">
        <v>455</v>
      </c>
      <c r="I86" t="s">
        <v>199</v>
      </c>
      <c r="J86">
        <v>12</v>
      </c>
      <c r="K86" t="s">
        <v>1563</v>
      </c>
      <c r="L86" t="str">
        <f t="shared" si="9"/>
        <v>N</v>
      </c>
      <c r="M86" t="str">
        <f t="shared" si="10"/>
        <v>Y</v>
      </c>
      <c r="N86" t="str">
        <f t="shared" si="11"/>
        <v>N</v>
      </c>
      <c r="O86">
        <f t="shared" si="12"/>
        <v>19</v>
      </c>
      <c r="P86" s="6">
        <f t="shared" si="13"/>
        <v>1.0022026431718061</v>
      </c>
      <c r="Q86" s="6">
        <f t="shared" si="14"/>
        <v>2.6373626373626374E-2</v>
      </c>
      <c r="R86">
        <f t="shared" si="15"/>
        <v>0</v>
      </c>
      <c r="S86">
        <f t="shared" si="16"/>
        <v>8</v>
      </c>
      <c r="T86" t="str">
        <f t="shared" si="17"/>
        <v>Apr-26</v>
      </c>
    </row>
    <row r="87" spans="1:20">
      <c r="A87" t="s">
        <v>200</v>
      </c>
      <c r="B87" t="s">
        <v>67</v>
      </c>
      <c r="C87" t="s">
        <v>23</v>
      </c>
      <c r="D87">
        <v>773</v>
      </c>
      <c r="E87" s="4">
        <v>46174</v>
      </c>
      <c r="F87" s="4">
        <v>46184</v>
      </c>
      <c r="G87" s="4">
        <v>46181</v>
      </c>
      <c r="H87">
        <v>695</v>
      </c>
      <c r="I87" t="s">
        <v>201</v>
      </c>
      <c r="J87">
        <v>11</v>
      </c>
      <c r="K87" t="s">
        <v>1563</v>
      </c>
      <c r="L87" t="str">
        <f t="shared" si="9"/>
        <v>Y</v>
      </c>
      <c r="M87" t="str">
        <f t="shared" si="10"/>
        <v>N</v>
      </c>
      <c r="N87" t="str">
        <f t="shared" si="11"/>
        <v>N</v>
      </c>
      <c r="O87">
        <f t="shared" si="12"/>
        <v>7</v>
      </c>
      <c r="P87" s="6">
        <f t="shared" si="13"/>
        <v>0.89909443725743854</v>
      </c>
      <c r="Q87" s="6">
        <f t="shared" si="14"/>
        <v>1.5827338129496403E-2</v>
      </c>
      <c r="R87">
        <f t="shared" si="15"/>
        <v>0</v>
      </c>
      <c r="S87">
        <f t="shared" si="16"/>
        <v>0</v>
      </c>
      <c r="T87" t="str">
        <f t="shared" si="17"/>
        <v>Jun-26</v>
      </c>
    </row>
    <row r="88" spans="1:20">
      <c r="A88" t="s">
        <v>202</v>
      </c>
      <c r="B88" t="s">
        <v>81</v>
      </c>
      <c r="C88" t="s">
        <v>12</v>
      </c>
      <c r="D88">
        <v>858</v>
      </c>
      <c r="E88" s="4">
        <v>46052</v>
      </c>
      <c r="F88" s="4">
        <v>46061</v>
      </c>
      <c r="G88" s="4">
        <v>46065</v>
      </c>
      <c r="H88">
        <v>851</v>
      </c>
      <c r="I88" t="s">
        <v>204</v>
      </c>
      <c r="J88">
        <v>9</v>
      </c>
      <c r="K88" t="s">
        <v>1563</v>
      </c>
      <c r="L88" t="str">
        <f t="shared" si="9"/>
        <v>N</v>
      </c>
      <c r="M88" t="str">
        <f t="shared" si="10"/>
        <v>Y</v>
      </c>
      <c r="N88" t="str">
        <f t="shared" si="11"/>
        <v>N</v>
      </c>
      <c r="O88">
        <f t="shared" si="12"/>
        <v>13</v>
      </c>
      <c r="P88" s="6">
        <f t="shared" si="13"/>
        <v>0.99184149184149184</v>
      </c>
      <c r="Q88" s="6">
        <f t="shared" si="14"/>
        <v>1.0575793184488837E-2</v>
      </c>
      <c r="R88">
        <f t="shared" si="15"/>
        <v>0</v>
      </c>
      <c r="S88">
        <f t="shared" si="16"/>
        <v>4</v>
      </c>
      <c r="T88" t="str">
        <f t="shared" si="17"/>
        <v>Feb-26</v>
      </c>
    </row>
    <row r="89" spans="1:20">
      <c r="A89" t="s">
        <v>205</v>
      </c>
      <c r="B89" t="s">
        <v>49</v>
      </c>
      <c r="C89" t="s">
        <v>16</v>
      </c>
      <c r="D89">
        <v>243</v>
      </c>
      <c r="E89" s="4">
        <v>46037</v>
      </c>
      <c r="F89" s="4">
        <v>46047</v>
      </c>
      <c r="G89" s="4">
        <v>46045</v>
      </c>
      <c r="H89">
        <v>200</v>
      </c>
      <c r="I89" t="s">
        <v>207</v>
      </c>
      <c r="J89">
        <v>1</v>
      </c>
      <c r="K89" t="s">
        <v>1563</v>
      </c>
      <c r="L89" t="str">
        <f t="shared" si="9"/>
        <v>Y</v>
      </c>
      <c r="M89" t="str">
        <f t="shared" si="10"/>
        <v>N</v>
      </c>
      <c r="N89" t="str">
        <f t="shared" si="11"/>
        <v>N</v>
      </c>
      <c r="O89">
        <f t="shared" si="12"/>
        <v>8</v>
      </c>
      <c r="P89" s="6">
        <f t="shared" si="13"/>
        <v>0.82304526748971196</v>
      </c>
      <c r="Q89" s="6">
        <f t="shared" si="14"/>
        <v>5.0000000000000001E-3</v>
      </c>
      <c r="R89">
        <f t="shared" si="15"/>
        <v>0</v>
      </c>
      <c r="S89">
        <f t="shared" si="16"/>
        <v>0</v>
      </c>
      <c r="T89" t="str">
        <f t="shared" si="17"/>
        <v>Jan-26</v>
      </c>
    </row>
    <row r="90" spans="1:20">
      <c r="A90" t="s">
        <v>208</v>
      </c>
      <c r="B90" t="s">
        <v>49</v>
      </c>
      <c r="C90" t="s">
        <v>16</v>
      </c>
      <c r="D90">
        <v>385</v>
      </c>
      <c r="E90" s="4">
        <v>46139</v>
      </c>
      <c r="F90" s="4">
        <v>46152</v>
      </c>
      <c r="G90" s="4">
        <v>46153</v>
      </c>
      <c r="H90">
        <v>389</v>
      </c>
      <c r="I90" t="s">
        <v>209</v>
      </c>
      <c r="J90">
        <v>4</v>
      </c>
      <c r="K90" t="s">
        <v>1563</v>
      </c>
      <c r="L90" t="str">
        <f t="shared" si="9"/>
        <v>N</v>
      </c>
      <c r="M90" t="str">
        <f t="shared" si="10"/>
        <v>Y</v>
      </c>
      <c r="N90" t="str">
        <f t="shared" si="11"/>
        <v>N</v>
      </c>
      <c r="O90">
        <f t="shared" si="12"/>
        <v>14</v>
      </c>
      <c r="P90" s="6">
        <f t="shared" si="13"/>
        <v>1.0103896103896104</v>
      </c>
      <c r="Q90" s="6">
        <f t="shared" si="14"/>
        <v>1.0282776349614395E-2</v>
      </c>
      <c r="R90">
        <f t="shared" si="15"/>
        <v>0</v>
      </c>
      <c r="S90">
        <f t="shared" si="16"/>
        <v>1</v>
      </c>
      <c r="T90" t="str">
        <f t="shared" si="17"/>
        <v>May-26</v>
      </c>
    </row>
    <row r="91" spans="1:20">
      <c r="A91" t="s">
        <v>210</v>
      </c>
      <c r="B91" t="s">
        <v>177</v>
      </c>
      <c r="C91" t="s">
        <v>12</v>
      </c>
      <c r="D91">
        <v>867</v>
      </c>
      <c r="E91" s="4">
        <v>46115</v>
      </c>
      <c r="F91" s="4">
        <v>46121</v>
      </c>
      <c r="G91" s="4">
        <v>46118</v>
      </c>
      <c r="H91">
        <v>883</v>
      </c>
      <c r="I91" t="s">
        <v>171</v>
      </c>
      <c r="J91">
        <v>21</v>
      </c>
      <c r="K91" t="s">
        <v>1563</v>
      </c>
      <c r="L91" t="str">
        <f t="shared" si="9"/>
        <v>Y</v>
      </c>
      <c r="M91" t="str">
        <f t="shared" si="10"/>
        <v>Y</v>
      </c>
      <c r="N91" t="str">
        <f t="shared" si="11"/>
        <v>Y</v>
      </c>
      <c r="O91">
        <f t="shared" si="12"/>
        <v>3</v>
      </c>
      <c r="P91" s="6">
        <f t="shared" si="13"/>
        <v>1.0184544405997693</v>
      </c>
      <c r="Q91" s="6">
        <f t="shared" si="14"/>
        <v>2.3782559456398639E-2</v>
      </c>
      <c r="R91">
        <f t="shared" si="15"/>
        <v>1</v>
      </c>
      <c r="S91">
        <f t="shared" si="16"/>
        <v>0</v>
      </c>
      <c r="T91" t="str">
        <f t="shared" si="17"/>
        <v>Apr-26</v>
      </c>
    </row>
    <row r="92" spans="1:20">
      <c r="A92" t="s">
        <v>211</v>
      </c>
      <c r="B92" t="s">
        <v>35</v>
      </c>
      <c r="C92" t="s">
        <v>12</v>
      </c>
      <c r="D92">
        <v>872</v>
      </c>
      <c r="E92" s="4">
        <v>46101</v>
      </c>
      <c r="F92" s="4">
        <v>46112</v>
      </c>
      <c r="G92" s="4">
        <v>46111</v>
      </c>
      <c r="H92">
        <v>878</v>
      </c>
      <c r="I92" t="s">
        <v>212</v>
      </c>
      <c r="J92">
        <v>28</v>
      </c>
      <c r="K92" t="s">
        <v>1563</v>
      </c>
      <c r="L92" t="str">
        <f t="shared" si="9"/>
        <v>Y</v>
      </c>
      <c r="M92" t="str">
        <f t="shared" si="10"/>
        <v>Y</v>
      </c>
      <c r="N92" t="str">
        <f t="shared" si="11"/>
        <v>Y</v>
      </c>
      <c r="O92">
        <f t="shared" si="12"/>
        <v>10</v>
      </c>
      <c r="P92" s="6">
        <f t="shared" si="13"/>
        <v>1.0068807339449541</v>
      </c>
      <c r="Q92" s="6">
        <f t="shared" si="14"/>
        <v>3.1890660592255128E-2</v>
      </c>
      <c r="R92">
        <f t="shared" si="15"/>
        <v>1</v>
      </c>
      <c r="S92">
        <f t="shared" si="16"/>
        <v>0</v>
      </c>
      <c r="T92" t="str">
        <f t="shared" si="17"/>
        <v>Mar-26</v>
      </c>
    </row>
    <row r="93" spans="1:20">
      <c r="A93" t="s">
        <v>213</v>
      </c>
      <c r="B93" t="s">
        <v>40</v>
      </c>
      <c r="C93" t="s">
        <v>12</v>
      </c>
      <c r="D93">
        <v>498</v>
      </c>
      <c r="E93" s="4">
        <v>46069</v>
      </c>
      <c r="F93" s="4">
        <v>46077</v>
      </c>
      <c r="G93" s="4"/>
      <c r="I93" t="s">
        <v>214</v>
      </c>
      <c r="K93" t="s">
        <v>1565</v>
      </c>
      <c r="L93" t="str">
        <f t="shared" si="9"/>
        <v>N/A</v>
      </c>
      <c r="M93" t="str">
        <f t="shared" si="10"/>
        <v>N/A</v>
      </c>
      <c r="N93" t="str">
        <f t="shared" si="11"/>
        <v>N/A</v>
      </c>
      <c r="O93" t="str">
        <f t="shared" si="12"/>
        <v>N/A</v>
      </c>
      <c r="P93" s="6" t="str">
        <f t="shared" si="13"/>
        <v>N/A</v>
      </c>
      <c r="Q93" s="6" t="str">
        <f t="shared" si="14"/>
        <v>N/A</v>
      </c>
      <c r="R93" t="str">
        <f t="shared" si="15"/>
        <v/>
      </c>
      <c r="S93" t="str">
        <f t="shared" si="16"/>
        <v>N/A</v>
      </c>
      <c r="T93" t="str">
        <f t="shared" si="17"/>
        <v>N/A</v>
      </c>
    </row>
    <row r="94" spans="1:20">
      <c r="A94" t="s">
        <v>215</v>
      </c>
      <c r="B94" t="s">
        <v>120</v>
      </c>
      <c r="C94" t="s">
        <v>23</v>
      </c>
      <c r="D94">
        <v>899</v>
      </c>
      <c r="E94" s="4">
        <v>46089</v>
      </c>
      <c r="F94" s="4">
        <v>46104</v>
      </c>
      <c r="G94" s="4">
        <v>46102</v>
      </c>
      <c r="H94">
        <v>802</v>
      </c>
      <c r="I94" t="s">
        <v>216</v>
      </c>
      <c r="J94">
        <v>37</v>
      </c>
      <c r="K94" t="s">
        <v>1563</v>
      </c>
      <c r="L94" t="str">
        <f t="shared" si="9"/>
        <v>Y</v>
      </c>
      <c r="M94" t="str">
        <f t="shared" si="10"/>
        <v>N</v>
      </c>
      <c r="N94" t="str">
        <f t="shared" si="11"/>
        <v>N</v>
      </c>
      <c r="O94">
        <f t="shared" si="12"/>
        <v>13</v>
      </c>
      <c r="P94" s="6">
        <f t="shared" si="13"/>
        <v>0.89210233592880983</v>
      </c>
      <c r="Q94" s="6">
        <f t="shared" si="14"/>
        <v>4.6134663341645885E-2</v>
      </c>
      <c r="R94">
        <f t="shared" si="15"/>
        <v>0</v>
      </c>
      <c r="S94">
        <f t="shared" si="16"/>
        <v>0</v>
      </c>
      <c r="T94" t="str">
        <f t="shared" si="17"/>
        <v>Mar-26</v>
      </c>
    </row>
    <row r="95" spans="1:20">
      <c r="A95" t="s">
        <v>217</v>
      </c>
      <c r="B95" t="s">
        <v>40</v>
      </c>
      <c r="C95" t="s">
        <v>23</v>
      </c>
      <c r="D95">
        <v>605</v>
      </c>
      <c r="E95" s="4">
        <v>46161</v>
      </c>
      <c r="F95" s="4">
        <v>46172</v>
      </c>
      <c r="G95" s="4">
        <v>46172</v>
      </c>
      <c r="H95">
        <v>595</v>
      </c>
      <c r="I95" t="s">
        <v>219</v>
      </c>
      <c r="J95">
        <v>16</v>
      </c>
      <c r="K95" t="s">
        <v>1563</v>
      </c>
      <c r="L95" t="str">
        <f t="shared" si="9"/>
        <v>Y</v>
      </c>
      <c r="M95" t="str">
        <f t="shared" si="10"/>
        <v>Y</v>
      </c>
      <c r="N95" t="str">
        <f t="shared" si="11"/>
        <v>Y</v>
      </c>
      <c r="O95">
        <f t="shared" si="12"/>
        <v>11</v>
      </c>
      <c r="P95" s="6">
        <f t="shared" si="13"/>
        <v>0.98347107438016534</v>
      </c>
      <c r="Q95" s="6">
        <f t="shared" si="14"/>
        <v>2.689075630252101E-2</v>
      </c>
      <c r="R95">
        <f t="shared" si="15"/>
        <v>1</v>
      </c>
      <c r="S95">
        <f t="shared" si="16"/>
        <v>0</v>
      </c>
      <c r="T95" t="str">
        <f t="shared" si="17"/>
        <v>May-26</v>
      </c>
    </row>
    <row r="96" spans="1:20">
      <c r="A96" t="s">
        <v>220</v>
      </c>
      <c r="B96" t="s">
        <v>177</v>
      </c>
      <c r="C96" t="s">
        <v>12</v>
      </c>
      <c r="D96">
        <v>225</v>
      </c>
      <c r="E96" s="4">
        <v>46032</v>
      </c>
      <c r="F96" s="4">
        <v>46046</v>
      </c>
      <c r="G96" s="4">
        <v>46055</v>
      </c>
      <c r="H96">
        <v>226</v>
      </c>
      <c r="I96" t="s">
        <v>221</v>
      </c>
      <c r="J96">
        <v>4</v>
      </c>
      <c r="K96" t="s">
        <v>1563</v>
      </c>
      <c r="L96" t="str">
        <f t="shared" si="9"/>
        <v>N</v>
      </c>
      <c r="M96" t="str">
        <f t="shared" si="10"/>
        <v>Y</v>
      </c>
      <c r="N96" t="str">
        <f t="shared" si="11"/>
        <v>N</v>
      </c>
      <c r="O96">
        <f t="shared" si="12"/>
        <v>23</v>
      </c>
      <c r="P96" s="6">
        <f t="shared" si="13"/>
        <v>1.0044444444444445</v>
      </c>
      <c r="Q96" s="6">
        <f t="shared" si="14"/>
        <v>1.7699115044247787E-2</v>
      </c>
      <c r="R96">
        <f t="shared" si="15"/>
        <v>0</v>
      </c>
      <c r="S96">
        <f t="shared" si="16"/>
        <v>9</v>
      </c>
      <c r="T96" t="str">
        <f t="shared" si="17"/>
        <v>Feb-26</v>
      </c>
    </row>
    <row r="97" spans="1:20">
      <c r="A97" t="s">
        <v>222</v>
      </c>
      <c r="B97" t="s">
        <v>81</v>
      </c>
      <c r="C97" t="s">
        <v>16</v>
      </c>
      <c r="D97">
        <v>904</v>
      </c>
      <c r="E97" s="4">
        <v>46133</v>
      </c>
      <c r="F97" s="4">
        <v>46139</v>
      </c>
      <c r="G97" s="4">
        <v>46140</v>
      </c>
      <c r="H97">
        <v>916</v>
      </c>
      <c r="I97" t="s">
        <v>223</v>
      </c>
      <c r="J97">
        <v>13</v>
      </c>
      <c r="K97" t="s">
        <v>1563</v>
      </c>
      <c r="L97" t="str">
        <f t="shared" si="9"/>
        <v>N</v>
      </c>
      <c r="M97" t="str">
        <f t="shared" si="10"/>
        <v>Y</v>
      </c>
      <c r="N97" t="str">
        <f t="shared" si="11"/>
        <v>N</v>
      </c>
      <c r="O97">
        <f t="shared" si="12"/>
        <v>7</v>
      </c>
      <c r="P97" s="6">
        <f t="shared" si="13"/>
        <v>1.0132743362831858</v>
      </c>
      <c r="Q97" s="6">
        <f t="shared" si="14"/>
        <v>1.4192139737991267E-2</v>
      </c>
      <c r="R97">
        <f t="shared" si="15"/>
        <v>0</v>
      </c>
      <c r="S97">
        <f t="shared" si="16"/>
        <v>1</v>
      </c>
      <c r="T97" t="str">
        <f t="shared" si="17"/>
        <v>Apr-26</v>
      </c>
    </row>
    <row r="98" spans="1:20">
      <c r="A98" t="s">
        <v>224</v>
      </c>
      <c r="B98" t="s">
        <v>177</v>
      </c>
      <c r="C98" t="s">
        <v>23</v>
      </c>
      <c r="D98">
        <v>928</v>
      </c>
      <c r="E98" s="4">
        <v>46069</v>
      </c>
      <c r="F98" s="4">
        <v>46078</v>
      </c>
      <c r="G98" s="4">
        <v>46085</v>
      </c>
      <c r="H98">
        <v>935</v>
      </c>
      <c r="I98" t="s">
        <v>225</v>
      </c>
      <c r="J98">
        <v>11</v>
      </c>
      <c r="K98" t="s">
        <v>1563</v>
      </c>
      <c r="L98" t="str">
        <f t="shared" si="9"/>
        <v>N</v>
      </c>
      <c r="M98" t="str">
        <f t="shared" si="10"/>
        <v>Y</v>
      </c>
      <c r="N98" t="str">
        <f t="shared" si="11"/>
        <v>N</v>
      </c>
      <c r="O98">
        <f t="shared" si="12"/>
        <v>16</v>
      </c>
      <c r="P98" s="6">
        <f t="shared" si="13"/>
        <v>1.0075431034482758</v>
      </c>
      <c r="Q98" s="6">
        <f t="shared" si="14"/>
        <v>1.1764705882352941E-2</v>
      </c>
      <c r="R98">
        <f t="shared" si="15"/>
        <v>0</v>
      </c>
      <c r="S98">
        <f t="shared" si="16"/>
        <v>7</v>
      </c>
      <c r="T98" t="str">
        <f t="shared" si="17"/>
        <v>Mar-26</v>
      </c>
    </row>
    <row r="99" spans="1:20">
      <c r="A99" t="s">
        <v>226</v>
      </c>
      <c r="B99" t="s">
        <v>100</v>
      </c>
      <c r="C99" t="s">
        <v>12</v>
      </c>
      <c r="D99">
        <v>184</v>
      </c>
      <c r="E99" s="4">
        <v>46047</v>
      </c>
      <c r="F99" s="4">
        <v>46056</v>
      </c>
      <c r="G99" s="4">
        <v>46063</v>
      </c>
      <c r="H99">
        <v>184</v>
      </c>
      <c r="I99" t="s">
        <v>227</v>
      </c>
      <c r="J99">
        <v>4</v>
      </c>
      <c r="K99" t="s">
        <v>1563</v>
      </c>
      <c r="L99" t="str">
        <f t="shared" si="9"/>
        <v>N</v>
      </c>
      <c r="M99" t="str">
        <f t="shared" si="10"/>
        <v>Y</v>
      </c>
      <c r="N99" t="str">
        <f t="shared" si="11"/>
        <v>N</v>
      </c>
      <c r="O99">
        <f t="shared" si="12"/>
        <v>16</v>
      </c>
      <c r="P99" s="6">
        <f t="shared" si="13"/>
        <v>1</v>
      </c>
      <c r="Q99" s="6">
        <f t="shared" si="14"/>
        <v>2.1739130434782608E-2</v>
      </c>
      <c r="R99">
        <f t="shared" si="15"/>
        <v>0</v>
      </c>
      <c r="S99">
        <f t="shared" si="16"/>
        <v>7</v>
      </c>
      <c r="T99" t="str">
        <f t="shared" si="17"/>
        <v>Feb-26</v>
      </c>
    </row>
    <row r="100" spans="1:20">
      <c r="A100" t="s">
        <v>228</v>
      </c>
      <c r="B100" t="s">
        <v>52</v>
      </c>
      <c r="C100" t="s">
        <v>12</v>
      </c>
      <c r="D100">
        <v>936</v>
      </c>
      <c r="E100" s="4">
        <v>46057</v>
      </c>
      <c r="F100" s="4">
        <v>46065</v>
      </c>
      <c r="G100" s="4">
        <v>46064</v>
      </c>
      <c r="H100">
        <v>906</v>
      </c>
      <c r="I100" t="s">
        <v>229</v>
      </c>
      <c r="J100">
        <v>15</v>
      </c>
      <c r="K100" t="s">
        <v>1563</v>
      </c>
      <c r="L100" t="str">
        <f t="shared" si="9"/>
        <v>Y</v>
      </c>
      <c r="M100" t="str">
        <f t="shared" si="10"/>
        <v>N</v>
      </c>
      <c r="N100" t="str">
        <f t="shared" si="11"/>
        <v>N</v>
      </c>
      <c r="O100">
        <f t="shared" si="12"/>
        <v>7</v>
      </c>
      <c r="P100" s="6">
        <f t="shared" si="13"/>
        <v>0.96794871794871795</v>
      </c>
      <c r="Q100" s="6">
        <f t="shared" si="14"/>
        <v>1.6556291390728478E-2</v>
      </c>
      <c r="R100">
        <f t="shared" si="15"/>
        <v>0</v>
      </c>
      <c r="S100">
        <f t="shared" si="16"/>
        <v>0</v>
      </c>
      <c r="T100" t="str">
        <f t="shared" si="17"/>
        <v>Feb-26</v>
      </c>
    </row>
    <row r="101" spans="1:20">
      <c r="A101" t="s">
        <v>230</v>
      </c>
      <c r="B101" t="s">
        <v>46</v>
      </c>
      <c r="C101" t="s">
        <v>12</v>
      </c>
      <c r="D101">
        <v>918</v>
      </c>
      <c r="E101" s="4">
        <v>46165</v>
      </c>
      <c r="F101" s="4">
        <v>46177</v>
      </c>
      <c r="G101" s="4">
        <v>46174</v>
      </c>
      <c r="H101">
        <v>915</v>
      </c>
      <c r="I101" t="s">
        <v>231</v>
      </c>
      <c r="J101">
        <v>43</v>
      </c>
      <c r="K101" t="s">
        <v>1563</v>
      </c>
      <c r="L101" t="str">
        <f t="shared" si="9"/>
        <v>Y</v>
      </c>
      <c r="M101" t="str">
        <f t="shared" si="10"/>
        <v>Y</v>
      </c>
      <c r="N101" t="str">
        <f t="shared" si="11"/>
        <v>Y</v>
      </c>
      <c r="O101">
        <f t="shared" si="12"/>
        <v>9</v>
      </c>
      <c r="P101" s="6">
        <f t="shared" si="13"/>
        <v>0.99673202614379086</v>
      </c>
      <c r="Q101" s="6">
        <f t="shared" si="14"/>
        <v>4.6994535519125684E-2</v>
      </c>
      <c r="R101">
        <f t="shared" si="15"/>
        <v>1</v>
      </c>
      <c r="S101">
        <f t="shared" si="16"/>
        <v>0</v>
      </c>
      <c r="T101" t="str">
        <f t="shared" si="17"/>
        <v>Jun-26</v>
      </c>
    </row>
    <row r="102" spans="1:20">
      <c r="A102" t="s">
        <v>232</v>
      </c>
      <c r="B102" t="s">
        <v>11</v>
      </c>
      <c r="C102" t="s">
        <v>16</v>
      </c>
      <c r="D102">
        <v>697</v>
      </c>
      <c r="E102" s="4">
        <v>46067</v>
      </c>
      <c r="F102" s="4">
        <v>46078</v>
      </c>
      <c r="G102" s="4">
        <v>46078</v>
      </c>
      <c r="H102">
        <v>687</v>
      </c>
      <c r="I102" t="s">
        <v>233</v>
      </c>
      <c r="J102">
        <v>17</v>
      </c>
      <c r="K102" t="s">
        <v>1563</v>
      </c>
      <c r="L102" t="str">
        <f t="shared" si="9"/>
        <v>Y</v>
      </c>
      <c r="M102" t="str">
        <f t="shared" si="10"/>
        <v>Y</v>
      </c>
      <c r="N102" t="str">
        <f t="shared" si="11"/>
        <v>Y</v>
      </c>
      <c r="O102">
        <f t="shared" si="12"/>
        <v>11</v>
      </c>
      <c r="P102" s="6">
        <f t="shared" si="13"/>
        <v>0.98565279770444758</v>
      </c>
      <c r="Q102" s="6">
        <f t="shared" si="14"/>
        <v>2.4745269286754003E-2</v>
      </c>
      <c r="R102">
        <f t="shared" si="15"/>
        <v>1</v>
      </c>
      <c r="S102">
        <f t="shared" si="16"/>
        <v>0</v>
      </c>
      <c r="T102" t="str">
        <f t="shared" si="17"/>
        <v>Feb-26</v>
      </c>
    </row>
    <row r="103" spans="1:20">
      <c r="A103" t="s">
        <v>234</v>
      </c>
      <c r="B103" t="s">
        <v>43</v>
      </c>
      <c r="C103" t="s">
        <v>16</v>
      </c>
      <c r="D103">
        <v>825</v>
      </c>
      <c r="E103" s="4">
        <v>46041</v>
      </c>
      <c r="F103" s="4">
        <v>46049</v>
      </c>
      <c r="G103" s="4">
        <v>46047</v>
      </c>
      <c r="H103">
        <v>837</v>
      </c>
      <c r="I103" t="s">
        <v>235</v>
      </c>
      <c r="J103">
        <v>18</v>
      </c>
      <c r="K103" t="s">
        <v>1563</v>
      </c>
      <c r="L103" t="str">
        <f t="shared" si="9"/>
        <v>Y</v>
      </c>
      <c r="M103" t="str">
        <f t="shared" si="10"/>
        <v>Y</v>
      </c>
      <c r="N103" t="str">
        <f t="shared" si="11"/>
        <v>Y</v>
      </c>
      <c r="O103">
        <f t="shared" si="12"/>
        <v>6</v>
      </c>
      <c r="P103" s="6">
        <f t="shared" si="13"/>
        <v>1.0145454545454546</v>
      </c>
      <c r="Q103" s="6">
        <f t="shared" si="14"/>
        <v>2.1505376344086023E-2</v>
      </c>
      <c r="R103">
        <f t="shared" si="15"/>
        <v>1</v>
      </c>
      <c r="S103">
        <f t="shared" si="16"/>
        <v>0</v>
      </c>
      <c r="T103" t="str">
        <f t="shared" si="17"/>
        <v>Jan-26</v>
      </c>
    </row>
    <row r="104" spans="1:20">
      <c r="A104" t="s">
        <v>236</v>
      </c>
      <c r="B104" t="s">
        <v>54</v>
      </c>
      <c r="C104" t="s">
        <v>12</v>
      </c>
      <c r="D104">
        <v>300</v>
      </c>
      <c r="E104" s="4">
        <v>46133</v>
      </c>
      <c r="F104" s="4">
        <v>46148</v>
      </c>
      <c r="G104" s="4">
        <v>46146</v>
      </c>
      <c r="H104">
        <v>295</v>
      </c>
      <c r="I104" t="s">
        <v>1564</v>
      </c>
      <c r="J104">
        <v>4</v>
      </c>
      <c r="K104" t="s">
        <v>1563</v>
      </c>
      <c r="L104" t="str">
        <f t="shared" si="9"/>
        <v>Y</v>
      </c>
      <c r="M104" t="str">
        <f t="shared" si="10"/>
        <v>Y</v>
      </c>
      <c r="N104" t="str">
        <f t="shared" si="11"/>
        <v>Y</v>
      </c>
      <c r="O104">
        <f t="shared" si="12"/>
        <v>13</v>
      </c>
      <c r="P104" s="6">
        <f t="shared" si="13"/>
        <v>0.98333333333333328</v>
      </c>
      <c r="Q104" s="6">
        <f t="shared" si="14"/>
        <v>1.3559322033898305E-2</v>
      </c>
      <c r="R104">
        <f t="shared" si="15"/>
        <v>1</v>
      </c>
      <c r="S104">
        <f t="shared" si="16"/>
        <v>0</v>
      </c>
      <c r="T104" t="str">
        <f t="shared" si="17"/>
        <v>May-26</v>
      </c>
    </row>
    <row r="105" spans="1:20">
      <c r="A105" t="s">
        <v>237</v>
      </c>
      <c r="B105" t="s">
        <v>19</v>
      </c>
      <c r="C105" t="s">
        <v>16</v>
      </c>
      <c r="D105">
        <v>529</v>
      </c>
      <c r="E105" s="4">
        <v>46147</v>
      </c>
      <c r="F105" s="4">
        <v>46162</v>
      </c>
      <c r="G105" s="4">
        <v>46162</v>
      </c>
      <c r="H105">
        <v>524</v>
      </c>
      <c r="I105" t="s">
        <v>238</v>
      </c>
      <c r="J105">
        <v>25</v>
      </c>
      <c r="K105" t="s">
        <v>1563</v>
      </c>
      <c r="L105" t="str">
        <f t="shared" si="9"/>
        <v>Y</v>
      </c>
      <c r="M105" t="str">
        <f t="shared" si="10"/>
        <v>Y</v>
      </c>
      <c r="N105" t="str">
        <f t="shared" si="11"/>
        <v>Y</v>
      </c>
      <c r="O105">
        <f t="shared" si="12"/>
        <v>15</v>
      </c>
      <c r="P105" s="6">
        <f t="shared" si="13"/>
        <v>0.99054820415879019</v>
      </c>
      <c r="Q105" s="6">
        <f t="shared" si="14"/>
        <v>4.7709923664122141E-2</v>
      </c>
      <c r="R105">
        <f t="shared" si="15"/>
        <v>1</v>
      </c>
      <c r="S105">
        <f t="shared" si="16"/>
        <v>0</v>
      </c>
      <c r="T105" t="str">
        <f t="shared" si="17"/>
        <v>May-26</v>
      </c>
    </row>
    <row r="106" spans="1:20">
      <c r="A106" t="s">
        <v>239</v>
      </c>
      <c r="B106" t="s">
        <v>100</v>
      </c>
      <c r="C106" t="s">
        <v>12</v>
      </c>
      <c r="D106">
        <v>787</v>
      </c>
      <c r="E106" s="4">
        <v>46104</v>
      </c>
      <c r="F106" s="4">
        <v>46117</v>
      </c>
      <c r="G106" s="4">
        <v>46125</v>
      </c>
      <c r="H106">
        <v>782</v>
      </c>
      <c r="I106" t="s">
        <v>240</v>
      </c>
      <c r="J106">
        <v>10</v>
      </c>
      <c r="K106" t="s">
        <v>1563</v>
      </c>
      <c r="L106" t="str">
        <f t="shared" si="9"/>
        <v>N</v>
      </c>
      <c r="M106" t="str">
        <f t="shared" si="10"/>
        <v>Y</v>
      </c>
      <c r="N106" t="str">
        <f t="shared" si="11"/>
        <v>N</v>
      </c>
      <c r="O106">
        <f t="shared" si="12"/>
        <v>21</v>
      </c>
      <c r="P106" s="6">
        <f t="shared" si="13"/>
        <v>0.99364675984752227</v>
      </c>
      <c r="Q106" s="6">
        <f t="shared" si="14"/>
        <v>1.278772378516624E-2</v>
      </c>
      <c r="R106">
        <f t="shared" si="15"/>
        <v>0</v>
      </c>
      <c r="S106">
        <f t="shared" si="16"/>
        <v>8</v>
      </c>
      <c r="T106" t="str">
        <f t="shared" si="17"/>
        <v>Apr-26</v>
      </c>
    </row>
    <row r="107" spans="1:20">
      <c r="A107" t="s">
        <v>241</v>
      </c>
      <c r="B107" t="s">
        <v>35</v>
      </c>
      <c r="C107" t="s">
        <v>16</v>
      </c>
      <c r="D107">
        <v>833</v>
      </c>
      <c r="E107" s="4">
        <v>46145</v>
      </c>
      <c r="F107" s="4">
        <v>46152</v>
      </c>
      <c r="G107" s="4">
        <v>46149</v>
      </c>
      <c r="H107">
        <v>847</v>
      </c>
      <c r="I107" t="s">
        <v>242</v>
      </c>
      <c r="J107">
        <v>44</v>
      </c>
      <c r="K107" t="s">
        <v>1563</v>
      </c>
      <c r="L107" t="str">
        <f t="shared" si="9"/>
        <v>Y</v>
      </c>
      <c r="M107" t="str">
        <f t="shared" si="10"/>
        <v>Y</v>
      </c>
      <c r="N107" t="str">
        <f t="shared" si="11"/>
        <v>Y</v>
      </c>
      <c r="O107">
        <f t="shared" si="12"/>
        <v>4</v>
      </c>
      <c r="P107" s="6">
        <f t="shared" si="13"/>
        <v>1.0168067226890756</v>
      </c>
      <c r="Q107" s="6">
        <f t="shared" si="14"/>
        <v>5.1948051948051951E-2</v>
      </c>
      <c r="R107">
        <f t="shared" si="15"/>
        <v>1</v>
      </c>
      <c r="S107">
        <f t="shared" si="16"/>
        <v>0</v>
      </c>
      <c r="T107" t="str">
        <f t="shared" si="17"/>
        <v>May-26</v>
      </c>
    </row>
    <row r="108" spans="1:20">
      <c r="A108" t="s">
        <v>243</v>
      </c>
      <c r="B108" t="s">
        <v>43</v>
      </c>
      <c r="C108" t="s">
        <v>16</v>
      </c>
      <c r="D108">
        <v>845</v>
      </c>
      <c r="E108" s="4">
        <v>46098</v>
      </c>
      <c r="F108" s="4">
        <v>46107</v>
      </c>
      <c r="G108" s="4">
        <v>46107</v>
      </c>
      <c r="H108">
        <v>762</v>
      </c>
      <c r="I108" t="s">
        <v>244</v>
      </c>
      <c r="J108">
        <v>47</v>
      </c>
      <c r="K108" t="s">
        <v>1563</v>
      </c>
      <c r="L108" t="str">
        <f t="shared" si="9"/>
        <v>Y</v>
      </c>
      <c r="M108" t="str">
        <f t="shared" si="10"/>
        <v>N</v>
      </c>
      <c r="N108" t="str">
        <f t="shared" si="11"/>
        <v>N</v>
      </c>
      <c r="O108">
        <f t="shared" si="12"/>
        <v>9</v>
      </c>
      <c r="P108" s="6">
        <f t="shared" si="13"/>
        <v>0.90177514792899405</v>
      </c>
      <c r="Q108" s="6">
        <f t="shared" si="14"/>
        <v>6.1679790026246718E-2</v>
      </c>
      <c r="R108">
        <f t="shared" si="15"/>
        <v>0</v>
      </c>
      <c r="S108">
        <f t="shared" si="16"/>
        <v>0</v>
      </c>
      <c r="T108" t="str">
        <f t="shared" si="17"/>
        <v>Mar-26</v>
      </c>
    </row>
    <row r="109" spans="1:20">
      <c r="A109" t="s">
        <v>245</v>
      </c>
      <c r="B109" t="s">
        <v>46</v>
      </c>
      <c r="C109" t="s">
        <v>12</v>
      </c>
      <c r="D109">
        <v>662</v>
      </c>
      <c r="E109" s="4">
        <v>46070</v>
      </c>
      <c r="F109" s="4">
        <v>46085</v>
      </c>
      <c r="G109" s="4">
        <v>46084</v>
      </c>
      <c r="H109">
        <v>669</v>
      </c>
      <c r="I109" t="s">
        <v>246</v>
      </c>
      <c r="J109">
        <v>59</v>
      </c>
      <c r="K109" t="s">
        <v>1563</v>
      </c>
      <c r="L109" t="str">
        <f t="shared" si="9"/>
        <v>Y</v>
      </c>
      <c r="M109" t="str">
        <f t="shared" si="10"/>
        <v>Y</v>
      </c>
      <c r="N109" t="str">
        <f t="shared" si="11"/>
        <v>Y</v>
      </c>
      <c r="O109">
        <f t="shared" si="12"/>
        <v>14</v>
      </c>
      <c r="P109" s="6">
        <f t="shared" si="13"/>
        <v>1.0105740181268883</v>
      </c>
      <c r="Q109" s="6">
        <f t="shared" si="14"/>
        <v>8.8191330343796712E-2</v>
      </c>
      <c r="R109">
        <f t="shared" si="15"/>
        <v>1</v>
      </c>
      <c r="S109">
        <f t="shared" si="16"/>
        <v>0</v>
      </c>
      <c r="T109" t="str">
        <f t="shared" si="17"/>
        <v>Mar-26</v>
      </c>
    </row>
    <row r="110" spans="1:20">
      <c r="A110" t="s">
        <v>247</v>
      </c>
      <c r="B110" t="s">
        <v>26</v>
      </c>
      <c r="C110" t="s">
        <v>23</v>
      </c>
      <c r="D110">
        <v>832</v>
      </c>
      <c r="E110" s="4">
        <v>46045</v>
      </c>
      <c r="F110" s="4">
        <v>46052</v>
      </c>
      <c r="G110" s="4">
        <v>46049</v>
      </c>
      <c r="H110">
        <v>825</v>
      </c>
      <c r="I110" t="s">
        <v>248</v>
      </c>
      <c r="J110">
        <v>25</v>
      </c>
      <c r="K110" t="s">
        <v>1563</v>
      </c>
      <c r="L110" t="str">
        <f t="shared" si="9"/>
        <v>Y</v>
      </c>
      <c r="M110" t="str">
        <f t="shared" si="10"/>
        <v>Y</v>
      </c>
      <c r="N110" t="str">
        <f t="shared" si="11"/>
        <v>Y</v>
      </c>
      <c r="O110">
        <f t="shared" si="12"/>
        <v>4</v>
      </c>
      <c r="P110" s="6">
        <f t="shared" si="13"/>
        <v>0.99158653846153844</v>
      </c>
      <c r="Q110" s="6">
        <f t="shared" si="14"/>
        <v>3.0303030303030304E-2</v>
      </c>
      <c r="R110">
        <f t="shared" si="15"/>
        <v>1</v>
      </c>
      <c r="S110">
        <f t="shared" si="16"/>
        <v>0</v>
      </c>
      <c r="T110" t="str">
        <f t="shared" si="17"/>
        <v>Jan-26</v>
      </c>
    </row>
    <row r="111" spans="1:20">
      <c r="A111" t="s">
        <v>249</v>
      </c>
      <c r="B111" t="s">
        <v>46</v>
      </c>
      <c r="C111" t="s">
        <v>16</v>
      </c>
      <c r="D111">
        <v>577</v>
      </c>
      <c r="E111" s="4">
        <v>46051</v>
      </c>
      <c r="F111" s="4">
        <v>46065</v>
      </c>
      <c r="G111" s="4">
        <v>46064</v>
      </c>
      <c r="H111">
        <v>582</v>
      </c>
      <c r="I111" t="s">
        <v>250</v>
      </c>
      <c r="J111">
        <v>1</v>
      </c>
      <c r="K111" t="s">
        <v>1563</v>
      </c>
      <c r="L111" t="str">
        <f t="shared" si="9"/>
        <v>Y</v>
      </c>
      <c r="M111" t="str">
        <f t="shared" si="10"/>
        <v>Y</v>
      </c>
      <c r="N111" t="str">
        <f t="shared" si="11"/>
        <v>Y</v>
      </c>
      <c r="O111">
        <f t="shared" si="12"/>
        <v>13</v>
      </c>
      <c r="P111" s="6">
        <f t="shared" si="13"/>
        <v>1.0086655112651646</v>
      </c>
      <c r="Q111" s="6">
        <f t="shared" si="14"/>
        <v>1.718213058419244E-3</v>
      </c>
      <c r="R111">
        <f t="shared" si="15"/>
        <v>1</v>
      </c>
      <c r="S111">
        <f t="shared" si="16"/>
        <v>0</v>
      </c>
      <c r="T111" t="str">
        <f t="shared" si="17"/>
        <v>Feb-26</v>
      </c>
    </row>
    <row r="112" spans="1:20">
      <c r="A112" t="s">
        <v>251</v>
      </c>
      <c r="B112" t="s">
        <v>22</v>
      </c>
      <c r="C112" t="s">
        <v>16</v>
      </c>
      <c r="D112">
        <v>992</v>
      </c>
      <c r="E112" s="4">
        <v>46126</v>
      </c>
      <c r="F112" s="4">
        <v>46131</v>
      </c>
      <c r="G112" s="4">
        <v>46130</v>
      </c>
      <c r="H112">
        <v>1004</v>
      </c>
      <c r="I112" t="s">
        <v>253</v>
      </c>
      <c r="J112">
        <v>49</v>
      </c>
      <c r="K112" t="s">
        <v>1563</v>
      </c>
      <c r="L112" t="str">
        <f t="shared" si="9"/>
        <v>Y</v>
      </c>
      <c r="M112" t="str">
        <f t="shared" si="10"/>
        <v>Y</v>
      </c>
      <c r="N112" t="str">
        <f t="shared" si="11"/>
        <v>Y</v>
      </c>
      <c r="O112">
        <f t="shared" si="12"/>
        <v>4</v>
      </c>
      <c r="P112" s="6">
        <f t="shared" si="13"/>
        <v>1.0120967741935485</v>
      </c>
      <c r="Q112" s="6">
        <f t="shared" si="14"/>
        <v>4.8804780876494022E-2</v>
      </c>
      <c r="R112">
        <f t="shared" si="15"/>
        <v>1</v>
      </c>
      <c r="S112">
        <f t="shared" si="16"/>
        <v>0</v>
      </c>
      <c r="T112" t="str">
        <f t="shared" si="17"/>
        <v>Apr-26</v>
      </c>
    </row>
    <row r="113" spans="1:20">
      <c r="A113" t="s">
        <v>254</v>
      </c>
      <c r="B113" t="s">
        <v>35</v>
      </c>
      <c r="C113" t="s">
        <v>16</v>
      </c>
      <c r="D113">
        <v>749</v>
      </c>
      <c r="E113" s="4">
        <v>46029</v>
      </c>
      <c r="F113" s="4">
        <v>46041</v>
      </c>
      <c r="G113" s="4">
        <v>46039</v>
      </c>
      <c r="H113">
        <v>735</v>
      </c>
      <c r="I113" t="s">
        <v>255</v>
      </c>
      <c r="J113">
        <v>1</v>
      </c>
      <c r="K113" t="s">
        <v>1563</v>
      </c>
      <c r="L113" t="str">
        <f t="shared" si="9"/>
        <v>Y</v>
      </c>
      <c r="M113" t="str">
        <f t="shared" si="10"/>
        <v>Y</v>
      </c>
      <c r="N113" t="str">
        <f t="shared" si="11"/>
        <v>Y</v>
      </c>
      <c r="O113">
        <f t="shared" si="12"/>
        <v>10</v>
      </c>
      <c r="P113" s="6">
        <f t="shared" si="13"/>
        <v>0.98130841121495327</v>
      </c>
      <c r="Q113" s="6">
        <f t="shared" si="14"/>
        <v>1.3605442176870747E-3</v>
      </c>
      <c r="R113">
        <f t="shared" si="15"/>
        <v>1</v>
      </c>
      <c r="S113">
        <f t="shared" si="16"/>
        <v>0</v>
      </c>
      <c r="T113" t="str">
        <f t="shared" si="17"/>
        <v>Jan-26</v>
      </c>
    </row>
    <row r="114" spans="1:20">
      <c r="A114" t="s">
        <v>256</v>
      </c>
      <c r="B114" t="s">
        <v>40</v>
      </c>
      <c r="C114" t="s">
        <v>23</v>
      </c>
      <c r="D114">
        <v>902</v>
      </c>
      <c r="E114" s="4">
        <v>46120</v>
      </c>
      <c r="F114" s="4">
        <v>46127</v>
      </c>
      <c r="G114" s="4">
        <v>46129</v>
      </c>
      <c r="H114">
        <v>896</v>
      </c>
      <c r="I114" t="s">
        <v>201</v>
      </c>
      <c r="J114">
        <v>69</v>
      </c>
      <c r="K114" t="s">
        <v>1563</v>
      </c>
      <c r="L114" t="str">
        <f t="shared" si="9"/>
        <v>N</v>
      </c>
      <c r="M114" t="str">
        <f t="shared" si="10"/>
        <v>Y</v>
      </c>
      <c r="N114" t="str">
        <f t="shared" si="11"/>
        <v>N</v>
      </c>
      <c r="O114">
        <f t="shared" si="12"/>
        <v>9</v>
      </c>
      <c r="P114" s="6">
        <f t="shared" si="13"/>
        <v>0.99334811529933487</v>
      </c>
      <c r="Q114" s="6">
        <f t="shared" si="14"/>
        <v>7.7008928571428575E-2</v>
      </c>
      <c r="R114">
        <f t="shared" si="15"/>
        <v>0</v>
      </c>
      <c r="S114">
        <f t="shared" si="16"/>
        <v>2</v>
      </c>
      <c r="T114" t="str">
        <f t="shared" si="17"/>
        <v>Apr-26</v>
      </c>
    </row>
    <row r="115" spans="1:20">
      <c r="A115" t="s">
        <v>257</v>
      </c>
      <c r="B115" t="s">
        <v>67</v>
      </c>
      <c r="C115" t="s">
        <v>12</v>
      </c>
      <c r="D115">
        <v>979</v>
      </c>
      <c r="E115" s="4">
        <v>46170</v>
      </c>
      <c r="F115" s="4">
        <v>46182</v>
      </c>
      <c r="G115" s="4">
        <v>46190</v>
      </c>
      <c r="H115">
        <v>994</v>
      </c>
      <c r="I115" t="s">
        <v>258</v>
      </c>
      <c r="J115">
        <v>29</v>
      </c>
      <c r="K115" t="s">
        <v>1563</v>
      </c>
      <c r="L115" t="str">
        <f t="shared" si="9"/>
        <v>N</v>
      </c>
      <c r="M115" t="str">
        <f t="shared" si="10"/>
        <v>Y</v>
      </c>
      <c r="N115" t="str">
        <f t="shared" si="11"/>
        <v>N</v>
      </c>
      <c r="O115">
        <f t="shared" si="12"/>
        <v>20</v>
      </c>
      <c r="P115" s="6">
        <f t="shared" si="13"/>
        <v>1.0153217568947905</v>
      </c>
      <c r="Q115" s="6">
        <f t="shared" si="14"/>
        <v>2.9175050301810865E-2</v>
      </c>
      <c r="R115">
        <f t="shared" si="15"/>
        <v>0</v>
      </c>
      <c r="S115">
        <f t="shared" si="16"/>
        <v>8</v>
      </c>
      <c r="T115" t="str">
        <f t="shared" si="17"/>
        <v>Jun-26</v>
      </c>
    </row>
    <row r="116" spans="1:20">
      <c r="A116" t="s">
        <v>259</v>
      </c>
      <c r="B116" t="s">
        <v>49</v>
      </c>
      <c r="C116" t="s">
        <v>12</v>
      </c>
      <c r="D116">
        <v>747</v>
      </c>
      <c r="E116" s="4">
        <v>46128</v>
      </c>
      <c r="F116" s="4">
        <v>46140</v>
      </c>
      <c r="G116" s="4">
        <v>46144</v>
      </c>
      <c r="H116">
        <v>743</v>
      </c>
      <c r="I116" t="s">
        <v>260</v>
      </c>
      <c r="J116">
        <v>7</v>
      </c>
      <c r="K116" t="s">
        <v>1563</v>
      </c>
      <c r="L116" t="str">
        <f t="shared" si="9"/>
        <v>N</v>
      </c>
      <c r="M116" t="str">
        <f t="shared" si="10"/>
        <v>Y</v>
      </c>
      <c r="N116" t="str">
        <f t="shared" si="11"/>
        <v>N</v>
      </c>
      <c r="O116">
        <f t="shared" si="12"/>
        <v>16</v>
      </c>
      <c r="P116" s="6">
        <f t="shared" si="13"/>
        <v>0.99464524765729589</v>
      </c>
      <c r="Q116" s="6">
        <f t="shared" si="14"/>
        <v>9.4212651413189772E-3</v>
      </c>
      <c r="R116">
        <f t="shared" si="15"/>
        <v>0</v>
      </c>
      <c r="S116">
        <f t="shared" si="16"/>
        <v>4</v>
      </c>
      <c r="T116" t="str">
        <f t="shared" si="17"/>
        <v>May-26</v>
      </c>
    </row>
    <row r="117" spans="1:20">
      <c r="A117" t="s">
        <v>261</v>
      </c>
      <c r="B117" t="s">
        <v>22</v>
      </c>
      <c r="C117" t="s">
        <v>23</v>
      </c>
      <c r="D117">
        <v>584</v>
      </c>
      <c r="E117" s="4">
        <v>46154</v>
      </c>
      <c r="F117" s="4">
        <v>46164</v>
      </c>
      <c r="G117" s="4">
        <v>46170</v>
      </c>
      <c r="H117">
        <v>578</v>
      </c>
      <c r="I117" t="s">
        <v>262</v>
      </c>
      <c r="J117">
        <v>28</v>
      </c>
      <c r="K117" t="s">
        <v>1563</v>
      </c>
      <c r="L117" t="str">
        <f t="shared" si="9"/>
        <v>N</v>
      </c>
      <c r="M117" t="str">
        <f t="shared" si="10"/>
        <v>Y</v>
      </c>
      <c r="N117" t="str">
        <f t="shared" si="11"/>
        <v>N</v>
      </c>
      <c r="O117">
        <f t="shared" si="12"/>
        <v>16</v>
      </c>
      <c r="P117" s="6">
        <f t="shared" si="13"/>
        <v>0.98972602739726023</v>
      </c>
      <c r="Q117" s="6">
        <f t="shared" si="14"/>
        <v>4.8442906574394463E-2</v>
      </c>
      <c r="R117">
        <f t="shared" si="15"/>
        <v>0</v>
      </c>
      <c r="S117">
        <f t="shared" si="16"/>
        <v>6</v>
      </c>
      <c r="T117" t="str">
        <f t="shared" si="17"/>
        <v>May-26</v>
      </c>
    </row>
    <row r="118" spans="1:20">
      <c r="A118" t="s">
        <v>263</v>
      </c>
      <c r="B118" t="s">
        <v>19</v>
      </c>
      <c r="C118" t="s">
        <v>12</v>
      </c>
      <c r="D118">
        <v>204</v>
      </c>
      <c r="E118" s="4">
        <v>46131</v>
      </c>
      <c r="F118" s="4">
        <v>46140</v>
      </c>
      <c r="G118" s="4">
        <v>46139</v>
      </c>
      <c r="H118">
        <v>204</v>
      </c>
      <c r="I118" t="s">
        <v>264</v>
      </c>
      <c r="J118">
        <v>2</v>
      </c>
      <c r="K118" t="s">
        <v>1563</v>
      </c>
      <c r="L118" t="str">
        <f t="shared" si="9"/>
        <v>Y</v>
      </c>
      <c r="M118" t="str">
        <f t="shared" si="10"/>
        <v>Y</v>
      </c>
      <c r="N118" t="str">
        <f t="shared" si="11"/>
        <v>Y</v>
      </c>
      <c r="O118">
        <f t="shared" si="12"/>
        <v>8</v>
      </c>
      <c r="P118" s="6">
        <f t="shared" si="13"/>
        <v>1</v>
      </c>
      <c r="Q118" s="6">
        <f t="shared" si="14"/>
        <v>9.8039215686274508E-3</v>
      </c>
      <c r="R118">
        <f t="shared" si="15"/>
        <v>1</v>
      </c>
      <c r="S118">
        <f t="shared" si="16"/>
        <v>0</v>
      </c>
      <c r="T118" t="str">
        <f t="shared" si="17"/>
        <v>Apr-26</v>
      </c>
    </row>
    <row r="119" spans="1:20">
      <c r="A119" t="s">
        <v>265</v>
      </c>
      <c r="B119" t="s">
        <v>19</v>
      </c>
      <c r="C119" t="s">
        <v>16</v>
      </c>
      <c r="D119">
        <v>167</v>
      </c>
      <c r="E119" s="4">
        <v>46084</v>
      </c>
      <c r="F119" s="4">
        <v>46091</v>
      </c>
      <c r="G119" s="4">
        <v>46088</v>
      </c>
      <c r="H119">
        <v>150</v>
      </c>
      <c r="I119" t="s">
        <v>266</v>
      </c>
      <c r="J119">
        <v>3</v>
      </c>
      <c r="K119" t="s">
        <v>1563</v>
      </c>
      <c r="L119" t="str">
        <f t="shared" si="9"/>
        <v>Y</v>
      </c>
      <c r="M119" t="str">
        <f t="shared" si="10"/>
        <v>N</v>
      </c>
      <c r="N119" t="str">
        <f t="shared" si="11"/>
        <v>N</v>
      </c>
      <c r="O119">
        <f t="shared" si="12"/>
        <v>4</v>
      </c>
      <c r="P119" s="6">
        <f t="shared" si="13"/>
        <v>0.89820359281437123</v>
      </c>
      <c r="Q119" s="6">
        <f t="shared" si="14"/>
        <v>0.02</v>
      </c>
      <c r="R119">
        <f t="shared" si="15"/>
        <v>0</v>
      </c>
      <c r="S119">
        <f t="shared" si="16"/>
        <v>0</v>
      </c>
      <c r="T119" t="str">
        <f t="shared" si="17"/>
        <v>Mar-26</v>
      </c>
    </row>
    <row r="120" spans="1:20">
      <c r="A120" t="s">
        <v>267</v>
      </c>
      <c r="B120" t="s">
        <v>54</v>
      </c>
      <c r="C120" t="s">
        <v>16</v>
      </c>
      <c r="D120">
        <v>555</v>
      </c>
      <c r="E120" s="4">
        <v>46164</v>
      </c>
      <c r="F120" s="4">
        <v>46169</v>
      </c>
      <c r="G120" s="4">
        <v>46167</v>
      </c>
      <c r="H120">
        <v>460</v>
      </c>
      <c r="I120" t="s">
        <v>268</v>
      </c>
      <c r="J120">
        <v>8</v>
      </c>
      <c r="K120" t="s">
        <v>1563</v>
      </c>
      <c r="L120" t="str">
        <f t="shared" si="9"/>
        <v>Y</v>
      </c>
      <c r="M120" t="str">
        <f t="shared" si="10"/>
        <v>N</v>
      </c>
      <c r="N120" t="str">
        <f t="shared" si="11"/>
        <v>N</v>
      </c>
      <c r="O120">
        <f t="shared" si="12"/>
        <v>3</v>
      </c>
      <c r="P120" s="6">
        <f t="shared" si="13"/>
        <v>0.8288288288288288</v>
      </c>
      <c r="Q120" s="6">
        <f t="shared" si="14"/>
        <v>1.7391304347826087E-2</v>
      </c>
      <c r="R120">
        <f t="shared" si="15"/>
        <v>0</v>
      </c>
      <c r="S120">
        <f t="shared" si="16"/>
        <v>0</v>
      </c>
      <c r="T120" t="str">
        <f t="shared" si="17"/>
        <v>May-26</v>
      </c>
    </row>
    <row r="121" spans="1:20">
      <c r="A121" t="s">
        <v>269</v>
      </c>
      <c r="B121" t="s">
        <v>120</v>
      </c>
      <c r="C121" t="s">
        <v>12</v>
      </c>
      <c r="D121">
        <v>346</v>
      </c>
      <c r="E121" s="4">
        <v>46035</v>
      </c>
      <c r="F121" s="4">
        <v>46044</v>
      </c>
      <c r="G121" s="4">
        <v>46041</v>
      </c>
      <c r="H121">
        <v>289</v>
      </c>
      <c r="I121" t="s">
        <v>270</v>
      </c>
      <c r="J121">
        <v>8</v>
      </c>
      <c r="K121" t="s">
        <v>1563</v>
      </c>
      <c r="L121" t="str">
        <f t="shared" si="9"/>
        <v>Y</v>
      </c>
      <c r="M121" t="str">
        <f t="shared" si="10"/>
        <v>N</v>
      </c>
      <c r="N121" t="str">
        <f t="shared" si="11"/>
        <v>N</v>
      </c>
      <c r="O121">
        <f t="shared" si="12"/>
        <v>6</v>
      </c>
      <c r="P121" s="6">
        <f t="shared" si="13"/>
        <v>0.83526011560693647</v>
      </c>
      <c r="Q121" s="6">
        <f t="shared" si="14"/>
        <v>2.768166089965398E-2</v>
      </c>
      <c r="R121">
        <f t="shared" si="15"/>
        <v>0</v>
      </c>
      <c r="S121">
        <f t="shared" si="16"/>
        <v>0</v>
      </c>
      <c r="T121" t="str">
        <f t="shared" si="17"/>
        <v>Jan-26</v>
      </c>
    </row>
    <row r="122" spans="1:20">
      <c r="A122" t="s">
        <v>271</v>
      </c>
      <c r="B122" t="s">
        <v>177</v>
      </c>
      <c r="C122" t="s">
        <v>16</v>
      </c>
      <c r="D122">
        <v>317</v>
      </c>
      <c r="E122" s="4">
        <v>46134</v>
      </c>
      <c r="F122" s="4">
        <v>46145</v>
      </c>
      <c r="G122" s="4">
        <v>46143</v>
      </c>
      <c r="H122">
        <v>312</v>
      </c>
      <c r="I122" t="s">
        <v>272</v>
      </c>
      <c r="J122">
        <v>5</v>
      </c>
      <c r="K122" t="s">
        <v>1563</v>
      </c>
      <c r="L122" t="str">
        <f t="shared" si="9"/>
        <v>Y</v>
      </c>
      <c r="M122" t="str">
        <f t="shared" si="10"/>
        <v>Y</v>
      </c>
      <c r="N122" t="str">
        <f t="shared" si="11"/>
        <v>Y</v>
      </c>
      <c r="O122">
        <f t="shared" si="12"/>
        <v>9</v>
      </c>
      <c r="P122" s="6">
        <f t="shared" si="13"/>
        <v>0.98422712933753942</v>
      </c>
      <c r="Q122" s="6">
        <f t="shared" si="14"/>
        <v>1.6025641025641024E-2</v>
      </c>
      <c r="R122">
        <f t="shared" si="15"/>
        <v>1</v>
      </c>
      <c r="S122">
        <f t="shared" si="16"/>
        <v>0</v>
      </c>
      <c r="T122" t="str">
        <f t="shared" si="17"/>
        <v>May-26</v>
      </c>
    </row>
    <row r="123" spans="1:20">
      <c r="A123" t="s">
        <v>273</v>
      </c>
      <c r="B123" t="s">
        <v>29</v>
      </c>
      <c r="C123" t="s">
        <v>12</v>
      </c>
      <c r="D123">
        <v>101</v>
      </c>
      <c r="E123" s="4">
        <v>46105</v>
      </c>
      <c r="F123" s="4">
        <v>46110</v>
      </c>
      <c r="G123" s="4">
        <v>46107</v>
      </c>
      <c r="H123">
        <v>100</v>
      </c>
      <c r="I123" t="s">
        <v>167</v>
      </c>
      <c r="J123">
        <v>0</v>
      </c>
      <c r="K123" t="s">
        <v>1563</v>
      </c>
      <c r="L123" t="str">
        <f t="shared" si="9"/>
        <v>Y</v>
      </c>
      <c r="M123" t="str">
        <f t="shared" si="10"/>
        <v>Y</v>
      </c>
      <c r="N123" t="str">
        <f t="shared" si="11"/>
        <v>Y</v>
      </c>
      <c r="O123">
        <f t="shared" si="12"/>
        <v>2</v>
      </c>
      <c r="P123" s="6">
        <f t="shared" si="13"/>
        <v>0.99009900990099009</v>
      </c>
      <c r="Q123" s="6">
        <f t="shared" si="14"/>
        <v>0</v>
      </c>
      <c r="R123">
        <f t="shared" si="15"/>
        <v>1</v>
      </c>
      <c r="S123">
        <f t="shared" si="16"/>
        <v>0</v>
      </c>
      <c r="T123" t="str">
        <f t="shared" si="17"/>
        <v>Mar-26</v>
      </c>
    </row>
    <row r="124" spans="1:20">
      <c r="A124" t="s">
        <v>274</v>
      </c>
      <c r="B124" t="s">
        <v>81</v>
      </c>
      <c r="C124" t="s">
        <v>23</v>
      </c>
      <c r="D124">
        <v>689</v>
      </c>
      <c r="E124" s="4">
        <v>46048</v>
      </c>
      <c r="F124" s="4">
        <v>46056</v>
      </c>
      <c r="G124" s="4">
        <v>46053</v>
      </c>
      <c r="H124">
        <v>553</v>
      </c>
      <c r="I124" t="s">
        <v>275</v>
      </c>
      <c r="J124">
        <v>6</v>
      </c>
      <c r="K124" t="s">
        <v>1563</v>
      </c>
      <c r="L124" t="str">
        <f t="shared" si="9"/>
        <v>Y</v>
      </c>
      <c r="M124" t="str">
        <f t="shared" si="10"/>
        <v>N</v>
      </c>
      <c r="N124" t="str">
        <f t="shared" si="11"/>
        <v>N</v>
      </c>
      <c r="O124">
        <f t="shared" si="12"/>
        <v>5</v>
      </c>
      <c r="P124" s="6">
        <f t="shared" si="13"/>
        <v>0.8026124818577649</v>
      </c>
      <c r="Q124" s="6">
        <f t="shared" si="14"/>
        <v>1.0849909584086799E-2</v>
      </c>
      <c r="R124">
        <f t="shared" si="15"/>
        <v>0</v>
      </c>
      <c r="S124">
        <f t="shared" si="16"/>
        <v>0</v>
      </c>
      <c r="T124" t="str">
        <f t="shared" si="17"/>
        <v>Jan-26</v>
      </c>
    </row>
    <row r="125" spans="1:20">
      <c r="A125" t="s">
        <v>276</v>
      </c>
      <c r="B125" t="s">
        <v>11</v>
      </c>
      <c r="C125" t="s">
        <v>16</v>
      </c>
      <c r="D125">
        <v>880</v>
      </c>
      <c r="E125" s="4">
        <v>46115</v>
      </c>
      <c r="F125" s="4">
        <v>46123</v>
      </c>
      <c r="G125" s="4">
        <v>46122</v>
      </c>
      <c r="H125">
        <v>876</v>
      </c>
      <c r="I125" t="s">
        <v>277</v>
      </c>
      <c r="J125">
        <v>25</v>
      </c>
      <c r="K125" t="s">
        <v>1563</v>
      </c>
      <c r="L125" t="str">
        <f t="shared" si="9"/>
        <v>Y</v>
      </c>
      <c r="M125" t="str">
        <f t="shared" si="10"/>
        <v>Y</v>
      </c>
      <c r="N125" t="str">
        <f t="shared" si="11"/>
        <v>Y</v>
      </c>
      <c r="O125">
        <f t="shared" si="12"/>
        <v>7</v>
      </c>
      <c r="P125" s="6">
        <f t="shared" si="13"/>
        <v>0.99545454545454548</v>
      </c>
      <c r="Q125" s="6">
        <f t="shared" si="14"/>
        <v>2.8538812785388126E-2</v>
      </c>
      <c r="R125">
        <f t="shared" si="15"/>
        <v>1</v>
      </c>
      <c r="S125">
        <f t="shared" si="16"/>
        <v>0</v>
      </c>
      <c r="T125" t="str">
        <f t="shared" si="17"/>
        <v>Apr-26</v>
      </c>
    </row>
    <row r="126" spans="1:20">
      <c r="A126" t="s">
        <v>278</v>
      </c>
      <c r="B126" t="s">
        <v>46</v>
      </c>
      <c r="C126" t="s">
        <v>16</v>
      </c>
      <c r="D126">
        <v>485</v>
      </c>
      <c r="E126" s="4">
        <v>46131</v>
      </c>
      <c r="F126" s="4">
        <v>46141</v>
      </c>
      <c r="G126" s="4">
        <v>46141</v>
      </c>
      <c r="H126">
        <v>482</v>
      </c>
      <c r="I126" t="s">
        <v>279</v>
      </c>
      <c r="J126">
        <v>2</v>
      </c>
      <c r="K126" t="s">
        <v>1563</v>
      </c>
      <c r="L126" t="str">
        <f t="shared" si="9"/>
        <v>Y</v>
      </c>
      <c r="M126" t="str">
        <f t="shared" si="10"/>
        <v>Y</v>
      </c>
      <c r="N126" t="str">
        <f t="shared" si="11"/>
        <v>Y</v>
      </c>
      <c r="O126">
        <f t="shared" si="12"/>
        <v>10</v>
      </c>
      <c r="P126" s="6">
        <f t="shared" si="13"/>
        <v>0.99381443298969074</v>
      </c>
      <c r="Q126" s="6">
        <f t="shared" si="14"/>
        <v>4.1493775933609959E-3</v>
      </c>
      <c r="R126">
        <f t="shared" si="15"/>
        <v>1</v>
      </c>
      <c r="S126">
        <f t="shared" si="16"/>
        <v>0</v>
      </c>
      <c r="T126" t="str">
        <f t="shared" si="17"/>
        <v>Apr-26</v>
      </c>
    </row>
    <row r="127" spans="1:20">
      <c r="A127" t="s">
        <v>280</v>
      </c>
      <c r="B127" t="s">
        <v>120</v>
      </c>
      <c r="C127" t="s">
        <v>12</v>
      </c>
      <c r="D127">
        <v>555</v>
      </c>
      <c r="E127" s="4">
        <v>46084</v>
      </c>
      <c r="F127" s="4">
        <v>46092</v>
      </c>
      <c r="G127" s="4">
        <v>46091</v>
      </c>
      <c r="H127">
        <v>560</v>
      </c>
      <c r="I127" t="s">
        <v>281</v>
      </c>
      <c r="J127">
        <v>21</v>
      </c>
      <c r="K127" t="s">
        <v>1563</v>
      </c>
      <c r="L127" t="str">
        <f t="shared" si="9"/>
        <v>Y</v>
      </c>
      <c r="M127" t="str">
        <f t="shared" si="10"/>
        <v>Y</v>
      </c>
      <c r="N127" t="str">
        <f t="shared" si="11"/>
        <v>Y</v>
      </c>
      <c r="O127">
        <f t="shared" si="12"/>
        <v>7</v>
      </c>
      <c r="P127" s="6">
        <f t="shared" si="13"/>
        <v>1.0090090090090089</v>
      </c>
      <c r="Q127" s="6">
        <f t="shared" si="14"/>
        <v>3.7499999999999999E-2</v>
      </c>
      <c r="R127">
        <f t="shared" si="15"/>
        <v>1</v>
      </c>
      <c r="S127">
        <f t="shared" si="16"/>
        <v>0</v>
      </c>
      <c r="T127" t="str">
        <f t="shared" si="17"/>
        <v>Mar-26</v>
      </c>
    </row>
    <row r="128" spans="1:20">
      <c r="A128" t="s">
        <v>282</v>
      </c>
      <c r="B128" t="s">
        <v>81</v>
      </c>
      <c r="C128" t="s">
        <v>16</v>
      </c>
      <c r="D128">
        <v>219</v>
      </c>
      <c r="E128" s="4">
        <v>46056</v>
      </c>
      <c r="F128" s="4">
        <v>46068</v>
      </c>
      <c r="G128" s="4">
        <v>46066</v>
      </c>
      <c r="H128">
        <v>216</v>
      </c>
      <c r="I128" t="s">
        <v>283</v>
      </c>
      <c r="J128">
        <v>0</v>
      </c>
      <c r="K128" t="s">
        <v>1563</v>
      </c>
      <c r="L128" t="str">
        <f t="shared" si="9"/>
        <v>Y</v>
      </c>
      <c r="M128" t="str">
        <f t="shared" si="10"/>
        <v>Y</v>
      </c>
      <c r="N128" t="str">
        <f t="shared" si="11"/>
        <v>Y</v>
      </c>
      <c r="O128">
        <f t="shared" si="12"/>
        <v>10</v>
      </c>
      <c r="P128" s="6">
        <f t="shared" si="13"/>
        <v>0.98630136986301364</v>
      </c>
      <c r="Q128" s="6">
        <f t="shared" si="14"/>
        <v>0</v>
      </c>
      <c r="R128">
        <f t="shared" si="15"/>
        <v>1</v>
      </c>
      <c r="S128">
        <f t="shared" si="16"/>
        <v>0</v>
      </c>
      <c r="T128" t="str">
        <f t="shared" si="17"/>
        <v>Feb-26</v>
      </c>
    </row>
    <row r="129" spans="1:20">
      <c r="A129" t="s">
        <v>284</v>
      </c>
      <c r="B129" t="s">
        <v>26</v>
      </c>
      <c r="C129" t="s">
        <v>23</v>
      </c>
      <c r="D129">
        <v>94</v>
      </c>
      <c r="E129" s="4">
        <v>46131</v>
      </c>
      <c r="F129" s="4">
        <v>46139</v>
      </c>
      <c r="G129" s="4">
        <v>46138</v>
      </c>
      <c r="H129">
        <v>93</v>
      </c>
      <c r="I129" t="s">
        <v>285</v>
      </c>
      <c r="J129">
        <v>2</v>
      </c>
      <c r="K129" t="s">
        <v>1563</v>
      </c>
      <c r="L129" t="str">
        <f t="shared" si="9"/>
        <v>Y</v>
      </c>
      <c r="M129" t="str">
        <f t="shared" si="10"/>
        <v>Y</v>
      </c>
      <c r="N129" t="str">
        <f t="shared" si="11"/>
        <v>Y</v>
      </c>
      <c r="O129">
        <f t="shared" si="12"/>
        <v>7</v>
      </c>
      <c r="P129" s="6">
        <f t="shared" si="13"/>
        <v>0.98936170212765961</v>
      </c>
      <c r="Q129" s="6">
        <f t="shared" si="14"/>
        <v>2.1505376344086023E-2</v>
      </c>
      <c r="R129">
        <f t="shared" si="15"/>
        <v>1</v>
      </c>
      <c r="S129">
        <f t="shared" si="16"/>
        <v>0</v>
      </c>
      <c r="T129" t="str">
        <f t="shared" si="17"/>
        <v>Apr-26</v>
      </c>
    </row>
    <row r="130" spans="1:20">
      <c r="A130" t="s">
        <v>286</v>
      </c>
      <c r="B130" t="s">
        <v>46</v>
      </c>
      <c r="C130" t="s">
        <v>12</v>
      </c>
      <c r="D130">
        <v>224</v>
      </c>
      <c r="E130" s="4">
        <v>46070</v>
      </c>
      <c r="F130" s="4">
        <v>46083</v>
      </c>
      <c r="G130" s="4">
        <v>46080</v>
      </c>
      <c r="H130">
        <v>227</v>
      </c>
      <c r="I130" t="s">
        <v>281</v>
      </c>
      <c r="J130">
        <v>11</v>
      </c>
      <c r="K130" t="s">
        <v>1563</v>
      </c>
      <c r="L130" t="str">
        <f t="shared" ref="L130:L193" si="18">IF(G130="","N/A",IF(G130&lt;=F130,"Y","N"))</f>
        <v>Y</v>
      </c>
      <c r="M130" t="str">
        <f t="shared" ref="M130:M193" si="19">IF(H130="","N/A",IF(H130&gt;=D130*0.98,"Y","N"))</f>
        <v>Y</v>
      </c>
      <c r="N130" t="str">
        <f t="shared" ref="N130:N193" si="20">IF(OR(L130="N/A",M130="N/A"),"N/A",IF(AND(L130="Y",M130="Y"),"Y","N"))</f>
        <v>Y</v>
      </c>
      <c r="O130">
        <f t="shared" ref="O130:O193" si="21">IF(G130="","N/A",G130-E130)</f>
        <v>10</v>
      </c>
      <c r="P130" s="6">
        <f t="shared" ref="P130:P193" si="22">IF(H130="","N/A",H130/D130)</f>
        <v>1.0133928571428572</v>
      </c>
      <c r="Q130" s="6">
        <f t="shared" ref="Q130:Q193" si="23">IF(H130="","N/A",IF(H130=0,0,J130/H130))</f>
        <v>4.8458149779735685E-2</v>
      </c>
      <c r="R130">
        <f t="shared" ref="R130:R193" si="24">IF(N130="Y",1,IF(N130="N",0,""))</f>
        <v>1</v>
      </c>
      <c r="S130">
        <f t="shared" ref="S130:S193" si="25">IF(G130="","N/A",MAX(G130-F130,0))</f>
        <v>0</v>
      </c>
      <c r="T130" t="str">
        <f t="shared" ref="T130:T193" si="26">IF(G130="","N/A",TEXT(G130,"mmm-yy"))</f>
        <v>Feb-26</v>
      </c>
    </row>
    <row r="131" spans="1:20">
      <c r="A131" t="s">
        <v>287</v>
      </c>
      <c r="B131" t="s">
        <v>70</v>
      </c>
      <c r="C131" t="s">
        <v>23</v>
      </c>
      <c r="D131">
        <v>178</v>
      </c>
      <c r="E131" s="4">
        <v>46054</v>
      </c>
      <c r="F131" s="4">
        <v>46066</v>
      </c>
      <c r="G131" s="4">
        <v>46068</v>
      </c>
      <c r="H131">
        <v>181</v>
      </c>
      <c r="I131" t="s">
        <v>33</v>
      </c>
      <c r="J131">
        <v>3</v>
      </c>
      <c r="K131" t="s">
        <v>1563</v>
      </c>
      <c r="L131" t="str">
        <f t="shared" si="18"/>
        <v>N</v>
      </c>
      <c r="M131" t="str">
        <f t="shared" si="19"/>
        <v>Y</v>
      </c>
      <c r="N131" t="str">
        <f t="shared" si="20"/>
        <v>N</v>
      </c>
      <c r="O131">
        <f t="shared" si="21"/>
        <v>14</v>
      </c>
      <c r="P131" s="6">
        <f t="shared" si="22"/>
        <v>1.0168539325842696</v>
      </c>
      <c r="Q131" s="6">
        <f t="shared" si="23"/>
        <v>1.6574585635359115E-2</v>
      </c>
      <c r="R131">
        <f t="shared" si="24"/>
        <v>0</v>
      </c>
      <c r="S131">
        <f t="shared" si="25"/>
        <v>2</v>
      </c>
      <c r="T131" t="str">
        <f t="shared" si="26"/>
        <v>Feb-26</v>
      </c>
    </row>
    <row r="132" spans="1:20">
      <c r="A132" t="s">
        <v>288</v>
      </c>
      <c r="B132" t="s">
        <v>49</v>
      </c>
      <c r="C132" t="s">
        <v>16</v>
      </c>
      <c r="D132">
        <v>660</v>
      </c>
      <c r="E132" s="4">
        <v>46120</v>
      </c>
      <c r="F132" s="4">
        <v>46125</v>
      </c>
      <c r="G132" s="4">
        <v>46125</v>
      </c>
      <c r="H132">
        <v>671</v>
      </c>
      <c r="I132" t="s">
        <v>272</v>
      </c>
      <c r="J132">
        <v>11</v>
      </c>
      <c r="K132" t="s">
        <v>1563</v>
      </c>
      <c r="L132" t="str">
        <f t="shared" si="18"/>
        <v>Y</v>
      </c>
      <c r="M132" t="str">
        <f t="shared" si="19"/>
        <v>Y</v>
      </c>
      <c r="N132" t="str">
        <f t="shared" si="20"/>
        <v>Y</v>
      </c>
      <c r="O132">
        <f t="shared" si="21"/>
        <v>5</v>
      </c>
      <c r="P132" s="6">
        <f t="shared" si="22"/>
        <v>1.0166666666666666</v>
      </c>
      <c r="Q132" s="6">
        <f t="shared" si="23"/>
        <v>1.6393442622950821E-2</v>
      </c>
      <c r="R132">
        <f t="shared" si="24"/>
        <v>1</v>
      </c>
      <c r="S132">
        <f t="shared" si="25"/>
        <v>0</v>
      </c>
      <c r="T132" t="str">
        <f t="shared" si="26"/>
        <v>Apr-26</v>
      </c>
    </row>
    <row r="133" spans="1:20">
      <c r="A133" t="s">
        <v>290</v>
      </c>
      <c r="B133" t="s">
        <v>52</v>
      </c>
      <c r="C133" t="s">
        <v>23</v>
      </c>
      <c r="D133">
        <v>930</v>
      </c>
      <c r="E133" s="4">
        <v>46054</v>
      </c>
      <c r="F133" s="4">
        <v>46062</v>
      </c>
      <c r="G133" s="4">
        <v>46062</v>
      </c>
      <c r="H133">
        <v>922</v>
      </c>
      <c r="I133" t="s">
        <v>291</v>
      </c>
      <c r="J133">
        <v>8</v>
      </c>
      <c r="K133" t="s">
        <v>1563</v>
      </c>
      <c r="L133" t="str">
        <f t="shared" si="18"/>
        <v>Y</v>
      </c>
      <c r="M133" t="str">
        <f t="shared" si="19"/>
        <v>Y</v>
      </c>
      <c r="N133" t="str">
        <f t="shared" si="20"/>
        <v>Y</v>
      </c>
      <c r="O133">
        <f t="shared" si="21"/>
        <v>8</v>
      </c>
      <c r="P133" s="6">
        <f t="shared" si="22"/>
        <v>0.99139784946236564</v>
      </c>
      <c r="Q133" s="6">
        <f t="shared" si="23"/>
        <v>8.6767895878524948E-3</v>
      </c>
      <c r="R133">
        <f t="shared" si="24"/>
        <v>1</v>
      </c>
      <c r="S133">
        <f t="shared" si="25"/>
        <v>0</v>
      </c>
      <c r="T133" t="str">
        <f t="shared" si="26"/>
        <v>Feb-26</v>
      </c>
    </row>
    <row r="134" spans="1:20">
      <c r="A134" t="s">
        <v>292</v>
      </c>
      <c r="B134" t="s">
        <v>177</v>
      </c>
      <c r="C134" t="s">
        <v>23</v>
      </c>
      <c r="D134">
        <v>254</v>
      </c>
      <c r="E134" s="4">
        <v>46153</v>
      </c>
      <c r="F134" s="4">
        <v>46168</v>
      </c>
      <c r="G134" s="4">
        <v>46166</v>
      </c>
      <c r="H134">
        <v>204</v>
      </c>
      <c r="I134" t="s">
        <v>118</v>
      </c>
      <c r="J134">
        <v>1</v>
      </c>
      <c r="K134" t="s">
        <v>1563</v>
      </c>
      <c r="L134" t="str">
        <f t="shared" si="18"/>
        <v>Y</v>
      </c>
      <c r="M134" t="str">
        <f t="shared" si="19"/>
        <v>N</v>
      </c>
      <c r="N134" t="str">
        <f t="shared" si="20"/>
        <v>N</v>
      </c>
      <c r="O134">
        <f t="shared" si="21"/>
        <v>13</v>
      </c>
      <c r="P134" s="6">
        <f t="shared" si="22"/>
        <v>0.80314960629921262</v>
      </c>
      <c r="Q134" s="6">
        <f t="shared" si="23"/>
        <v>4.9019607843137254E-3</v>
      </c>
      <c r="R134">
        <f t="shared" si="24"/>
        <v>0</v>
      </c>
      <c r="S134">
        <f t="shared" si="25"/>
        <v>0</v>
      </c>
      <c r="T134" t="str">
        <f t="shared" si="26"/>
        <v>May-26</v>
      </c>
    </row>
    <row r="135" spans="1:20">
      <c r="A135" t="s">
        <v>293</v>
      </c>
      <c r="B135" t="s">
        <v>100</v>
      </c>
      <c r="C135" t="s">
        <v>16</v>
      </c>
      <c r="D135">
        <v>251</v>
      </c>
      <c r="E135" s="4">
        <v>46080</v>
      </c>
      <c r="F135" s="4">
        <v>46085</v>
      </c>
      <c r="G135" s="4">
        <v>46092</v>
      </c>
      <c r="H135">
        <v>251</v>
      </c>
      <c r="I135" t="s">
        <v>294</v>
      </c>
      <c r="J135">
        <v>6</v>
      </c>
      <c r="K135" t="s">
        <v>1563</v>
      </c>
      <c r="L135" t="str">
        <f t="shared" si="18"/>
        <v>N</v>
      </c>
      <c r="M135" t="str">
        <f t="shared" si="19"/>
        <v>Y</v>
      </c>
      <c r="N135" t="str">
        <f t="shared" si="20"/>
        <v>N</v>
      </c>
      <c r="O135">
        <f t="shared" si="21"/>
        <v>12</v>
      </c>
      <c r="P135" s="6">
        <f t="shared" si="22"/>
        <v>1</v>
      </c>
      <c r="Q135" s="6">
        <f t="shared" si="23"/>
        <v>2.3904382470119521E-2</v>
      </c>
      <c r="R135">
        <f t="shared" si="24"/>
        <v>0</v>
      </c>
      <c r="S135">
        <f t="shared" si="25"/>
        <v>7</v>
      </c>
      <c r="T135" t="str">
        <f t="shared" si="26"/>
        <v>Mar-26</v>
      </c>
    </row>
    <row r="136" spans="1:20">
      <c r="A136" t="s">
        <v>295</v>
      </c>
      <c r="B136" t="s">
        <v>70</v>
      </c>
      <c r="C136" t="s">
        <v>23</v>
      </c>
      <c r="D136">
        <v>813</v>
      </c>
      <c r="E136" s="4">
        <v>46105</v>
      </c>
      <c r="F136" s="4">
        <v>46115</v>
      </c>
      <c r="G136" s="4">
        <v>46120</v>
      </c>
      <c r="H136">
        <v>806</v>
      </c>
      <c r="I136" t="s">
        <v>296</v>
      </c>
      <c r="J136">
        <v>14</v>
      </c>
      <c r="K136" t="s">
        <v>1563</v>
      </c>
      <c r="L136" t="str">
        <f t="shared" si="18"/>
        <v>N</v>
      </c>
      <c r="M136" t="str">
        <f t="shared" si="19"/>
        <v>Y</v>
      </c>
      <c r="N136" t="str">
        <f t="shared" si="20"/>
        <v>N</v>
      </c>
      <c r="O136">
        <f t="shared" si="21"/>
        <v>15</v>
      </c>
      <c r="P136" s="6">
        <f t="shared" si="22"/>
        <v>0.991389913899139</v>
      </c>
      <c r="Q136" s="6">
        <f t="shared" si="23"/>
        <v>1.7369727047146403E-2</v>
      </c>
      <c r="R136">
        <f t="shared" si="24"/>
        <v>0</v>
      </c>
      <c r="S136">
        <f t="shared" si="25"/>
        <v>5</v>
      </c>
      <c r="T136" t="str">
        <f t="shared" si="26"/>
        <v>Apr-26</v>
      </c>
    </row>
    <row r="137" spans="1:20">
      <c r="A137" t="s">
        <v>297</v>
      </c>
      <c r="B137" t="s">
        <v>54</v>
      </c>
      <c r="C137" t="s">
        <v>16</v>
      </c>
      <c r="D137">
        <v>310</v>
      </c>
      <c r="E137" s="4">
        <v>46086</v>
      </c>
      <c r="F137" s="4">
        <v>46100</v>
      </c>
      <c r="G137" s="4">
        <v>46098</v>
      </c>
      <c r="H137">
        <v>307</v>
      </c>
      <c r="I137" t="s">
        <v>298</v>
      </c>
      <c r="J137">
        <v>0</v>
      </c>
      <c r="K137" t="s">
        <v>1563</v>
      </c>
      <c r="L137" t="str">
        <f t="shared" si="18"/>
        <v>Y</v>
      </c>
      <c r="M137" t="str">
        <f t="shared" si="19"/>
        <v>Y</v>
      </c>
      <c r="N137" t="str">
        <f t="shared" si="20"/>
        <v>Y</v>
      </c>
      <c r="O137">
        <f t="shared" si="21"/>
        <v>12</v>
      </c>
      <c r="P137" s="6">
        <f t="shared" si="22"/>
        <v>0.99032258064516132</v>
      </c>
      <c r="Q137" s="6">
        <f t="shared" si="23"/>
        <v>0</v>
      </c>
      <c r="R137">
        <f t="shared" si="24"/>
        <v>1</v>
      </c>
      <c r="S137">
        <f t="shared" si="25"/>
        <v>0</v>
      </c>
      <c r="T137" t="str">
        <f t="shared" si="26"/>
        <v>Mar-26</v>
      </c>
    </row>
    <row r="138" spans="1:20">
      <c r="A138" t="s">
        <v>299</v>
      </c>
      <c r="B138" t="s">
        <v>52</v>
      </c>
      <c r="C138" t="s">
        <v>16</v>
      </c>
      <c r="D138">
        <v>677</v>
      </c>
      <c r="E138" s="4">
        <v>46119</v>
      </c>
      <c r="F138" s="4">
        <v>46132</v>
      </c>
      <c r="G138" s="4">
        <v>46131</v>
      </c>
      <c r="H138">
        <v>574</v>
      </c>
      <c r="I138" t="s">
        <v>255</v>
      </c>
      <c r="J138">
        <v>9</v>
      </c>
      <c r="K138" t="s">
        <v>1563</v>
      </c>
      <c r="L138" t="str">
        <f t="shared" si="18"/>
        <v>Y</v>
      </c>
      <c r="M138" t="str">
        <f t="shared" si="19"/>
        <v>N</v>
      </c>
      <c r="N138" t="str">
        <f t="shared" si="20"/>
        <v>N</v>
      </c>
      <c r="O138">
        <f t="shared" si="21"/>
        <v>12</v>
      </c>
      <c r="P138" s="6">
        <f t="shared" si="22"/>
        <v>0.84785819793205319</v>
      </c>
      <c r="Q138" s="6">
        <f t="shared" si="23"/>
        <v>1.5679442508710801E-2</v>
      </c>
      <c r="R138">
        <f t="shared" si="24"/>
        <v>0</v>
      </c>
      <c r="S138">
        <f t="shared" si="25"/>
        <v>0</v>
      </c>
      <c r="T138" t="str">
        <f t="shared" si="26"/>
        <v>Apr-26</v>
      </c>
    </row>
    <row r="139" spans="1:20">
      <c r="A139" t="s">
        <v>300</v>
      </c>
      <c r="B139" t="s">
        <v>100</v>
      </c>
      <c r="C139" t="s">
        <v>16</v>
      </c>
      <c r="D139">
        <v>238</v>
      </c>
      <c r="E139" s="4">
        <v>46108</v>
      </c>
      <c r="F139" s="4">
        <v>46115</v>
      </c>
      <c r="G139" s="4">
        <v>46118</v>
      </c>
      <c r="H139">
        <v>234</v>
      </c>
      <c r="I139" t="s">
        <v>301</v>
      </c>
      <c r="J139">
        <v>1</v>
      </c>
      <c r="K139" t="s">
        <v>1563</v>
      </c>
      <c r="L139" t="str">
        <f t="shared" si="18"/>
        <v>N</v>
      </c>
      <c r="M139" t="str">
        <f t="shared" si="19"/>
        <v>Y</v>
      </c>
      <c r="N139" t="str">
        <f t="shared" si="20"/>
        <v>N</v>
      </c>
      <c r="O139">
        <f t="shared" si="21"/>
        <v>10</v>
      </c>
      <c r="P139" s="6">
        <f t="shared" si="22"/>
        <v>0.98319327731092432</v>
      </c>
      <c r="Q139" s="6">
        <f t="shared" si="23"/>
        <v>4.2735042735042739E-3</v>
      </c>
      <c r="R139">
        <f t="shared" si="24"/>
        <v>0</v>
      </c>
      <c r="S139">
        <f t="shared" si="25"/>
        <v>3</v>
      </c>
      <c r="T139" t="str">
        <f t="shared" si="26"/>
        <v>Apr-26</v>
      </c>
    </row>
    <row r="140" spans="1:20">
      <c r="A140" t="s">
        <v>302</v>
      </c>
      <c r="B140" t="s">
        <v>54</v>
      </c>
      <c r="C140" t="s">
        <v>23</v>
      </c>
      <c r="D140">
        <v>264</v>
      </c>
      <c r="E140" s="4">
        <v>46051</v>
      </c>
      <c r="F140" s="4">
        <v>46062</v>
      </c>
      <c r="G140" s="4">
        <v>46069</v>
      </c>
      <c r="H140">
        <v>261</v>
      </c>
      <c r="I140" t="s">
        <v>103</v>
      </c>
      <c r="J140">
        <v>4</v>
      </c>
      <c r="K140" t="s">
        <v>1563</v>
      </c>
      <c r="L140" t="str">
        <f t="shared" si="18"/>
        <v>N</v>
      </c>
      <c r="M140" t="str">
        <f t="shared" si="19"/>
        <v>Y</v>
      </c>
      <c r="N140" t="str">
        <f t="shared" si="20"/>
        <v>N</v>
      </c>
      <c r="O140">
        <f t="shared" si="21"/>
        <v>18</v>
      </c>
      <c r="P140" s="6">
        <f t="shared" si="22"/>
        <v>0.98863636363636365</v>
      </c>
      <c r="Q140" s="6">
        <f t="shared" si="23"/>
        <v>1.532567049808429E-2</v>
      </c>
      <c r="R140">
        <f t="shared" si="24"/>
        <v>0</v>
      </c>
      <c r="S140">
        <f t="shared" si="25"/>
        <v>7</v>
      </c>
      <c r="T140" t="str">
        <f t="shared" si="26"/>
        <v>Feb-26</v>
      </c>
    </row>
    <row r="141" spans="1:20">
      <c r="A141" t="s">
        <v>304</v>
      </c>
      <c r="B141" t="s">
        <v>22</v>
      </c>
      <c r="C141" t="s">
        <v>12</v>
      </c>
      <c r="D141">
        <v>912</v>
      </c>
      <c r="E141" s="4">
        <v>46175</v>
      </c>
      <c r="F141" s="4">
        <v>46188</v>
      </c>
      <c r="G141" s="4">
        <v>46194</v>
      </c>
      <c r="H141">
        <v>895</v>
      </c>
      <c r="I141" t="s">
        <v>305</v>
      </c>
      <c r="J141">
        <v>7</v>
      </c>
      <c r="K141" t="s">
        <v>1563</v>
      </c>
      <c r="L141" t="str">
        <f t="shared" si="18"/>
        <v>N</v>
      </c>
      <c r="M141" t="str">
        <f t="shared" si="19"/>
        <v>Y</v>
      </c>
      <c r="N141" t="str">
        <f t="shared" si="20"/>
        <v>N</v>
      </c>
      <c r="O141">
        <f t="shared" si="21"/>
        <v>19</v>
      </c>
      <c r="P141" s="6">
        <f t="shared" si="22"/>
        <v>0.98135964912280704</v>
      </c>
      <c r="Q141" s="6">
        <f t="shared" si="23"/>
        <v>7.82122905027933E-3</v>
      </c>
      <c r="R141">
        <f t="shared" si="24"/>
        <v>0</v>
      </c>
      <c r="S141">
        <f t="shared" si="25"/>
        <v>6</v>
      </c>
      <c r="T141" t="str">
        <f t="shared" si="26"/>
        <v>Jun-26</v>
      </c>
    </row>
    <row r="142" spans="1:20">
      <c r="A142" t="s">
        <v>306</v>
      </c>
      <c r="B142" t="s">
        <v>70</v>
      </c>
      <c r="C142" t="s">
        <v>12</v>
      </c>
      <c r="D142">
        <v>798</v>
      </c>
      <c r="E142" s="4">
        <v>46139</v>
      </c>
      <c r="F142" s="4">
        <v>46152</v>
      </c>
      <c r="G142" s="4">
        <v>46149</v>
      </c>
      <c r="H142">
        <v>795</v>
      </c>
      <c r="I142" t="s">
        <v>307</v>
      </c>
      <c r="J142">
        <v>3</v>
      </c>
      <c r="K142" t="s">
        <v>1563</v>
      </c>
      <c r="L142" t="str">
        <f t="shared" si="18"/>
        <v>Y</v>
      </c>
      <c r="M142" t="str">
        <f t="shared" si="19"/>
        <v>Y</v>
      </c>
      <c r="N142" t="str">
        <f t="shared" si="20"/>
        <v>Y</v>
      </c>
      <c r="O142">
        <f t="shared" si="21"/>
        <v>10</v>
      </c>
      <c r="P142" s="6">
        <f t="shared" si="22"/>
        <v>0.99624060150375937</v>
      </c>
      <c r="Q142" s="6">
        <f t="shared" si="23"/>
        <v>3.7735849056603774E-3</v>
      </c>
      <c r="R142">
        <f t="shared" si="24"/>
        <v>1</v>
      </c>
      <c r="S142">
        <f t="shared" si="25"/>
        <v>0</v>
      </c>
      <c r="T142" t="str">
        <f t="shared" si="26"/>
        <v>May-26</v>
      </c>
    </row>
    <row r="143" spans="1:20">
      <c r="A143" t="s">
        <v>308</v>
      </c>
      <c r="B143" t="s">
        <v>54</v>
      </c>
      <c r="C143" t="s">
        <v>16</v>
      </c>
      <c r="D143">
        <v>249</v>
      </c>
      <c r="E143" s="4">
        <v>46094</v>
      </c>
      <c r="F143" s="4">
        <v>46100</v>
      </c>
      <c r="G143" s="4">
        <v>46100</v>
      </c>
      <c r="H143">
        <v>253</v>
      </c>
      <c r="I143" t="s">
        <v>242</v>
      </c>
      <c r="J143">
        <v>2</v>
      </c>
      <c r="K143" t="s">
        <v>1563</v>
      </c>
      <c r="L143" t="str">
        <f t="shared" si="18"/>
        <v>Y</v>
      </c>
      <c r="M143" t="str">
        <f t="shared" si="19"/>
        <v>Y</v>
      </c>
      <c r="N143" t="str">
        <f t="shared" si="20"/>
        <v>Y</v>
      </c>
      <c r="O143">
        <f t="shared" si="21"/>
        <v>6</v>
      </c>
      <c r="P143" s="6">
        <f t="shared" si="22"/>
        <v>1.0160642570281124</v>
      </c>
      <c r="Q143" s="6">
        <f t="shared" si="23"/>
        <v>7.9051383399209481E-3</v>
      </c>
      <c r="R143">
        <f t="shared" si="24"/>
        <v>1</v>
      </c>
      <c r="S143">
        <f t="shared" si="25"/>
        <v>0</v>
      </c>
      <c r="T143" t="str">
        <f t="shared" si="26"/>
        <v>Mar-26</v>
      </c>
    </row>
    <row r="144" spans="1:20">
      <c r="A144" t="s">
        <v>309</v>
      </c>
      <c r="B144" t="s">
        <v>26</v>
      </c>
      <c r="C144" t="s">
        <v>12</v>
      </c>
      <c r="D144">
        <v>684</v>
      </c>
      <c r="E144" s="4">
        <v>46144</v>
      </c>
      <c r="F144" s="4">
        <v>46158</v>
      </c>
      <c r="G144" s="4">
        <v>46156</v>
      </c>
      <c r="H144">
        <v>599</v>
      </c>
      <c r="I144" t="s">
        <v>310</v>
      </c>
      <c r="J144">
        <v>12</v>
      </c>
      <c r="K144" t="s">
        <v>1563</v>
      </c>
      <c r="L144" t="str">
        <f t="shared" si="18"/>
        <v>Y</v>
      </c>
      <c r="M144" t="str">
        <f t="shared" si="19"/>
        <v>N</v>
      </c>
      <c r="N144" t="str">
        <f t="shared" si="20"/>
        <v>N</v>
      </c>
      <c r="O144">
        <f t="shared" si="21"/>
        <v>12</v>
      </c>
      <c r="P144" s="6">
        <f t="shared" si="22"/>
        <v>0.8757309941520468</v>
      </c>
      <c r="Q144" s="6">
        <f t="shared" si="23"/>
        <v>2.003338898163606E-2</v>
      </c>
      <c r="R144">
        <f t="shared" si="24"/>
        <v>0</v>
      </c>
      <c r="S144">
        <f t="shared" si="25"/>
        <v>0</v>
      </c>
      <c r="T144" t="str">
        <f t="shared" si="26"/>
        <v>May-26</v>
      </c>
    </row>
    <row r="145" spans="1:20">
      <c r="A145" t="s">
        <v>311</v>
      </c>
      <c r="B145" t="s">
        <v>120</v>
      </c>
      <c r="C145" t="s">
        <v>12</v>
      </c>
      <c r="D145">
        <v>678</v>
      </c>
      <c r="E145" s="4">
        <v>46055</v>
      </c>
      <c r="F145" s="4">
        <v>46064</v>
      </c>
      <c r="G145" s="4">
        <v>46062</v>
      </c>
      <c r="H145">
        <v>599</v>
      </c>
      <c r="I145" t="s">
        <v>312</v>
      </c>
      <c r="J145">
        <v>16</v>
      </c>
      <c r="K145" t="s">
        <v>1563</v>
      </c>
      <c r="L145" t="str">
        <f t="shared" si="18"/>
        <v>Y</v>
      </c>
      <c r="M145" t="str">
        <f t="shared" si="19"/>
        <v>N</v>
      </c>
      <c r="N145" t="str">
        <f t="shared" si="20"/>
        <v>N</v>
      </c>
      <c r="O145">
        <f t="shared" si="21"/>
        <v>7</v>
      </c>
      <c r="P145" s="6">
        <f t="shared" si="22"/>
        <v>0.88348082595870203</v>
      </c>
      <c r="Q145" s="6">
        <f t="shared" si="23"/>
        <v>2.6711185308848081E-2</v>
      </c>
      <c r="R145">
        <f t="shared" si="24"/>
        <v>0</v>
      </c>
      <c r="S145">
        <f t="shared" si="25"/>
        <v>0</v>
      </c>
      <c r="T145" t="str">
        <f t="shared" si="26"/>
        <v>Feb-26</v>
      </c>
    </row>
    <row r="146" spans="1:20">
      <c r="A146" t="s">
        <v>313</v>
      </c>
      <c r="B146" t="s">
        <v>35</v>
      </c>
      <c r="C146" t="s">
        <v>23</v>
      </c>
      <c r="D146">
        <v>572</v>
      </c>
      <c r="E146" s="4">
        <v>46117</v>
      </c>
      <c r="F146" s="4">
        <v>46131</v>
      </c>
      <c r="G146" s="4">
        <v>46138</v>
      </c>
      <c r="H146">
        <v>483</v>
      </c>
      <c r="I146" t="s">
        <v>314</v>
      </c>
      <c r="J146">
        <v>12</v>
      </c>
      <c r="K146" t="s">
        <v>1563</v>
      </c>
      <c r="L146" t="str">
        <f t="shared" si="18"/>
        <v>N</v>
      </c>
      <c r="M146" t="str">
        <f t="shared" si="19"/>
        <v>N</v>
      </c>
      <c r="N146" t="str">
        <f t="shared" si="20"/>
        <v>N</v>
      </c>
      <c r="O146">
        <f t="shared" si="21"/>
        <v>21</v>
      </c>
      <c r="P146" s="6">
        <f t="shared" si="22"/>
        <v>0.84440559440559437</v>
      </c>
      <c r="Q146" s="6">
        <f t="shared" si="23"/>
        <v>2.4844720496894408E-2</v>
      </c>
      <c r="R146">
        <f t="shared" si="24"/>
        <v>0</v>
      </c>
      <c r="S146">
        <f t="shared" si="25"/>
        <v>7</v>
      </c>
      <c r="T146" t="str">
        <f t="shared" si="26"/>
        <v>Apr-26</v>
      </c>
    </row>
    <row r="147" spans="1:20">
      <c r="A147" t="s">
        <v>315</v>
      </c>
      <c r="B147" t="s">
        <v>52</v>
      </c>
      <c r="C147" t="s">
        <v>16</v>
      </c>
      <c r="D147">
        <v>250</v>
      </c>
      <c r="E147" s="4">
        <v>46149</v>
      </c>
      <c r="F147" s="4">
        <v>46159</v>
      </c>
      <c r="G147" s="4">
        <v>46158</v>
      </c>
      <c r="H147">
        <v>247</v>
      </c>
      <c r="I147" t="s">
        <v>316</v>
      </c>
      <c r="J147">
        <v>1</v>
      </c>
      <c r="K147" t="s">
        <v>1563</v>
      </c>
      <c r="L147" t="str">
        <f t="shared" si="18"/>
        <v>Y</v>
      </c>
      <c r="M147" t="str">
        <f t="shared" si="19"/>
        <v>Y</v>
      </c>
      <c r="N147" t="str">
        <f t="shared" si="20"/>
        <v>Y</v>
      </c>
      <c r="O147">
        <f t="shared" si="21"/>
        <v>9</v>
      </c>
      <c r="P147" s="6">
        <f t="shared" si="22"/>
        <v>0.98799999999999999</v>
      </c>
      <c r="Q147" s="6">
        <f t="shared" si="23"/>
        <v>4.048582995951417E-3</v>
      </c>
      <c r="R147">
        <f t="shared" si="24"/>
        <v>1</v>
      </c>
      <c r="S147">
        <f t="shared" si="25"/>
        <v>0</v>
      </c>
      <c r="T147" t="str">
        <f t="shared" si="26"/>
        <v>May-26</v>
      </c>
    </row>
    <row r="148" spans="1:20">
      <c r="A148" t="s">
        <v>317</v>
      </c>
      <c r="B148" t="s">
        <v>52</v>
      </c>
      <c r="C148" t="s">
        <v>16</v>
      </c>
      <c r="D148">
        <v>663</v>
      </c>
      <c r="E148" s="4">
        <v>46147</v>
      </c>
      <c r="F148" s="4">
        <v>46161</v>
      </c>
      <c r="G148" s="4">
        <v>46158</v>
      </c>
      <c r="H148">
        <v>618</v>
      </c>
      <c r="I148" t="s">
        <v>318</v>
      </c>
      <c r="J148">
        <v>5</v>
      </c>
      <c r="K148" t="s">
        <v>1563</v>
      </c>
      <c r="L148" t="str">
        <f t="shared" si="18"/>
        <v>Y</v>
      </c>
      <c r="M148" t="str">
        <f t="shared" si="19"/>
        <v>N</v>
      </c>
      <c r="N148" t="str">
        <f t="shared" si="20"/>
        <v>N</v>
      </c>
      <c r="O148">
        <f t="shared" si="21"/>
        <v>11</v>
      </c>
      <c r="P148" s="6">
        <f t="shared" si="22"/>
        <v>0.9321266968325792</v>
      </c>
      <c r="Q148" s="6">
        <f t="shared" si="23"/>
        <v>8.0906148867313909E-3</v>
      </c>
      <c r="R148">
        <f t="shared" si="24"/>
        <v>0</v>
      </c>
      <c r="S148">
        <f t="shared" si="25"/>
        <v>0</v>
      </c>
      <c r="T148" t="str">
        <f t="shared" si="26"/>
        <v>May-26</v>
      </c>
    </row>
    <row r="149" spans="1:20">
      <c r="A149" t="s">
        <v>319</v>
      </c>
      <c r="B149" t="s">
        <v>32</v>
      </c>
      <c r="C149" t="s">
        <v>16</v>
      </c>
      <c r="D149">
        <v>728</v>
      </c>
      <c r="E149" s="4">
        <v>46141</v>
      </c>
      <c r="F149" s="4">
        <v>46155</v>
      </c>
      <c r="G149" s="4">
        <v>46155</v>
      </c>
      <c r="H149">
        <v>724</v>
      </c>
      <c r="I149" t="s">
        <v>320</v>
      </c>
      <c r="J149">
        <v>34</v>
      </c>
      <c r="K149" t="s">
        <v>1563</v>
      </c>
      <c r="L149" t="str">
        <f t="shared" si="18"/>
        <v>Y</v>
      </c>
      <c r="M149" t="str">
        <f t="shared" si="19"/>
        <v>Y</v>
      </c>
      <c r="N149" t="str">
        <f t="shared" si="20"/>
        <v>Y</v>
      </c>
      <c r="O149">
        <f t="shared" si="21"/>
        <v>14</v>
      </c>
      <c r="P149" s="6">
        <f t="shared" si="22"/>
        <v>0.99450549450549453</v>
      </c>
      <c r="Q149" s="6">
        <f t="shared" si="23"/>
        <v>4.6961325966850827E-2</v>
      </c>
      <c r="R149">
        <f t="shared" si="24"/>
        <v>1</v>
      </c>
      <c r="S149">
        <f t="shared" si="25"/>
        <v>0</v>
      </c>
      <c r="T149" t="str">
        <f t="shared" si="26"/>
        <v>May-26</v>
      </c>
    </row>
    <row r="150" spans="1:20">
      <c r="A150" t="s">
        <v>321</v>
      </c>
      <c r="B150" t="s">
        <v>35</v>
      </c>
      <c r="C150" t="s">
        <v>23</v>
      </c>
      <c r="D150">
        <v>842</v>
      </c>
      <c r="E150" s="4">
        <v>46107</v>
      </c>
      <c r="F150" s="4">
        <v>46113</v>
      </c>
      <c r="G150" s="4">
        <v>46122</v>
      </c>
      <c r="H150">
        <v>836</v>
      </c>
      <c r="I150" t="s">
        <v>323</v>
      </c>
      <c r="J150">
        <v>53</v>
      </c>
      <c r="K150" t="s">
        <v>1563</v>
      </c>
      <c r="L150" t="str">
        <f t="shared" si="18"/>
        <v>N</v>
      </c>
      <c r="M150" t="str">
        <f t="shared" si="19"/>
        <v>Y</v>
      </c>
      <c r="N150" t="str">
        <f t="shared" si="20"/>
        <v>N</v>
      </c>
      <c r="O150">
        <f t="shared" si="21"/>
        <v>15</v>
      </c>
      <c r="P150" s="6">
        <f t="shared" si="22"/>
        <v>0.99287410926365793</v>
      </c>
      <c r="Q150" s="6">
        <f t="shared" si="23"/>
        <v>6.3397129186602869E-2</v>
      </c>
      <c r="R150">
        <f t="shared" si="24"/>
        <v>0</v>
      </c>
      <c r="S150">
        <f t="shared" si="25"/>
        <v>9</v>
      </c>
      <c r="T150" t="str">
        <f t="shared" si="26"/>
        <v>Apr-26</v>
      </c>
    </row>
    <row r="151" spans="1:20">
      <c r="A151" t="s">
        <v>324</v>
      </c>
      <c r="B151" t="s">
        <v>177</v>
      </c>
      <c r="C151" t="s">
        <v>16</v>
      </c>
      <c r="D151">
        <v>605</v>
      </c>
      <c r="E151" s="4">
        <v>46156</v>
      </c>
      <c r="F151" s="4">
        <v>46170</v>
      </c>
      <c r="G151" s="4">
        <v>46173</v>
      </c>
      <c r="H151">
        <v>615</v>
      </c>
      <c r="I151" t="s">
        <v>283</v>
      </c>
      <c r="J151">
        <v>17</v>
      </c>
      <c r="K151" t="s">
        <v>1563</v>
      </c>
      <c r="L151" t="str">
        <f t="shared" si="18"/>
        <v>N</v>
      </c>
      <c r="M151" t="str">
        <f t="shared" si="19"/>
        <v>Y</v>
      </c>
      <c r="N151" t="str">
        <f t="shared" si="20"/>
        <v>N</v>
      </c>
      <c r="O151">
        <f t="shared" si="21"/>
        <v>17</v>
      </c>
      <c r="P151" s="6">
        <f t="shared" si="22"/>
        <v>1.0165289256198347</v>
      </c>
      <c r="Q151" s="6">
        <f t="shared" si="23"/>
        <v>2.7642276422764227E-2</v>
      </c>
      <c r="R151">
        <f t="shared" si="24"/>
        <v>0</v>
      </c>
      <c r="S151">
        <f t="shared" si="25"/>
        <v>3</v>
      </c>
      <c r="T151" t="str">
        <f t="shared" si="26"/>
        <v>May-26</v>
      </c>
    </row>
    <row r="152" spans="1:20">
      <c r="A152" t="s">
        <v>326</v>
      </c>
      <c r="B152" t="s">
        <v>100</v>
      </c>
      <c r="C152" t="s">
        <v>16</v>
      </c>
      <c r="D152">
        <v>316</v>
      </c>
      <c r="E152" s="4">
        <v>46057</v>
      </c>
      <c r="F152" s="4">
        <v>46072</v>
      </c>
      <c r="G152" s="4">
        <v>46070</v>
      </c>
      <c r="H152">
        <v>311</v>
      </c>
      <c r="I152" t="s">
        <v>209</v>
      </c>
      <c r="J152">
        <v>8</v>
      </c>
      <c r="K152" t="s">
        <v>1563</v>
      </c>
      <c r="L152" t="str">
        <f t="shared" si="18"/>
        <v>Y</v>
      </c>
      <c r="M152" t="str">
        <f t="shared" si="19"/>
        <v>Y</v>
      </c>
      <c r="N152" t="str">
        <f t="shared" si="20"/>
        <v>Y</v>
      </c>
      <c r="O152">
        <f t="shared" si="21"/>
        <v>13</v>
      </c>
      <c r="P152" s="6">
        <f t="shared" si="22"/>
        <v>0.98417721518987344</v>
      </c>
      <c r="Q152" s="6">
        <f t="shared" si="23"/>
        <v>2.5723472668810289E-2</v>
      </c>
      <c r="R152">
        <f t="shared" si="24"/>
        <v>1</v>
      </c>
      <c r="S152">
        <f t="shared" si="25"/>
        <v>0</v>
      </c>
      <c r="T152" t="str">
        <f t="shared" si="26"/>
        <v>Feb-26</v>
      </c>
    </row>
    <row r="153" spans="1:20">
      <c r="A153" t="s">
        <v>328</v>
      </c>
      <c r="B153" t="s">
        <v>35</v>
      </c>
      <c r="C153" t="s">
        <v>12</v>
      </c>
      <c r="D153">
        <v>238</v>
      </c>
      <c r="E153" s="4">
        <v>46115</v>
      </c>
      <c r="F153" s="4">
        <v>46122</v>
      </c>
      <c r="G153" s="4">
        <v>46131</v>
      </c>
      <c r="H153">
        <v>240</v>
      </c>
      <c r="I153" t="s">
        <v>330</v>
      </c>
      <c r="J153">
        <v>5</v>
      </c>
      <c r="K153" t="s">
        <v>1563</v>
      </c>
      <c r="L153" t="str">
        <f t="shared" si="18"/>
        <v>N</v>
      </c>
      <c r="M153" t="str">
        <f t="shared" si="19"/>
        <v>Y</v>
      </c>
      <c r="N153" t="str">
        <f t="shared" si="20"/>
        <v>N</v>
      </c>
      <c r="O153">
        <f t="shared" si="21"/>
        <v>16</v>
      </c>
      <c r="P153" s="6">
        <f t="shared" si="22"/>
        <v>1.0084033613445378</v>
      </c>
      <c r="Q153" s="6">
        <f t="shared" si="23"/>
        <v>2.0833333333333332E-2</v>
      </c>
      <c r="R153">
        <f t="shared" si="24"/>
        <v>0</v>
      </c>
      <c r="S153">
        <f t="shared" si="25"/>
        <v>9</v>
      </c>
      <c r="T153" t="str">
        <f t="shared" si="26"/>
        <v>Apr-26</v>
      </c>
    </row>
    <row r="154" spans="1:20">
      <c r="A154" t="s">
        <v>331</v>
      </c>
      <c r="B154" t="s">
        <v>22</v>
      </c>
      <c r="C154" t="s">
        <v>23</v>
      </c>
      <c r="D154">
        <v>585</v>
      </c>
      <c r="E154" s="4">
        <v>46096</v>
      </c>
      <c r="F154" s="4">
        <v>46106</v>
      </c>
      <c r="G154" s="4">
        <v>46104</v>
      </c>
      <c r="H154">
        <v>554</v>
      </c>
      <c r="I154" t="s">
        <v>332</v>
      </c>
      <c r="J154">
        <v>13</v>
      </c>
      <c r="K154" t="s">
        <v>1563</v>
      </c>
      <c r="L154" t="str">
        <f t="shared" si="18"/>
        <v>Y</v>
      </c>
      <c r="M154" t="str">
        <f t="shared" si="19"/>
        <v>N</v>
      </c>
      <c r="N154" t="str">
        <f t="shared" si="20"/>
        <v>N</v>
      </c>
      <c r="O154">
        <f t="shared" si="21"/>
        <v>8</v>
      </c>
      <c r="P154" s="6">
        <f t="shared" si="22"/>
        <v>0.94700854700854697</v>
      </c>
      <c r="Q154" s="6">
        <f t="shared" si="23"/>
        <v>2.3465703971119134E-2</v>
      </c>
      <c r="R154">
        <f t="shared" si="24"/>
        <v>0</v>
      </c>
      <c r="S154">
        <f t="shared" si="25"/>
        <v>0</v>
      </c>
      <c r="T154" t="str">
        <f t="shared" si="26"/>
        <v>Mar-26</v>
      </c>
    </row>
    <row r="155" spans="1:20">
      <c r="A155" t="s">
        <v>333</v>
      </c>
      <c r="B155" t="s">
        <v>32</v>
      </c>
      <c r="C155" t="s">
        <v>23</v>
      </c>
      <c r="D155">
        <v>162</v>
      </c>
      <c r="E155" s="4">
        <v>46050</v>
      </c>
      <c r="F155" s="4">
        <v>46061</v>
      </c>
      <c r="G155" s="4">
        <v>46058</v>
      </c>
      <c r="H155">
        <v>141</v>
      </c>
      <c r="I155" t="s">
        <v>262</v>
      </c>
      <c r="J155">
        <v>4</v>
      </c>
      <c r="K155" t="s">
        <v>1563</v>
      </c>
      <c r="L155" t="str">
        <f t="shared" si="18"/>
        <v>Y</v>
      </c>
      <c r="M155" t="str">
        <f t="shared" si="19"/>
        <v>N</v>
      </c>
      <c r="N155" t="str">
        <f t="shared" si="20"/>
        <v>N</v>
      </c>
      <c r="O155">
        <f t="shared" si="21"/>
        <v>8</v>
      </c>
      <c r="P155" s="6">
        <f t="shared" si="22"/>
        <v>0.87037037037037035</v>
      </c>
      <c r="Q155" s="6">
        <f t="shared" si="23"/>
        <v>2.8368794326241134E-2</v>
      </c>
      <c r="R155">
        <f t="shared" si="24"/>
        <v>0</v>
      </c>
      <c r="S155">
        <f t="shared" si="25"/>
        <v>0</v>
      </c>
      <c r="T155" t="str">
        <f t="shared" si="26"/>
        <v>Feb-26</v>
      </c>
    </row>
    <row r="156" spans="1:20">
      <c r="A156" t="s">
        <v>334</v>
      </c>
      <c r="B156" t="s">
        <v>177</v>
      </c>
      <c r="C156" t="s">
        <v>23</v>
      </c>
      <c r="D156">
        <v>999</v>
      </c>
      <c r="E156" s="4">
        <v>46060</v>
      </c>
      <c r="F156" s="4">
        <v>46065</v>
      </c>
      <c r="G156" s="4">
        <v>46063</v>
      </c>
      <c r="H156">
        <v>1005</v>
      </c>
      <c r="I156" t="s">
        <v>219</v>
      </c>
      <c r="J156">
        <v>22</v>
      </c>
      <c r="K156" t="s">
        <v>1563</v>
      </c>
      <c r="L156" t="str">
        <f t="shared" si="18"/>
        <v>Y</v>
      </c>
      <c r="M156" t="str">
        <f t="shared" si="19"/>
        <v>Y</v>
      </c>
      <c r="N156" t="str">
        <f t="shared" si="20"/>
        <v>Y</v>
      </c>
      <c r="O156">
        <f t="shared" si="21"/>
        <v>3</v>
      </c>
      <c r="P156" s="6">
        <f t="shared" si="22"/>
        <v>1.0060060060060061</v>
      </c>
      <c r="Q156" s="6">
        <f t="shared" si="23"/>
        <v>2.1890547263681594E-2</v>
      </c>
      <c r="R156">
        <f t="shared" si="24"/>
        <v>1</v>
      </c>
      <c r="S156">
        <f t="shared" si="25"/>
        <v>0</v>
      </c>
      <c r="T156" t="str">
        <f t="shared" si="26"/>
        <v>Feb-26</v>
      </c>
    </row>
    <row r="157" spans="1:20">
      <c r="A157" t="s">
        <v>335</v>
      </c>
      <c r="B157" t="s">
        <v>32</v>
      </c>
      <c r="C157" t="s">
        <v>12</v>
      </c>
      <c r="D157">
        <v>594</v>
      </c>
      <c r="E157" s="4">
        <v>46037</v>
      </c>
      <c r="F157" s="4">
        <v>46052</v>
      </c>
      <c r="G157" s="4">
        <v>46052</v>
      </c>
      <c r="H157">
        <v>598</v>
      </c>
      <c r="I157" t="s">
        <v>336</v>
      </c>
      <c r="J157">
        <v>5</v>
      </c>
      <c r="K157" t="s">
        <v>1563</v>
      </c>
      <c r="L157" t="str">
        <f t="shared" si="18"/>
        <v>Y</v>
      </c>
      <c r="M157" t="str">
        <f t="shared" si="19"/>
        <v>Y</v>
      </c>
      <c r="N157" t="str">
        <f t="shared" si="20"/>
        <v>Y</v>
      </c>
      <c r="O157">
        <f t="shared" si="21"/>
        <v>15</v>
      </c>
      <c r="P157" s="6">
        <f t="shared" si="22"/>
        <v>1.0067340067340067</v>
      </c>
      <c r="Q157" s="6">
        <f t="shared" si="23"/>
        <v>8.3612040133779261E-3</v>
      </c>
      <c r="R157">
        <f t="shared" si="24"/>
        <v>1</v>
      </c>
      <c r="S157">
        <f t="shared" si="25"/>
        <v>0</v>
      </c>
      <c r="T157" t="str">
        <f t="shared" si="26"/>
        <v>Jan-26</v>
      </c>
    </row>
    <row r="158" spans="1:20">
      <c r="A158" t="s">
        <v>337</v>
      </c>
      <c r="B158" t="s">
        <v>46</v>
      </c>
      <c r="C158" t="s">
        <v>12</v>
      </c>
      <c r="D158">
        <v>765</v>
      </c>
      <c r="E158" s="4">
        <v>46114</v>
      </c>
      <c r="F158" s="4">
        <v>46121</v>
      </c>
      <c r="G158" s="4">
        <v>46120</v>
      </c>
      <c r="H158">
        <v>656</v>
      </c>
      <c r="I158" t="s">
        <v>339</v>
      </c>
      <c r="J158">
        <v>51</v>
      </c>
      <c r="K158" t="s">
        <v>1563</v>
      </c>
      <c r="L158" t="str">
        <f t="shared" si="18"/>
        <v>Y</v>
      </c>
      <c r="M158" t="str">
        <f t="shared" si="19"/>
        <v>N</v>
      </c>
      <c r="N158" t="str">
        <f t="shared" si="20"/>
        <v>N</v>
      </c>
      <c r="O158">
        <f t="shared" si="21"/>
        <v>6</v>
      </c>
      <c r="P158" s="6">
        <f t="shared" si="22"/>
        <v>0.857516339869281</v>
      </c>
      <c r="Q158" s="6">
        <f t="shared" si="23"/>
        <v>7.774390243902439E-2</v>
      </c>
      <c r="R158">
        <f t="shared" si="24"/>
        <v>0</v>
      </c>
      <c r="S158">
        <f t="shared" si="25"/>
        <v>0</v>
      </c>
      <c r="T158" t="str">
        <f t="shared" si="26"/>
        <v>Apr-26</v>
      </c>
    </row>
    <row r="159" spans="1:20">
      <c r="A159" t="s">
        <v>340</v>
      </c>
      <c r="B159" t="s">
        <v>22</v>
      </c>
      <c r="C159" t="s">
        <v>12</v>
      </c>
      <c r="D159">
        <v>387</v>
      </c>
      <c r="E159" s="4">
        <v>46165</v>
      </c>
      <c r="F159" s="4">
        <v>46174</v>
      </c>
      <c r="G159" s="4">
        <v>46179</v>
      </c>
      <c r="H159">
        <v>382</v>
      </c>
      <c r="I159" t="s">
        <v>341</v>
      </c>
      <c r="J159">
        <v>11</v>
      </c>
      <c r="K159" t="s">
        <v>1563</v>
      </c>
      <c r="L159" t="str">
        <f t="shared" si="18"/>
        <v>N</v>
      </c>
      <c r="M159" t="str">
        <f t="shared" si="19"/>
        <v>Y</v>
      </c>
      <c r="N159" t="str">
        <f t="shared" si="20"/>
        <v>N</v>
      </c>
      <c r="O159">
        <f t="shared" si="21"/>
        <v>14</v>
      </c>
      <c r="P159" s="6">
        <f t="shared" si="22"/>
        <v>0.98708010335917318</v>
      </c>
      <c r="Q159" s="6">
        <f t="shared" si="23"/>
        <v>2.8795811518324606E-2</v>
      </c>
      <c r="R159">
        <f t="shared" si="24"/>
        <v>0</v>
      </c>
      <c r="S159">
        <f t="shared" si="25"/>
        <v>5</v>
      </c>
      <c r="T159" t="str">
        <f t="shared" si="26"/>
        <v>Jun-26</v>
      </c>
    </row>
    <row r="160" spans="1:20">
      <c r="A160" t="s">
        <v>342</v>
      </c>
      <c r="B160" t="s">
        <v>49</v>
      </c>
      <c r="C160" t="s">
        <v>23</v>
      </c>
      <c r="D160">
        <v>659</v>
      </c>
      <c r="E160" s="4">
        <v>46072</v>
      </c>
      <c r="F160" s="4">
        <v>46079</v>
      </c>
      <c r="G160" s="4">
        <v>46077</v>
      </c>
      <c r="H160">
        <v>666</v>
      </c>
      <c r="I160" t="s">
        <v>343</v>
      </c>
      <c r="J160">
        <v>3</v>
      </c>
      <c r="K160" t="s">
        <v>1563</v>
      </c>
      <c r="L160" t="str">
        <f t="shared" si="18"/>
        <v>Y</v>
      </c>
      <c r="M160" t="str">
        <f t="shared" si="19"/>
        <v>Y</v>
      </c>
      <c r="N160" t="str">
        <f t="shared" si="20"/>
        <v>Y</v>
      </c>
      <c r="O160">
        <f t="shared" si="21"/>
        <v>5</v>
      </c>
      <c r="P160" s="6">
        <f t="shared" si="22"/>
        <v>1.0106221547799696</v>
      </c>
      <c r="Q160" s="6">
        <f t="shared" si="23"/>
        <v>4.5045045045045045E-3</v>
      </c>
      <c r="R160">
        <f t="shared" si="24"/>
        <v>1</v>
      </c>
      <c r="S160">
        <f t="shared" si="25"/>
        <v>0</v>
      </c>
      <c r="T160" t="str">
        <f t="shared" si="26"/>
        <v>Feb-26</v>
      </c>
    </row>
    <row r="161" spans="1:20">
      <c r="A161" t="s">
        <v>344</v>
      </c>
      <c r="B161" t="s">
        <v>35</v>
      </c>
      <c r="C161" t="s">
        <v>23</v>
      </c>
      <c r="D161">
        <v>957</v>
      </c>
      <c r="E161" s="4">
        <v>46153</v>
      </c>
      <c r="F161" s="4">
        <v>46161</v>
      </c>
      <c r="G161" s="4">
        <v>46160</v>
      </c>
      <c r="H161">
        <v>971</v>
      </c>
      <c r="I161" t="s">
        <v>61</v>
      </c>
      <c r="J161">
        <v>56</v>
      </c>
      <c r="K161" t="s">
        <v>1563</v>
      </c>
      <c r="L161" t="str">
        <f t="shared" si="18"/>
        <v>Y</v>
      </c>
      <c r="M161" t="str">
        <f t="shared" si="19"/>
        <v>Y</v>
      </c>
      <c r="N161" t="str">
        <f t="shared" si="20"/>
        <v>Y</v>
      </c>
      <c r="O161">
        <f t="shared" si="21"/>
        <v>7</v>
      </c>
      <c r="P161" s="6">
        <f t="shared" si="22"/>
        <v>1.0146290491118077</v>
      </c>
      <c r="Q161" s="6">
        <f t="shared" si="23"/>
        <v>5.7672502574665295E-2</v>
      </c>
      <c r="R161">
        <f t="shared" si="24"/>
        <v>1</v>
      </c>
      <c r="S161">
        <f t="shared" si="25"/>
        <v>0</v>
      </c>
      <c r="T161" t="str">
        <f t="shared" si="26"/>
        <v>May-26</v>
      </c>
    </row>
    <row r="162" spans="1:20">
      <c r="A162" t="s">
        <v>345</v>
      </c>
      <c r="B162" t="s">
        <v>29</v>
      </c>
      <c r="C162" t="s">
        <v>12</v>
      </c>
      <c r="D162">
        <v>882</v>
      </c>
      <c r="E162" s="4">
        <v>46121</v>
      </c>
      <c r="F162" s="4">
        <v>46126</v>
      </c>
      <c r="G162" s="4">
        <v>46131</v>
      </c>
      <c r="H162">
        <v>884</v>
      </c>
      <c r="I162" t="s">
        <v>339</v>
      </c>
      <c r="J162">
        <v>4</v>
      </c>
      <c r="K162" t="s">
        <v>1563</v>
      </c>
      <c r="L162" t="str">
        <f t="shared" si="18"/>
        <v>N</v>
      </c>
      <c r="M162" t="str">
        <f t="shared" si="19"/>
        <v>Y</v>
      </c>
      <c r="N162" t="str">
        <f t="shared" si="20"/>
        <v>N</v>
      </c>
      <c r="O162">
        <f t="shared" si="21"/>
        <v>10</v>
      </c>
      <c r="P162" s="6">
        <f t="shared" si="22"/>
        <v>1.0022675736961451</v>
      </c>
      <c r="Q162" s="6">
        <f t="shared" si="23"/>
        <v>4.5248868778280547E-3</v>
      </c>
      <c r="R162">
        <f t="shared" si="24"/>
        <v>0</v>
      </c>
      <c r="S162">
        <f t="shared" si="25"/>
        <v>5</v>
      </c>
      <c r="T162" t="str">
        <f t="shared" si="26"/>
        <v>Apr-26</v>
      </c>
    </row>
    <row r="163" spans="1:20">
      <c r="A163" t="s">
        <v>346</v>
      </c>
      <c r="B163" t="s">
        <v>40</v>
      </c>
      <c r="C163" t="s">
        <v>23</v>
      </c>
      <c r="D163">
        <v>494</v>
      </c>
      <c r="E163" s="4">
        <v>46061</v>
      </c>
      <c r="F163" s="4">
        <v>46069</v>
      </c>
      <c r="G163" s="4">
        <v>46068</v>
      </c>
      <c r="H163">
        <v>486</v>
      </c>
      <c r="I163" t="s">
        <v>347</v>
      </c>
      <c r="J163">
        <v>13</v>
      </c>
      <c r="K163" t="s">
        <v>1563</v>
      </c>
      <c r="L163" t="str">
        <f t="shared" si="18"/>
        <v>Y</v>
      </c>
      <c r="M163" t="str">
        <f t="shared" si="19"/>
        <v>Y</v>
      </c>
      <c r="N163" t="str">
        <f t="shared" si="20"/>
        <v>Y</v>
      </c>
      <c r="O163">
        <f t="shared" si="21"/>
        <v>7</v>
      </c>
      <c r="P163" s="6">
        <f t="shared" si="22"/>
        <v>0.98380566801619429</v>
      </c>
      <c r="Q163" s="6">
        <f t="shared" si="23"/>
        <v>2.6748971193415638E-2</v>
      </c>
      <c r="R163">
        <f t="shared" si="24"/>
        <v>1</v>
      </c>
      <c r="S163">
        <f t="shared" si="25"/>
        <v>0</v>
      </c>
      <c r="T163" t="str">
        <f t="shared" si="26"/>
        <v>Feb-26</v>
      </c>
    </row>
    <row r="164" spans="1:20">
      <c r="A164" t="s">
        <v>348</v>
      </c>
      <c r="B164" t="s">
        <v>120</v>
      </c>
      <c r="C164" t="s">
        <v>12</v>
      </c>
      <c r="D164">
        <v>556</v>
      </c>
      <c r="E164" s="4">
        <v>46055</v>
      </c>
      <c r="F164" s="4">
        <v>46060</v>
      </c>
      <c r="G164" s="4">
        <v>46069</v>
      </c>
      <c r="H164">
        <v>551</v>
      </c>
      <c r="I164" t="s">
        <v>349</v>
      </c>
      <c r="J164">
        <v>14</v>
      </c>
      <c r="K164" t="s">
        <v>1563</v>
      </c>
      <c r="L164" t="str">
        <f t="shared" si="18"/>
        <v>N</v>
      </c>
      <c r="M164" t="str">
        <f t="shared" si="19"/>
        <v>Y</v>
      </c>
      <c r="N164" t="str">
        <f t="shared" si="20"/>
        <v>N</v>
      </c>
      <c r="O164">
        <f t="shared" si="21"/>
        <v>14</v>
      </c>
      <c r="P164" s="6">
        <f t="shared" si="22"/>
        <v>0.99100719424460426</v>
      </c>
      <c r="Q164" s="6">
        <f t="shared" si="23"/>
        <v>2.5408348457350273E-2</v>
      </c>
      <c r="R164">
        <f t="shared" si="24"/>
        <v>0</v>
      </c>
      <c r="S164">
        <f t="shared" si="25"/>
        <v>9</v>
      </c>
      <c r="T164" t="str">
        <f t="shared" si="26"/>
        <v>Feb-26</v>
      </c>
    </row>
    <row r="165" spans="1:20">
      <c r="A165" t="s">
        <v>350</v>
      </c>
      <c r="B165" t="s">
        <v>81</v>
      </c>
      <c r="C165" t="s">
        <v>12</v>
      </c>
      <c r="D165">
        <v>524</v>
      </c>
      <c r="E165" s="4">
        <v>46154</v>
      </c>
      <c r="F165" s="4">
        <v>46167</v>
      </c>
      <c r="G165" s="4">
        <v>46169</v>
      </c>
      <c r="H165">
        <v>522</v>
      </c>
      <c r="I165" t="s">
        <v>352</v>
      </c>
      <c r="J165">
        <v>1</v>
      </c>
      <c r="K165" t="s">
        <v>1563</v>
      </c>
      <c r="L165" t="str">
        <f t="shared" si="18"/>
        <v>N</v>
      </c>
      <c r="M165" t="str">
        <f t="shared" si="19"/>
        <v>Y</v>
      </c>
      <c r="N165" t="str">
        <f t="shared" si="20"/>
        <v>N</v>
      </c>
      <c r="O165">
        <f t="shared" si="21"/>
        <v>15</v>
      </c>
      <c r="P165" s="6">
        <f t="shared" si="22"/>
        <v>0.99618320610687028</v>
      </c>
      <c r="Q165" s="6">
        <f t="shared" si="23"/>
        <v>1.9157088122605363E-3</v>
      </c>
      <c r="R165">
        <f t="shared" si="24"/>
        <v>0</v>
      </c>
      <c r="S165">
        <f t="shared" si="25"/>
        <v>2</v>
      </c>
      <c r="T165" t="str">
        <f t="shared" si="26"/>
        <v>May-26</v>
      </c>
    </row>
    <row r="166" spans="1:20">
      <c r="A166" t="s">
        <v>353</v>
      </c>
      <c r="B166" t="s">
        <v>49</v>
      </c>
      <c r="C166" t="s">
        <v>12</v>
      </c>
      <c r="D166">
        <v>471</v>
      </c>
      <c r="E166" s="4">
        <v>46090</v>
      </c>
      <c r="F166" s="4">
        <v>46099</v>
      </c>
      <c r="G166" s="4">
        <v>46099</v>
      </c>
      <c r="H166">
        <v>472</v>
      </c>
      <c r="I166" t="s">
        <v>354</v>
      </c>
      <c r="J166">
        <v>1</v>
      </c>
      <c r="K166" t="s">
        <v>1563</v>
      </c>
      <c r="L166" t="str">
        <f t="shared" si="18"/>
        <v>Y</v>
      </c>
      <c r="M166" t="str">
        <f t="shared" si="19"/>
        <v>Y</v>
      </c>
      <c r="N166" t="str">
        <f t="shared" si="20"/>
        <v>Y</v>
      </c>
      <c r="O166">
        <f t="shared" si="21"/>
        <v>9</v>
      </c>
      <c r="P166" s="6">
        <f t="shared" si="22"/>
        <v>1.0021231422505308</v>
      </c>
      <c r="Q166" s="6">
        <f t="shared" si="23"/>
        <v>2.1186440677966102E-3</v>
      </c>
      <c r="R166">
        <f t="shared" si="24"/>
        <v>1</v>
      </c>
      <c r="S166">
        <f t="shared" si="25"/>
        <v>0</v>
      </c>
      <c r="T166" t="str">
        <f t="shared" si="26"/>
        <v>Mar-26</v>
      </c>
    </row>
    <row r="167" spans="1:20">
      <c r="A167" t="s">
        <v>355</v>
      </c>
      <c r="B167" t="s">
        <v>43</v>
      </c>
      <c r="C167" t="s">
        <v>12</v>
      </c>
      <c r="D167">
        <v>961</v>
      </c>
      <c r="E167" s="4">
        <v>46063</v>
      </c>
      <c r="F167" s="4">
        <v>46078</v>
      </c>
      <c r="G167" s="4">
        <v>46078</v>
      </c>
      <c r="H167">
        <v>954</v>
      </c>
      <c r="I167" t="s">
        <v>356</v>
      </c>
      <c r="J167">
        <v>66</v>
      </c>
      <c r="K167" t="s">
        <v>1563</v>
      </c>
      <c r="L167" t="str">
        <f t="shared" si="18"/>
        <v>Y</v>
      </c>
      <c r="M167" t="str">
        <f t="shared" si="19"/>
        <v>Y</v>
      </c>
      <c r="N167" t="str">
        <f t="shared" si="20"/>
        <v>Y</v>
      </c>
      <c r="O167">
        <f t="shared" si="21"/>
        <v>15</v>
      </c>
      <c r="P167" s="6">
        <f t="shared" si="22"/>
        <v>0.99271592091571281</v>
      </c>
      <c r="Q167" s="6">
        <f t="shared" si="23"/>
        <v>6.9182389937106917E-2</v>
      </c>
      <c r="R167">
        <f t="shared" si="24"/>
        <v>1</v>
      </c>
      <c r="S167">
        <f t="shared" si="25"/>
        <v>0</v>
      </c>
      <c r="T167" t="str">
        <f t="shared" si="26"/>
        <v>Feb-26</v>
      </c>
    </row>
    <row r="168" spans="1:20">
      <c r="A168" t="s">
        <v>357</v>
      </c>
      <c r="B168" t="s">
        <v>81</v>
      </c>
      <c r="C168" t="s">
        <v>16</v>
      </c>
      <c r="D168">
        <v>994</v>
      </c>
      <c r="E168" s="4">
        <v>46107</v>
      </c>
      <c r="F168" s="4">
        <v>46114</v>
      </c>
      <c r="G168" s="4">
        <v>46117</v>
      </c>
      <c r="H168">
        <v>936</v>
      </c>
      <c r="I168" t="s">
        <v>17</v>
      </c>
      <c r="J168">
        <v>14</v>
      </c>
      <c r="K168" t="s">
        <v>1563</v>
      </c>
      <c r="L168" t="str">
        <f t="shared" si="18"/>
        <v>N</v>
      </c>
      <c r="M168" t="str">
        <f t="shared" si="19"/>
        <v>N</v>
      </c>
      <c r="N168" t="str">
        <f t="shared" si="20"/>
        <v>N</v>
      </c>
      <c r="O168">
        <f t="shared" si="21"/>
        <v>10</v>
      </c>
      <c r="P168" s="6">
        <f t="shared" si="22"/>
        <v>0.94164989939637822</v>
      </c>
      <c r="Q168" s="6">
        <f t="shared" si="23"/>
        <v>1.4957264957264958E-2</v>
      </c>
      <c r="R168">
        <f t="shared" si="24"/>
        <v>0</v>
      </c>
      <c r="S168">
        <f t="shared" si="25"/>
        <v>3</v>
      </c>
      <c r="T168" t="str">
        <f t="shared" si="26"/>
        <v>Apr-26</v>
      </c>
    </row>
    <row r="169" spans="1:20">
      <c r="A169" t="s">
        <v>358</v>
      </c>
      <c r="B169" t="s">
        <v>70</v>
      </c>
      <c r="C169" t="s">
        <v>12</v>
      </c>
      <c r="D169">
        <v>309</v>
      </c>
      <c r="E169" s="4">
        <v>46175</v>
      </c>
      <c r="F169" s="4">
        <v>46187</v>
      </c>
      <c r="G169" s="4">
        <v>46186</v>
      </c>
      <c r="H169">
        <v>307</v>
      </c>
      <c r="I169" t="s">
        <v>341</v>
      </c>
      <c r="J169">
        <v>3</v>
      </c>
      <c r="K169" t="s">
        <v>1563</v>
      </c>
      <c r="L169" t="str">
        <f t="shared" si="18"/>
        <v>Y</v>
      </c>
      <c r="M169" t="str">
        <f t="shared" si="19"/>
        <v>Y</v>
      </c>
      <c r="N169" t="str">
        <f t="shared" si="20"/>
        <v>Y</v>
      </c>
      <c r="O169">
        <f t="shared" si="21"/>
        <v>11</v>
      </c>
      <c r="P169" s="6">
        <f t="shared" si="22"/>
        <v>0.99352750809061485</v>
      </c>
      <c r="Q169" s="6">
        <f t="shared" si="23"/>
        <v>9.7719869706840382E-3</v>
      </c>
      <c r="R169">
        <f t="shared" si="24"/>
        <v>1</v>
      </c>
      <c r="S169">
        <f t="shared" si="25"/>
        <v>0</v>
      </c>
      <c r="T169" t="str">
        <f t="shared" si="26"/>
        <v>Jun-26</v>
      </c>
    </row>
    <row r="170" spans="1:20">
      <c r="A170" t="s">
        <v>359</v>
      </c>
      <c r="B170" t="s">
        <v>64</v>
      </c>
      <c r="C170" t="s">
        <v>12</v>
      </c>
      <c r="D170">
        <v>995</v>
      </c>
      <c r="E170" s="4">
        <v>46160</v>
      </c>
      <c r="F170" s="4">
        <v>46175</v>
      </c>
      <c r="G170" s="4">
        <v>46177</v>
      </c>
      <c r="H170">
        <v>835</v>
      </c>
      <c r="I170" t="s">
        <v>148</v>
      </c>
      <c r="J170">
        <v>4</v>
      </c>
      <c r="K170" t="s">
        <v>1563</v>
      </c>
      <c r="L170" t="str">
        <f t="shared" si="18"/>
        <v>N</v>
      </c>
      <c r="M170" t="str">
        <f t="shared" si="19"/>
        <v>N</v>
      </c>
      <c r="N170" t="str">
        <f t="shared" si="20"/>
        <v>N</v>
      </c>
      <c r="O170">
        <f t="shared" si="21"/>
        <v>17</v>
      </c>
      <c r="P170" s="6">
        <f t="shared" si="22"/>
        <v>0.83919597989949746</v>
      </c>
      <c r="Q170" s="6">
        <f t="shared" si="23"/>
        <v>4.7904191616766467E-3</v>
      </c>
      <c r="R170">
        <f t="shared" si="24"/>
        <v>0</v>
      </c>
      <c r="S170">
        <f t="shared" si="25"/>
        <v>2</v>
      </c>
      <c r="T170" t="str">
        <f t="shared" si="26"/>
        <v>Jun-26</v>
      </c>
    </row>
    <row r="171" spans="1:20">
      <c r="A171" t="s">
        <v>360</v>
      </c>
      <c r="B171" t="s">
        <v>120</v>
      </c>
      <c r="C171" t="s">
        <v>23</v>
      </c>
      <c r="D171">
        <v>531</v>
      </c>
      <c r="E171" s="4">
        <v>46171</v>
      </c>
      <c r="F171" s="4">
        <v>46179</v>
      </c>
      <c r="G171" s="4">
        <v>46178</v>
      </c>
      <c r="H171">
        <v>485</v>
      </c>
      <c r="I171" t="s">
        <v>361</v>
      </c>
      <c r="J171">
        <v>25</v>
      </c>
      <c r="K171" t="s">
        <v>1563</v>
      </c>
      <c r="L171" t="str">
        <f t="shared" si="18"/>
        <v>Y</v>
      </c>
      <c r="M171" t="str">
        <f t="shared" si="19"/>
        <v>N</v>
      </c>
      <c r="N171" t="str">
        <f t="shared" si="20"/>
        <v>N</v>
      </c>
      <c r="O171">
        <f t="shared" si="21"/>
        <v>7</v>
      </c>
      <c r="P171" s="6">
        <f t="shared" si="22"/>
        <v>0.91337099811676081</v>
      </c>
      <c r="Q171" s="6">
        <f t="shared" si="23"/>
        <v>5.1546391752577317E-2</v>
      </c>
      <c r="R171">
        <f t="shared" si="24"/>
        <v>0</v>
      </c>
      <c r="S171">
        <f t="shared" si="25"/>
        <v>0</v>
      </c>
      <c r="T171" t="str">
        <f t="shared" si="26"/>
        <v>Jun-26</v>
      </c>
    </row>
    <row r="172" spans="1:20">
      <c r="A172" t="s">
        <v>362</v>
      </c>
      <c r="B172" t="s">
        <v>49</v>
      </c>
      <c r="C172" t="s">
        <v>23</v>
      </c>
      <c r="D172">
        <v>201</v>
      </c>
      <c r="E172" s="4">
        <v>46175</v>
      </c>
      <c r="F172" s="4">
        <v>46190</v>
      </c>
      <c r="G172" s="4">
        <v>46198</v>
      </c>
      <c r="H172">
        <v>200</v>
      </c>
      <c r="I172" t="s">
        <v>364</v>
      </c>
      <c r="J172">
        <v>1</v>
      </c>
      <c r="K172" t="s">
        <v>1563</v>
      </c>
      <c r="L172" t="str">
        <f t="shared" si="18"/>
        <v>N</v>
      </c>
      <c r="M172" t="str">
        <f t="shared" si="19"/>
        <v>Y</v>
      </c>
      <c r="N172" t="str">
        <f t="shared" si="20"/>
        <v>N</v>
      </c>
      <c r="O172">
        <f t="shared" si="21"/>
        <v>23</v>
      </c>
      <c r="P172" s="6">
        <f t="shared" si="22"/>
        <v>0.99502487562189057</v>
      </c>
      <c r="Q172" s="6">
        <f t="shared" si="23"/>
        <v>5.0000000000000001E-3</v>
      </c>
      <c r="R172">
        <f t="shared" si="24"/>
        <v>0</v>
      </c>
      <c r="S172">
        <f t="shared" si="25"/>
        <v>8</v>
      </c>
      <c r="T172" t="str">
        <f t="shared" si="26"/>
        <v>Jun-26</v>
      </c>
    </row>
    <row r="173" spans="1:20">
      <c r="A173" t="s">
        <v>365</v>
      </c>
      <c r="B173" t="s">
        <v>40</v>
      </c>
      <c r="C173" t="s">
        <v>16</v>
      </c>
      <c r="D173">
        <v>246</v>
      </c>
      <c r="E173" s="4">
        <v>46121</v>
      </c>
      <c r="F173" s="4">
        <v>46128</v>
      </c>
      <c r="G173" s="4">
        <v>46126</v>
      </c>
      <c r="H173">
        <v>250</v>
      </c>
      <c r="I173" t="s">
        <v>366</v>
      </c>
      <c r="J173">
        <v>19</v>
      </c>
      <c r="K173" t="s">
        <v>1563</v>
      </c>
      <c r="L173" t="str">
        <f t="shared" si="18"/>
        <v>Y</v>
      </c>
      <c r="M173" t="str">
        <f t="shared" si="19"/>
        <v>Y</v>
      </c>
      <c r="N173" t="str">
        <f t="shared" si="20"/>
        <v>Y</v>
      </c>
      <c r="O173">
        <f t="shared" si="21"/>
        <v>5</v>
      </c>
      <c r="P173" s="6">
        <f t="shared" si="22"/>
        <v>1.0162601626016261</v>
      </c>
      <c r="Q173" s="6">
        <f t="shared" si="23"/>
        <v>7.5999999999999998E-2</v>
      </c>
      <c r="R173">
        <f t="shared" si="24"/>
        <v>1</v>
      </c>
      <c r="S173">
        <f t="shared" si="25"/>
        <v>0</v>
      </c>
      <c r="T173" t="str">
        <f t="shared" si="26"/>
        <v>Apr-26</v>
      </c>
    </row>
    <row r="174" spans="1:20">
      <c r="A174" t="s">
        <v>367</v>
      </c>
      <c r="B174" t="s">
        <v>29</v>
      </c>
      <c r="C174" t="s">
        <v>12</v>
      </c>
      <c r="D174">
        <v>212</v>
      </c>
      <c r="E174" s="4">
        <v>46103</v>
      </c>
      <c r="F174" s="4">
        <v>46108</v>
      </c>
      <c r="G174" s="4">
        <v>46105</v>
      </c>
      <c r="H174">
        <v>206</v>
      </c>
      <c r="I174" t="s">
        <v>368</v>
      </c>
      <c r="J174">
        <v>1</v>
      </c>
      <c r="K174" t="s">
        <v>1563</v>
      </c>
      <c r="L174" t="str">
        <f t="shared" si="18"/>
        <v>Y</v>
      </c>
      <c r="M174" t="str">
        <f t="shared" si="19"/>
        <v>N</v>
      </c>
      <c r="N174" t="str">
        <f t="shared" si="20"/>
        <v>N</v>
      </c>
      <c r="O174">
        <f t="shared" si="21"/>
        <v>2</v>
      </c>
      <c r="P174" s="6">
        <f t="shared" si="22"/>
        <v>0.97169811320754718</v>
      </c>
      <c r="Q174" s="6">
        <f t="shared" si="23"/>
        <v>4.8543689320388345E-3</v>
      </c>
      <c r="R174">
        <f t="shared" si="24"/>
        <v>0</v>
      </c>
      <c r="S174">
        <f t="shared" si="25"/>
        <v>0</v>
      </c>
      <c r="T174" t="str">
        <f t="shared" si="26"/>
        <v>Mar-26</v>
      </c>
    </row>
    <row r="175" spans="1:20">
      <c r="A175" t="s">
        <v>369</v>
      </c>
      <c r="B175" t="s">
        <v>67</v>
      </c>
      <c r="C175" t="s">
        <v>12</v>
      </c>
      <c r="D175">
        <v>87</v>
      </c>
      <c r="E175" s="4">
        <v>46037</v>
      </c>
      <c r="F175" s="4">
        <v>46046</v>
      </c>
      <c r="G175" s="4">
        <v>46054</v>
      </c>
      <c r="H175">
        <v>86</v>
      </c>
      <c r="I175" t="s">
        <v>121</v>
      </c>
      <c r="J175">
        <v>2</v>
      </c>
      <c r="K175" t="s">
        <v>1563</v>
      </c>
      <c r="L175" t="str">
        <f t="shared" si="18"/>
        <v>N</v>
      </c>
      <c r="M175" t="str">
        <f t="shared" si="19"/>
        <v>Y</v>
      </c>
      <c r="N175" t="str">
        <f t="shared" si="20"/>
        <v>N</v>
      </c>
      <c r="O175">
        <f t="shared" si="21"/>
        <v>17</v>
      </c>
      <c r="P175" s="6">
        <f t="shared" si="22"/>
        <v>0.9885057471264368</v>
      </c>
      <c r="Q175" s="6">
        <f t="shared" si="23"/>
        <v>2.3255813953488372E-2</v>
      </c>
      <c r="R175">
        <f t="shared" si="24"/>
        <v>0</v>
      </c>
      <c r="S175">
        <f t="shared" si="25"/>
        <v>8</v>
      </c>
      <c r="T175" t="str">
        <f t="shared" si="26"/>
        <v>Feb-26</v>
      </c>
    </row>
    <row r="176" spans="1:20">
      <c r="A176" t="s">
        <v>370</v>
      </c>
      <c r="B176" t="s">
        <v>64</v>
      </c>
      <c r="C176" t="s">
        <v>23</v>
      </c>
      <c r="D176">
        <v>226</v>
      </c>
      <c r="E176" s="4">
        <v>46095</v>
      </c>
      <c r="F176" s="4">
        <v>46101</v>
      </c>
      <c r="G176" s="4">
        <v>46106</v>
      </c>
      <c r="H176">
        <v>203</v>
      </c>
      <c r="I176" t="s">
        <v>372</v>
      </c>
      <c r="J176">
        <v>10</v>
      </c>
      <c r="K176" t="s">
        <v>1563</v>
      </c>
      <c r="L176" t="str">
        <f t="shared" si="18"/>
        <v>N</v>
      </c>
      <c r="M176" t="str">
        <f t="shared" si="19"/>
        <v>N</v>
      </c>
      <c r="N176" t="str">
        <f t="shared" si="20"/>
        <v>N</v>
      </c>
      <c r="O176">
        <f t="shared" si="21"/>
        <v>11</v>
      </c>
      <c r="P176" s="6">
        <f t="shared" si="22"/>
        <v>0.89823008849557517</v>
      </c>
      <c r="Q176" s="6">
        <f t="shared" si="23"/>
        <v>4.9261083743842367E-2</v>
      </c>
      <c r="R176">
        <f t="shared" si="24"/>
        <v>0</v>
      </c>
      <c r="S176">
        <f t="shared" si="25"/>
        <v>5</v>
      </c>
      <c r="T176" t="str">
        <f t="shared" si="26"/>
        <v>Mar-26</v>
      </c>
    </row>
    <row r="177" spans="1:20">
      <c r="A177" t="s">
        <v>373</v>
      </c>
      <c r="B177" t="s">
        <v>67</v>
      </c>
      <c r="C177" t="s">
        <v>16</v>
      </c>
      <c r="D177">
        <v>974</v>
      </c>
      <c r="E177" s="4">
        <v>46048</v>
      </c>
      <c r="F177" s="4">
        <v>46062</v>
      </c>
      <c r="G177" s="4">
        <v>46059</v>
      </c>
      <c r="H177">
        <v>852</v>
      </c>
      <c r="I177" t="s">
        <v>164</v>
      </c>
      <c r="J177">
        <v>35</v>
      </c>
      <c r="K177" t="s">
        <v>1563</v>
      </c>
      <c r="L177" t="str">
        <f t="shared" si="18"/>
        <v>Y</v>
      </c>
      <c r="M177" t="str">
        <f t="shared" si="19"/>
        <v>N</v>
      </c>
      <c r="N177" t="str">
        <f t="shared" si="20"/>
        <v>N</v>
      </c>
      <c r="O177">
        <f t="shared" si="21"/>
        <v>11</v>
      </c>
      <c r="P177" s="6">
        <f t="shared" si="22"/>
        <v>0.87474332648870634</v>
      </c>
      <c r="Q177" s="6">
        <f t="shared" si="23"/>
        <v>4.1079812206572773E-2</v>
      </c>
      <c r="R177">
        <f t="shared" si="24"/>
        <v>0</v>
      </c>
      <c r="S177">
        <f t="shared" si="25"/>
        <v>0</v>
      </c>
      <c r="T177" t="str">
        <f t="shared" si="26"/>
        <v>Feb-26</v>
      </c>
    </row>
    <row r="178" spans="1:20">
      <c r="A178" t="s">
        <v>374</v>
      </c>
      <c r="B178" t="s">
        <v>120</v>
      </c>
      <c r="C178" t="s">
        <v>12</v>
      </c>
      <c r="D178">
        <v>350</v>
      </c>
      <c r="E178" s="4">
        <v>46050</v>
      </c>
      <c r="F178" s="4">
        <v>46056</v>
      </c>
      <c r="G178" s="4">
        <v>46055</v>
      </c>
      <c r="H178">
        <v>346</v>
      </c>
      <c r="I178" t="s">
        <v>376</v>
      </c>
      <c r="J178">
        <v>19</v>
      </c>
      <c r="K178" t="s">
        <v>1563</v>
      </c>
      <c r="L178" t="str">
        <f t="shared" si="18"/>
        <v>Y</v>
      </c>
      <c r="M178" t="str">
        <f t="shared" si="19"/>
        <v>Y</v>
      </c>
      <c r="N178" t="str">
        <f t="shared" si="20"/>
        <v>Y</v>
      </c>
      <c r="O178">
        <f t="shared" si="21"/>
        <v>5</v>
      </c>
      <c r="P178" s="6">
        <f t="shared" si="22"/>
        <v>0.98857142857142855</v>
      </c>
      <c r="Q178" s="6">
        <f t="shared" si="23"/>
        <v>5.4913294797687862E-2</v>
      </c>
      <c r="R178">
        <f t="shared" si="24"/>
        <v>1</v>
      </c>
      <c r="S178">
        <f t="shared" si="25"/>
        <v>0</v>
      </c>
      <c r="T178" t="str">
        <f t="shared" si="26"/>
        <v>Feb-26</v>
      </c>
    </row>
    <row r="179" spans="1:20">
      <c r="A179" t="s">
        <v>377</v>
      </c>
      <c r="B179" t="s">
        <v>52</v>
      </c>
      <c r="C179" t="s">
        <v>12</v>
      </c>
      <c r="D179">
        <v>621</v>
      </c>
      <c r="E179" s="4">
        <v>46152</v>
      </c>
      <c r="F179" s="4">
        <v>46159</v>
      </c>
      <c r="G179" s="4">
        <v>46162</v>
      </c>
      <c r="H179">
        <v>524</v>
      </c>
      <c r="I179" t="s">
        <v>379</v>
      </c>
      <c r="J179">
        <v>1</v>
      </c>
      <c r="K179" t="s">
        <v>1563</v>
      </c>
      <c r="L179" t="str">
        <f t="shared" si="18"/>
        <v>N</v>
      </c>
      <c r="M179" t="str">
        <f t="shared" si="19"/>
        <v>N</v>
      </c>
      <c r="N179" t="str">
        <f t="shared" si="20"/>
        <v>N</v>
      </c>
      <c r="O179">
        <f t="shared" si="21"/>
        <v>10</v>
      </c>
      <c r="P179" s="6">
        <f t="shared" si="22"/>
        <v>0.8438003220611916</v>
      </c>
      <c r="Q179" s="6">
        <f t="shared" si="23"/>
        <v>1.9083969465648854E-3</v>
      </c>
      <c r="R179">
        <f t="shared" si="24"/>
        <v>0</v>
      </c>
      <c r="S179">
        <f t="shared" si="25"/>
        <v>3</v>
      </c>
      <c r="T179" t="str">
        <f t="shared" si="26"/>
        <v>May-26</v>
      </c>
    </row>
    <row r="180" spans="1:20">
      <c r="A180" t="s">
        <v>380</v>
      </c>
      <c r="B180" t="s">
        <v>100</v>
      </c>
      <c r="C180" t="s">
        <v>16</v>
      </c>
      <c r="D180">
        <v>974</v>
      </c>
      <c r="E180" s="4">
        <v>46114</v>
      </c>
      <c r="F180" s="4">
        <v>46122</v>
      </c>
      <c r="G180" s="4">
        <v>46122</v>
      </c>
      <c r="H180">
        <v>960</v>
      </c>
      <c r="I180" t="s">
        <v>381</v>
      </c>
      <c r="J180">
        <v>13</v>
      </c>
      <c r="K180" t="s">
        <v>1563</v>
      </c>
      <c r="L180" t="str">
        <f t="shared" si="18"/>
        <v>Y</v>
      </c>
      <c r="M180" t="str">
        <f t="shared" si="19"/>
        <v>Y</v>
      </c>
      <c r="N180" t="str">
        <f t="shared" si="20"/>
        <v>Y</v>
      </c>
      <c r="O180">
        <f t="shared" si="21"/>
        <v>8</v>
      </c>
      <c r="P180" s="6">
        <f t="shared" si="22"/>
        <v>0.98562628336755642</v>
      </c>
      <c r="Q180" s="6">
        <f t="shared" si="23"/>
        <v>1.3541666666666667E-2</v>
      </c>
      <c r="R180">
        <f t="shared" si="24"/>
        <v>1</v>
      </c>
      <c r="S180">
        <f t="shared" si="25"/>
        <v>0</v>
      </c>
      <c r="T180" t="str">
        <f t="shared" si="26"/>
        <v>Apr-26</v>
      </c>
    </row>
    <row r="181" spans="1:20">
      <c r="A181" t="s">
        <v>382</v>
      </c>
      <c r="B181" t="s">
        <v>70</v>
      </c>
      <c r="C181" t="s">
        <v>16</v>
      </c>
      <c r="D181">
        <v>190</v>
      </c>
      <c r="E181" s="4">
        <v>46146</v>
      </c>
      <c r="F181" s="4">
        <v>46153</v>
      </c>
      <c r="G181" s="4">
        <v>46157</v>
      </c>
      <c r="H181">
        <v>186</v>
      </c>
      <c r="I181" t="s">
        <v>383</v>
      </c>
      <c r="J181">
        <v>1</v>
      </c>
      <c r="K181" t="s">
        <v>1563</v>
      </c>
      <c r="L181" t="str">
        <f t="shared" si="18"/>
        <v>N</v>
      </c>
      <c r="M181" t="str">
        <f t="shared" si="19"/>
        <v>N</v>
      </c>
      <c r="N181" t="str">
        <f t="shared" si="20"/>
        <v>N</v>
      </c>
      <c r="O181">
        <f t="shared" si="21"/>
        <v>11</v>
      </c>
      <c r="P181" s="6">
        <f t="shared" si="22"/>
        <v>0.97894736842105268</v>
      </c>
      <c r="Q181" s="6">
        <f t="shared" si="23"/>
        <v>5.3763440860215058E-3</v>
      </c>
      <c r="R181">
        <f t="shared" si="24"/>
        <v>0</v>
      </c>
      <c r="S181">
        <f t="shared" si="25"/>
        <v>4</v>
      </c>
      <c r="T181" t="str">
        <f t="shared" si="26"/>
        <v>May-26</v>
      </c>
    </row>
    <row r="182" spans="1:20">
      <c r="A182" t="s">
        <v>384</v>
      </c>
      <c r="B182" t="s">
        <v>67</v>
      </c>
      <c r="C182" t="s">
        <v>12</v>
      </c>
      <c r="D182">
        <v>375</v>
      </c>
      <c r="E182" s="4">
        <v>46134</v>
      </c>
      <c r="F182" s="4">
        <v>46147</v>
      </c>
      <c r="G182" s="4">
        <v>46153</v>
      </c>
      <c r="H182">
        <v>372</v>
      </c>
      <c r="I182" t="s">
        <v>385</v>
      </c>
      <c r="J182">
        <v>1</v>
      </c>
      <c r="K182" t="s">
        <v>1563</v>
      </c>
      <c r="L182" t="str">
        <f t="shared" si="18"/>
        <v>N</v>
      </c>
      <c r="M182" t="str">
        <f t="shared" si="19"/>
        <v>Y</v>
      </c>
      <c r="N182" t="str">
        <f t="shared" si="20"/>
        <v>N</v>
      </c>
      <c r="O182">
        <f t="shared" si="21"/>
        <v>19</v>
      </c>
      <c r="P182" s="6">
        <f t="shared" si="22"/>
        <v>0.99199999999999999</v>
      </c>
      <c r="Q182" s="6">
        <f t="shared" si="23"/>
        <v>2.6881720430107529E-3</v>
      </c>
      <c r="R182">
        <f t="shared" si="24"/>
        <v>0</v>
      </c>
      <c r="S182">
        <f t="shared" si="25"/>
        <v>6</v>
      </c>
      <c r="T182" t="str">
        <f t="shared" si="26"/>
        <v>May-26</v>
      </c>
    </row>
    <row r="183" spans="1:20">
      <c r="A183" t="s">
        <v>386</v>
      </c>
      <c r="B183" t="s">
        <v>70</v>
      </c>
      <c r="C183" t="s">
        <v>12</v>
      </c>
      <c r="D183">
        <v>133</v>
      </c>
      <c r="E183" s="4">
        <v>46054</v>
      </c>
      <c r="F183" s="4">
        <v>46069</v>
      </c>
      <c r="G183" s="4">
        <v>46069</v>
      </c>
      <c r="H183">
        <v>134</v>
      </c>
      <c r="I183" t="s">
        <v>30</v>
      </c>
      <c r="J183">
        <v>1</v>
      </c>
      <c r="K183" t="s">
        <v>1563</v>
      </c>
      <c r="L183" t="str">
        <f t="shared" si="18"/>
        <v>Y</v>
      </c>
      <c r="M183" t="str">
        <f t="shared" si="19"/>
        <v>Y</v>
      </c>
      <c r="N183" t="str">
        <f t="shared" si="20"/>
        <v>Y</v>
      </c>
      <c r="O183">
        <f t="shared" si="21"/>
        <v>15</v>
      </c>
      <c r="P183" s="6">
        <f t="shared" si="22"/>
        <v>1.0075187969924813</v>
      </c>
      <c r="Q183" s="6">
        <f t="shared" si="23"/>
        <v>7.462686567164179E-3</v>
      </c>
      <c r="R183">
        <f t="shared" si="24"/>
        <v>1</v>
      </c>
      <c r="S183">
        <f t="shared" si="25"/>
        <v>0</v>
      </c>
      <c r="T183" t="str">
        <f t="shared" si="26"/>
        <v>Feb-26</v>
      </c>
    </row>
    <row r="184" spans="1:20">
      <c r="A184" t="s">
        <v>387</v>
      </c>
      <c r="B184" t="s">
        <v>26</v>
      </c>
      <c r="C184" t="s">
        <v>23</v>
      </c>
      <c r="D184">
        <v>705</v>
      </c>
      <c r="E184" s="4">
        <v>46043</v>
      </c>
      <c r="F184" s="4">
        <v>46056</v>
      </c>
      <c r="G184" s="4">
        <v>46056</v>
      </c>
      <c r="H184">
        <v>706</v>
      </c>
      <c r="I184" t="s">
        <v>388</v>
      </c>
      <c r="J184">
        <v>10</v>
      </c>
      <c r="K184" t="s">
        <v>1563</v>
      </c>
      <c r="L184" t="str">
        <f t="shared" si="18"/>
        <v>Y</v>
      </c>
      <c r="M184" t="str">
        <f t="shared" si="19"/>
        <v>Y</v>
      </c>
      <c r="N184" t="str">
        <f t="shared" si="20"/>
        <v>Y</v>
      </c>
      <c r="O184">
        <f t="shared" si="21"/>
        <v>13</v>
      </c>
      <c r="P184" s="6">
        <f t="shared" si="22"/>
        <v>1.0014184397163119</v>
      </c>
      <c r="Q184" s="6">
        <f t="shared" si="23"/>
        <v>1.4164305949008499E-2</v>
      </c>
      <c r="R184">
        <f t="shared" si="24"/>
        <v>1</v>
      </c>
      <c r="S184">
        <f t="shared" si="25"/>
        <v>0</v>
      </c>
      <c r="T184" t="str">
        <f t="shared" si="26"/>
        <v>Feb-26</v>
      </c>
    </row>
    <row r="185" spans="1:20">
      <c r="A185" t="s">
        <v>389</v>
      </c>
      <c r="B185" t="s">
        <v>26</v>
      </c>
      <c r="C185" t="s">
        <v>12</v>
      </c>
      <c r="D185">
        <v>381</v>
      </c>
      <c r="E185" s="4">
        <v>46143</v>
      </c>
      <c r="F185" s="4">
        <v>46152</v>
      </c>
      <c r="G185" s="4">
        <v>46152</v>
      </c>
      <c r="H185">
        <v>385</v>
      </c>
      <c r="I185" t="s">
        <v>391</v>
      </c>
      <c r="J185">
        <v>10</v>
      </c>
      <c r="K185" t="s">
        <v>1563</v>
      </c>
      <c r="L185" t="str">
        <f t="shared" si="18"/>
        <v>Y</v>
      </c>
      <c r="M185" t="str">
        <f t="shared" si="19"/>
        <v>Y</v>
      </c>
      <c r="N185" t="str">
        <f t="shared" si="20"/>
        <v>Y</v>
      </c>
      <c r="O185">
        <f t="shared" si="21"/>
        <v>9</v>
      </c>
      <c r="P185" s="6">
        <f t="shared" si="22"/>
        <v>1.0104986876640421</v>
      </c>
      <c r="Q185" s="6">
        <f t="shared" si="23"/>
        <v>2.5974025974025976E-2</v>
      </c>
      <c r="R185">
        <f t="shared" si="24"/>
        <v>1</v>
      </c>
      <c r="S185">
        <f t="shared" si="25"/>
        <v>0</v>
      </c>
      <c r="T185" t="str">
        <f t="shared" si="26"/>
        <v>May-26</v>
      </c>
    </row>
    <row r="186" spans="1:20">
      <c r="A186" t="s">
        <v>392</v>
      </c>
      <c r="B186" t="s">
        <v>43</v>
      </c>
      <c r="C186" t="s">
        <v>16</v>
      </c>
      <c r="D186">
        <v>319</v>
      </c>
      <c r="E186" s="4">
        <v>46050</v>
      </c>
      <c r="F186" s="4">
        <v>46061</v>
      </c>
      <c r="G186" s="4">
        <v>46058</v>
      </c>
      <c r="H186">
        <v>314</v>
      </c>
      <c r="I186" t="s">
        <v>393</v>
      </c>
      <c r="J186">
        <v>20</v>
      </c>
      <c r="K186" t="s">
        <v>1563</v>
      </c>
      <c r="L186" t="str">
        <f t="shared" si="18"/>
        <v>Y</v>
      </c>
      <c r="M186" t="str">
        <f t="shared" si="19"/>
        <v>Y</v>
      </c>
      <c r="N186" t="str">
        <f t="shared" si="20"/>
        <v>Y</v>
      </c>
      <c r="O186">
        <f t="shared" si="21"/>
        <v>8</v>
      </c>
      <c r="P186" s="6">
        <f t="shared" si="22"/>
        <v>0.98432601880877746</v>
      </c>
      <c r="Q186" s="6">
        <f t="shared" si="23"/>
        <v>6.3694267515923567E-2</v>
      </c>
      <c r="R186">
        <f t="shared" si="24"/>
        <v>1</v>
      </c>
      <c r="S186">
        <f t="shared" si="25"/>
        <v>0</v>
      </c>
      <c r="T186" t="str">
        <f t="shared" si="26"/>
        <v>Feb-26</v>
      </c>
    </row>
    <row r="187" spans="1:20">
      <c r="A187" t="s">
        <v>394</v>
      </c>
      <c r="B187" t="s">
        <v>32</v>
      </c>
      <c r="C187" t="s">
        <v>16</v>
      </c>
      <c r="D187">
        <v>864</v>
      </c>
      <c r="E187" s="4">
        <v>46066</v>
      </c>
      <c r="F187" s="4">
        <v>46075</v>
      </c>
      <c r="G187" s="4">
        <v>46072</v>
      </c>
      <c r="H187">
        <v>736</v>
      </c>
      <c r="I187" t="s">
        <v>395</v>
      </c>
      <c r="J187">
        <v>42</v>
      </c>
      <c r="K187" t="s">
        <v>1563</v>
      </c>
      <c r="L187" t="str">
        <f t="shared" si="18"/>
        <v>Y</v>
      </c>
      <c r="M187" t="str">
        <f t="shared" si="19"/>
        <v>N</v>
      </c>
      <c r="N187" t="str">
        <f t="shared" si="20"/>
        <v>N</v>
      </c>
      <c r="O187">
        <f t="shared" si="21"/>
        <v>6</v>
      </c>
      <c r="P187" s="6">
        <f t="shared" si="22"/>
        <v>0.85185185185185186</v>
      </c>
      <c r="Q187" s="6">
        <f t="shared" si="23"/>
        <v>5.7065217391304345E-2</v>
      </c>
      <c r="R187">
        <f t="shared" si="24"/>
        <v>0</v>
      </c>
      <c r="S187">
        <f t="shared" si="25"/>
        <v>0</v>
      </c>
      <c r="T187" t="str">
        <f t="shared" si="26"/>
        <v>Feb-26</v>
      </c>
    </row>
    <row r="188" spans="1:20">
      <c r="A188" t="s">
        <v>396</v>
      </c>
      <c r="B188" t="s">
        <v>43</v>
      </c>
      <c r="C188" t="s">
        <v>16</v>
      </c>
      <c r="D188">
        <v>878</v>
      </c>
      <c r="E188" s="4">
        <v>46100</v>
      </c>
      <c r="F188" s="4">
        <v>46115</v>
      </c>
      <c r="G188" s="4">
        <v>46118</v>
      </c>
      <c r="H188">
        <v>889</v>
      </c>
      <c r="I188" t="s">
        <v>316</v>
      </c>
      <c r="J188">
        <v>37</v>
      </c>
      <c r="K188" t="s">
        <v>1563</v>
      </c>
      <c r="L188" t="str">
        <f t="shared" si="18"/>
        <v>N</v>
      </c>
      <c r="M188" t="str">
        <f t="shared" si="19"/>
        <v>Y</v>
      </c>
      <c r="N188" t="str">
        <f t="shared" si="20"/>
        <v>N</v>
      </c>
      <c r="O188">
        <f t="shared" si="21"/>
        <v>18</v>
      </c>
      <c r="P188" s="6">
        <f t="shared" si="22"/>
        <v>1.0125284738041003</v>
      </c>
      <c r="Q188" s="6">
        <f t="shared" si="23"/>
        <v>4.1619797525309338E-2</v>
      </c>
      <c r="R188">
        <f t="shared" si="24"/>
        <v>0</v>
      </c>
      <c r="S188">
        <f t="shared" si="25"/>
        <v>3</v>
      </c>
      <c r="T188" t="str">
        <f t="shared" si="26"/>
        <v>Apr-26</v>
      </c>
    </row>
    <row r="189" spans="1:20">
      <c r="A189" t="s">
        <v>397</v>
      </c>
      <c r="B189" t="s">
        <v>100</v>
      </c>
      <c r="C189" t="s">
        <v>16</v>
      </c>
      <c r="D189">
        <v>848</v>
      </c>
      <c r="E189" s="4">
        <v>46054</v>
      </c>
      <c r="F189" s="4">
        <v>46066</v>
      </c>
      <c r="G189" s="4">
        <v>46064</v>
      </c>
      <c r="H189">
        <v>805</v>
      </c>
      <c r="I189" t="s">
        <v>398</v>
      </c>
      <c r="J189">
        <v>8</v>
      </c>
      <c r="K189" t="s">
        <v>1563</v>
      </c>
      <c r="L189" t="str">
        <f t="shared" si="18"/>
        <v>Y</v>
      </c>
      <c r="M189" t="str">
        <f t="shared" si="19"/>
        <v>N</v>
      </c>
      <c r="N189" t="str">
        <f t="shared" si="20"/>
        <v>N</v>
      </c>
      <c r="O189">
        <f t="shared" si="21"/>
        <v>10</v>
      </c>
      <c r="P189" s="6">
        <f t="shared" si="22"/>
        <v>0.9492924528301887</v>
      </c>
      <c r="Q189" s="6">
        <f t="shared" si="23"/>
        <v>9.9378881987577643E-3</v>
      </c>
      <c r="R189">
        <f t="shared" si="24"/>
        <v>0</v>
      </c>
      <c r="S189">
        <f t="shared" si="25"/>
        <v>0</v>
      </c>
      <c r="T189" t="str">
        <f t="shared" si="26"/>
        <v>Feb-26</v>
      </c>
    </row>
    <row r="190" spans="1:20">
      <c r="A190" t="s">
        <v>399</v>
      </c>
      <c r="B190" t="s">
        <v>64</v>
      </c>
      <c r="C190" t="s">
        <v>12</v>
      </c>
      <c r="D190">
        <v>539</v>
      </c>
      <c r="E190" s="4">
        <v>46100</v>
      </c>
      <c r="F190" s="4">
        <v>46111</v>
      </c>
      <c r="G190" s="4">
        <v>46120</v>
      </c>
      <c r="H190">
        <v>536</v>
      </c>
      <c r="I190" t="s">
        <v>68</v>
      </c>
      <c r="J190">
        <v>5</v>
      </c>
      <c r="K190" t="s">
        <v>1563</v>
      </c>
      <c r="L190" t="str">
        <f t="shared" si="18"/>
        <v>N</v>
      </c>
      <c r="M190" t="str">
        <f t="shared" si="19"/>
        <v>Y</v>
      </c>
      <c r="N190" t="str">
        <f t="shared" si="20"/>
        <v>N</v>
      </c>
      <c r="O190">
        <f t="shared" si="21"/>
        <v>20</v>
      </c>
      <c r="P190" s="6">
        <f t="shared" si="22"/>
        <v>0.99443413729128016</v>
      </c>
      <c r="Q190" s="6">
        <f t="shared" si="23"/>
        <v>9.3283582089552231E-3</v>
      </c>
      <c r="R190">
        <f t="shared" si="24"/>
        <v>0</v>
      </c>
      <c r="S190">
        <f t="shared" si="25"/>
        <v>9</v>
      </c>
      <c r="T190" t="str">
        <f t="shared" si="26"/>
        <v>Apr-26</v>
      </c>
    </row>
    <row r="191" spans="1:20">
      <c r="A191" t="s">
        <v>400</v>
      </c>
      <c r="B191" t="s">
        <v>22</v>
      </c>
      <c r="C191" t="s">
        <v>16</v>
      </c>
      <c r="D191">
        <v>695</v>
      </c>
      <c r="E191" s="4">
        <v>46034</v>
      </c>
      <c r="F191" s="4">
        <v>46046</v>
      </c>
      <c r="G191" s="4">
        <v>46050</v>
      </c>
      <c r="H191">
        <v>658</v>
      </c>
      <c r="I191" t="s">
        <v>401</v>
      </c>
      <c r="J191">
        <v>55</v>
      </c>
      <c r="K191" t="s">
        <v>1563</v>
      </c>
      <c r="L191" t="str">
        <f t="shared" si="18"/>
        <v>N</v>
      </c>
      <c r="M191" t="str">
        <f t="shared" si="19"/>
        <v>N</v>
      </c>
      <c r="N191" t="str">
        <f t="shared" si="20"/>
        <v>N</v>
      </c>
      <c r="O191">
        <f t="shared" si="21"/>
        <v>16</v>
      </c>
      <c r="P191" s="6">
        <f t="shared" si="22"/>
        <v>0.94676258992805751</v>
      </c>
      <c r="Q191" s="6">
        <f t="shared" si="23"/>
        <v>8.3586626139817627E-2</v>
      </c>
      <c r="R191">
        <f t="shared" si="24"/>
        <v>0</v>
      </c>
      <c r="S191">
        <f t="shared" si="25"/>
        <v>4</v>
      </c>
      <c r="T191" t="str">
        <f t="shared" si="26"/>
        <v>Jan-26</v>
      </c>
    </row>
    <row r="192" spans="1:20">
      <c r="A192" t="s">
        <v>402</v>
      </c>
      <c r="B192" t="s">
        <v>52</v>
      </c>
      <c r="C192" t="s">
        <v>12</v>
      </c>
      <c r="D192">
        <v>745</v>
      </c>
      <c r="E192" s="4">
        <v>46103</v>
      </c>
      <c r="F192" s="4">
        <v>46111</v>
      </c>
      <c r="G192" s="4">
        <v>46109</v>
      </c>
      <c r="H192">
        <v>736</v>
      </c>
      <c r="I192" t="s">
        <v>403</v>
      </c>
      <c r="J192">
        <v>14</v>
      </c>
      <c r="K192" t="s">
        <v>1563</v>
      </c>
      <c r="L192" t="str">
        <f t="shared" si="18"/>
        <v>Y</v>
      </c>
      <c r="M192" t="str">
        <f t="shared" si="19"/>
        <v>Y</v>
      </c>
      <c r="N192" t="str">
        <f t="shared" si="20"/>
        <v>Y</v>
      </c>
      <c r="O192">
        <f t="shared" si="21"/>
        <v>6</v>
      </c>
      <c r="P192" s="6">
        <f t="shared" si="22"/>
        <v>0.98791946308724832</v>
      </c>
      <c r="Q192" s="6">
        <f t="shared" si="23"/>
        <v>1.9021739130434784E-2</v>
      </c>
      <c r="R192">
        <f t="shared" si="24"/>
        <v>1</v>
      </c>
      <c r="S192">
        <f t="shared" si="25"/>
        <v>0</v>
      </c>
      <c r="T192" t="str">
        <f t="shared" si="26"/>
        <v>Mar-26</v>
      </c>
    </row>
    <row r="193" spans="1:20">
      <c r="A193" t="s">
        <v>404</v>
      </c>
      <c r="B193" t="s">
        <v>52</v>
      </c>
      <c r="C193" t="s">
        <v>16</v>
      </c>
      <c r="D193">
        <v>466</v>
      </c>
      <c r="E193" s="4">
        <v>46097</v>
      </c>
      <c r="F193" s="4">
        <v>46112</v>
      </c>
      <c r="G193" s="4">
        <v>46121</v>
      </c>
      <c r="H193">
        <v>468</v>
      </c>
      <c r="I193" t="s">
        <v>405</v>
      </c>
      <c r="J193">
        <v>7</v>
      </c>
      <c r="K193" t="s">
        <v>1563</v>
      </c>
      <c r="L193" t="str">
        <f t="shared" si="18"/>
        <v>N</v>
      </c>
      <c r="M193" t="str">
        <f t="shared" si="19"/>
        <v>Y</v>
      </c>
      <c r="N193" t="str">
        <f t="shared" si="20"/>
        <v>N</v>
      </c>
      <c r="O193">
        <f t="shared" si="21"/>
        <v>24</v>
      </c>
      <c r="P193" s="6">
        <f t="shared" si="22"/>
        <v>1.0042918454935623</v>
      </c>
      <c r="Q193" s="6">
        <f t="shared" si="23"/>
        <v>1.4957264957264958E-2</v>
      </c>
      <c r="R193">
        <f t="shared" si="24"/>
        <v>0</v>
      </c>
      <c r="S193">
        <f t="shared" si="25"/>
        <v>9</v>
      </c>
      <c r="T193" t="str">
        <f t="shared" si="26"/>
        <v>Apr-26</v>
      </c>
    </row>
    <row r="194" spans="1:20">
      <c r="A194" t="s">
        <v>406</v>
      </c>
      <c r="B194" t="s">
        <v>52</v>
      </c>
      <c r="C194" t="s">
        <v>12</v>
      </c>
      <c r="D194">
        <v>483</v>
      </c>
      <c r="E194" s="4">
        <v>46074</v>
      </c>
      <c r="F194" s="4">
        <v>46081</v>
      </c>
      <c r="G194" s="4">
        <v>46081</v>
      </c>
      <c r="H194">
        <v>490</v>
      </c>
      <c r="I194" t="s">
        <v>407</v>
      </c>
      <c r="J194">
        <v>13</v>
      </c>
      <c r="K194" t="s">
        <v>1563</v>
      </c>
      <c r="L194" t="str">
        <f t="shared" ref="L194:L257" si="27">IF(G194="","N/A",IF(G194&lt;=F194,"Y","N"))</f>
        <v>Y</v>
      </c>
      <c r="M194" t="str">
        <f t="shared" ref="M194:M257" si="28">IF(H194="","N/A",IF(H194&gt;=D194*0.98,"Y","N"))</f>
        <v>Y</v>
      </c>
      <c r="N194" t="str">
        <f t="shared" ref="N194:N257" si="29">IF(OR(L194="N/A",M194="N/A"),"N/A",IF(AND(L194="Y",M194="Y"),"Y","N"))</f>
        <v>Y</v>
      </c>
      <c r="O194">
        <f t="shared" ref="O194:O257" si="30">IF(G194="","N/A",G194-E194)</f>
        <v>7</v>
      </c>
      <c r="P194" s="6">
        <f t="shared" ref="P194:P257" si="31">IF(H194="","N/A",H194/D194)</f>
        <v>1.0144927536231885</v>
      </c>
      <c r="Q194" s="6">
        <f t="shared" ref="Q194:Q257" si="32">IF(H194="","N/A",IF(H194=0,0,J194/H194))</f>
        <v>2.6530612244897958E-2</v>
      </c>
      <c r="R194">
        <f t="shared" ref="R194:R257" si="33">IF(N194="Y",1,IF(N194="N",0,""))</f>
        <v>1</v>
      </c>
      <c r="S194">
        <f t="shared" ref="S194:S257" si="34">IF(G194="","N/A",MAX(G194-F194,0))</f>
        <v>0</v>
      </c>
      <c r="T194" t="str">
        <f t="shared" ref="T194:T257" si="35">IF(G194="","N/A",TEXT(G194,"mmm-yy"))</f>
        <v>Feb-26</v>
      </c>
    </row>
    <row r="195" spans="1:20">
      <c r="A195" t="s">
        <v>408</v>
      </c>
      <c r="B195" t="s">
        <v>177</v>
      </c>
      <c r="C195" t="s">
        <v>12</v>
      </c>
      <c r="D195">
        <v>689</v>
      </c>
      <c r="E195" s="4">
        <v>46037</v>
      </c>
      <c r="F195" s="4">
        <v>46047</v>
      </c>
      <c r="G195" s="4">
        <v>46047</v>
      </c>
      <c r="H195">
        <v>692</v>
      </c>
      <c r="I195" t="s">
        <v>409</v>
      </c>
      <c r="J195">
        <v>25</v>
      </c>
      <c r="K195" t="s">
        <v>1563</v>
      </c>
      <c r="L195" t="str">
        <f t="shared" si="27"/>
        <v>Y</v>
      </c>
      <c r="M195" t="str">
        <f t="shared" si="28"/>
        <v>Y</v>
      </c>
      <c r="N195" t="str">
        <f t="shared" si="29"/>
        <v>Y</v>
      </c>
      <c r="O195">
        <f t="shared" si="30"/>
        <v>10</v>
      </c>
      <c r="P195" s="6">
        <f t="shared" si="31"/>
        <v>1.004354136429608</v>
      </c>
      <c r="Q195" s="6">
        <f t="shared" si="32"/>
        <v>3.6127167630057806E-2</v>
      </c>
      <c r="R195">
        <f t="shared" si="33"/>
        <v>1</v>
      </c>
      <c r="S195">
        <f t="shared" si="34"/>
        <v>0</v>
      </c>
      <c r="T195" t="str">
        <f t="shared" si="35"/>
        <v>Jan-26</v>
      </c>
    </row>
    <row r="196" spans="1:20">
      <c r="A196" t="s">
        <v>410</v>
      </c>
      <c r="B196" t="s">
        <v>49</v>
      </c>
      <c r="C196" t="s">
        <v>16</v>
      </c>
      <c r="D196">
        <v>443</v>
      </c>
      <c r="E196" s="4">
        <v>46072</v>
      </c>
      <c r="F196" s="4">
        <v>46078</v>
      </c>
      <c r="G196" s="4">
        <v>46075</v>
      </c>
      <c r="H196">
        <v>442</v>
      </c>
      <c r="I196" t="s">
        <v>366</v>
      </c>
      <c r="J196">
        <v>6</v>
      </c>
      <c r="K196" t="s">
        <v>1563</v>
      </c>
      <c r="L196" t="str">
        <f t="shared" si="27"/>
        <v>Y</v>
      </c>
      <c r="M196" t="str">
        <f t="shared" si="28"/>
        <v>Y</v>
      </c>
      <c r="N196" t="str">
        <f t="shared" si="29"/>
        <v>Y</v>
      </c>
      <c r="O196">
        <f t="shared" si="30"/>
        <v>3</v>
      </c>
      <c r="P196" s="6">
        <f t="shared" si="31"/>
        <v>0.99774266365688491</v>
      </c>
      <c r="Q196" s="6">
        <f t="shared" si="32"/>
        <v>1.3574660633484163E-2</v>
      </c>
      <c r="R196">
        <f t="shared" si="33"/>
        <v>1</v>
      </c>
      <c r="S196">
        <f t="shared" si="34"/>
        <v>0</v>
      </c>
      <c r="T196" t="str">
        <f t="shared" si="35"/>
        <v>Feb-26</v>
      </c>
    </row>
    <row r="197" spans="1:20">
      <c r="A197" t="s">
        <v>411</v>
      </c>
      <c r="B197" t="s">
        <v>40</v>
      </c>
      <c r="C197" t="s">
        <v>23</v>
      </c>
      <c r="D197">
        <v>490</v>
      </c>
      <c r="E197" s="4">
        <v>46147</v>
      </c>
      <c r="F197" s="4">
        <v>46152</v>
      </c>
      <c r="G197" s="4">
        <v>46150</v>
      </c>
      <c r="H197">
        <v>496</v>
      </c>
      <c r="I197" t="s">
        <v>412</v>
      </c>
      <c r="J197">
        <v>1</v>
      </c>
      <c r="K197" t="s">
        <v>1563</v>
      </c>
      <c r="L197" t="str">
        <f t="shared" si="27"/>
        <v>Y</v>
      </c>
      <c r="M197" t="str">
        <f t="shared" si="28"/>
        <v>Y</v>
      </c>
      <c r="N197" t="str">
        <f t="shared" si="29"/>
        <v>Y</v>
      </c>
      <c r="O197">
        <f t="shared" si="30"/>
        <v>3</v>
      </c>
      <c r="P197" s="6">
        <f t="shared" si="31"/>
        <v>1.0122448979591836</v>
      </c>
      <c r="Q197" s="6">
        <f t="shared" si="32"/>
        <v>2.0161290322580645E-3</v>
      </c>
      <c r="R197">
        <f t="shared" si="33"/>
        <v>1</v>
      </c>
      <c r="S197">
        <f t="shared" si="34"/>
        <v>0</v>
      </c>
      <c r="T197" t="str">
        <f t="shared" si="35"/>
        <v>May-26</v>
      </c>
    </row>
    <row r="198" spans="1:20">
      <c r="A198" t="s">
        <v>413</v>
      </c>
      <c r="B198" t="s">
        <v>32</v>
      </c>
      <c r="C198" t="s">
        <v>16</v>
      </c>
      <c r="D198">
        <v>759</v>
      </c>
      <c r="E198" s="4">
        <v>46092</v>
      </c>
      <c r="F198" s="4">
        <v>46097</v>
      </c>
      <c r="G198" s="4">
        <v>46094</v>
      </c>
      <c r="H198">
        <v>759</v>
      </c>
      <c r="I198" t="s">
        <v>414</v>
      </c>
      <c r="J198">
        <v>6</v>
      </c>
      <c r="K198" t="s">
        <v>1563</v>
      </c>
      <c r="L198" t="str">
        <f t="shared" si="27"/>
        <v>Y</v>
      </c>
      <c r="M198" t="str">
        <f t="shared" si="28"/>
        <v>Y</v>
      </c>
      <c r="N198" t="str">
        <f t="shared" si="29"/>
        <v>Y</v>
      </c>
      <c r="O198">
        <f t="shared" si="30"/>
        <v>2</v>
      </c>
      <c r="P198" s="6">
        <f t="shared" si="31"/>
        <v>1</v>
      </c>
      <c r="Q198" s="6">
        <f t="shared" si="32"/>
        <v>7.9051383399209481E-3</v>
      </c>
      <c r="R198">
        <f t="shared" si="33"/>
        <v>1</v>
      </c>
      <c r="S198">
        <f t="shared" si="34"/>
        <v>0</v>
      </c>
      <c r="T198" t="str">
        <f t="shared" si="35"/>
        <v>Mar-26</v>
      </c>
    </row>
    <row r="199" spans="1:20">
      <c r="A199" t="s">
        <v>415</v>
      </c>
      <c r="B199" t="s">
        <v>46</v>
      </c>
      <c r="C199" t="s">
        <v>16</v>
      </c>
      <c r="D199">
        <v>451</v>
      </c>
      <c r="E199" s="4">
        <v>46074</v>
      </c>
      <c r="F199" s="4">
        <v>46081</v>
      </c>
      <c r="G199" s="4">
        <v>46080</v>
      </c>
      <c r="H199">
        <v>454</v>
      </c>
      <c r="I199" t="s">
        <v>50</v>
      </c>
      <c r="J199">
        <v>31</v>
      </c>
      <c r="K199" t="s">
        <v>1563</v>
      </c>
      <c r="L199" t="str">
        <f t="shared" si="27"/>
        <v>Y</v>
      </c>
      <c r="M199" t="str">
        <f t="shared" si="28"/>
        <v>Y</v>
      </c>
      <c r="N199" t="str">
        <f t="shared" si="29"/>
        <v>Y</v>
      </c>
      <c r="O199">
        <f t="shared" si="30"/>
        <v>6</v>
      </c>
      <c r="P199" s="6">
        <f t="shared" si="31"/>
        <v>1.0066518847006651</v>
      </c>
      <c r="Q199" s="6">
        <f t="shared" si="32"/>
        <v>6.8281938325991193E-2</v>
      </c>
      <c r="R199">
        <f t="shared" si="33"/>
        <v>1</v>
      </c>
      <c r="S199">
        <f t="shared" si="34"/>
        <v>0</v>
      </c>
      <c r="T199" t="str">
        <f t="shared" si="35"/>
        <v>Feb-26</v>
      </c>
    </row>
    <row r="200" spans="1:20">
      <c r="A200" t="s">
        <v>416</v>
      </c>
      <c r="B200" t="s">
        <v>22</v>
      </c>
      <c r="C200" t="s">
        <v>12</v>
      </c>
      <c r="D200">
        <v>529</v>
      </c>
      <c r="E200" s="4">
        <v>46073</v>
      </c>
      <c r="F200" s="4">
        <v>46086</v>
      </c>
      <c r="G200" s="4">
        <v>46088</v>
      </c>
      <c r="H200">
        <v>522</v>
      </c>
      <c r="I200" t="s">
        <v>171</v>
      </c>
      <c r="J200">
        <v>19</v>
      </c>
      <c r="K200" t="s">
        <v>1563</v>
      </c>
      <c r="L200" t="str">
        <f t="shared" si="27"/>
        <v>N</v>
      </c>
      <c r="M200" t="str">
        <f t="shared" si="28"/>
        <v>Y</v>
      </c>
      <c r="N200" t="str">
        <f t="shared" si="29"/>
        <v>N</v>
      </c>
      <c r="O200">
        <f t="shared" si="30"/>
        <v>15</v>
      </c>
      <c r="P200" s="6">
        <f t="shared" si="31"/>
        <v>0.98676748582230622</v>
      </c>
      <c r="Q200" s="6">
        <f t="shared" si="32"/>
        <v>3.6398467432950193E-2</v>
      </c>
      <c r="R200">
        <f t="shared" si="33"/>
        <v>0</v>
      </c>
      <c r="S200">
        <f t="shared" si="34"/>
        <v>2</v>
      </c>
      <c r="T200" t="str">
        <f t="shared" si="35"/>
        <v>Mar-26</v>
      </c>
    </row>
    <row r="201" spans="1:20">
      <c r="A201" t="s">
        <v>418</v>
      </c>
      <c r="B201" t="s">
        <v>11</v>
      </c>
      <c r="C201" t="s">
        <v>12</v>
      </c>
      <c r="D201">
        <v>716</v>
      </c>
      <c r="E201" s="4">
        <v>46058</v>
      </c>
      <c r="F201" s="4">
        <v>46065</v>
      </c>
      <c r="G201" s="4">
        <v>46064</v>
      </c>
      <c r="H201">
        <v>718</v>
      </c>
      <c r="I201" t="s">
        <v>419</v>
      </c>
      <c r="J201">
        <v>11</v>
      </c>
      <c r="K201" t="s">
        <v>1563</v>
      </c>
      <c r="L201" t="str">
        <f t="shared" si="27"/>
        <v>Y</v>
      </c>
      <c r="M201" t="str">
        <f t="shared" si="28"/>
        <v>Y</v>
      </c>
      <c r="N201" t="str">
        <f t="shared" si="29"/>
        <v>Y</v>
      </c>
      <c r="O201">
        <f t="shared" si="30"/>
        <v>6</v>
      </c>
      <c r="P201" s="6">
        <f t="shared" si="31"/>
        <v>1.0027932960893855</v>
      </c>
      <c r="Q201" s="6">
        <f t="shared" si="32"/>
        <v>1.532033426183844E-2</v>
      </c>
      <c r="R201">
        <f t="shared" si="33"/>
        <v>1</v>
      </c>
      <c r="S201">
        <f t="shared" si="34"/>
        <v>0</v>
      </c>
      <c r="T201" t="str">
        <f t="shared" si="35"/>
        <v>Feb-26</v>
      </c>
    </row>
    <row r="202" spans="1:20">
      <c r="A202" t="s">
        <v>420</v>
      </c>
      <c r="B202" t="s">
        <v>120</v>
      </c>
      <c r="C202" t="s">
        <v>12</v>
      </c>
      <c r="D202">
        <v>879</v>
      </c>
      <c r="E202" s="4">
        <v>46148</v>
      </c>
      <c r="F202" s="4">
        <v>46154</v>
      </c>
      <c r="G202" s="4">
        <v>46154</v>
      </c>
      <c r="H202">
        <v>888</v>
      </c>
      <c r="I202" t="s">
        <v>421</v>
      </c>
      <c r="J202">
        <v>6</v>
      </c>
      <c r="K202" t="s">
        <v>1563</v>
      </c>
      <c r="L202" t="str">
        <f t="shared" si="27"/>
        <v>Y</v>
      </c>
      <c r="M202" t="str">
        <f t="shared" si="28"/>
        <v>Y</v>
      </c>
      <c r="N202" t="str">
        <f t="shared" si="29"/>
        <v>Y</v>
      </c>
      <c r="O202">
        <f t="shared" si="30"/>
        <v>6</v>
      </c>
      <c r="P202" s="6">
        <f t="shared" si="31"/>
        <v>1.0102389078498293</v>
      </c>
      <c r="Q202" s="6">
        <f t="shared" si="32"/>
        <v>6.7567567567567571E-3</v>
      </c>
      <c r="R202">
        <f t="shared" si="33"/>
        <v>1</v>
      </c>
      <c r="S202">
        <f t="shared" si="34"/>
        <v>0</v>
      </c>
      <c r="T202" t="str">
        <f t="shared" si="35"/>
        <v>May-26</v>
      </c>
    </row>
    <row r="203" spans="1:20">
      <c r="A203" t="s">
        <v>422</v>
      </c>
      <c r="B203" t="s">
        <v>67</v>
      </c>
      <c r="C203" t="s">
        <v>23</v>
      </c>
      <c r="D203">
        <v>202</v>
      </c>
      <c r="E203" s="4">
        <v>46113</v>
      </c>
      <c r="F203" s="4">
        <v>46126</v>
      </c>
      <c r="G203" s="4">
        <v>46123</v>
      </c>
      <c r="H203">
        <v>201</v>
      </c>
      <c r="I203" t="s">
        <v>423</v>
      </c>
      <c r="J203">
        <v>7</v>
      </c>
      <c r="K203" t="s">
        <v>1563</v>
      </c>
      <c r="L203" t="str">
        <f t="shared" si="27"/>
        <v>Y</v>
      </c>
      <c r="M203" t="str">
        <f t="shared" si="28"/>
        <v>Y</v>
      </c>
      <c r="N203" t="str">
        <f t="shared" si="29"/>
        <v>Y</v>
      </c>
      <c r="O203">
        <f t="shared" si="30"/>
        <v>10</v>
      </c>
      <c r="P203" s="6">
        <f t="shared" si="31"/>
        <v>0.99504950495049505</v>
      </c>
      <c r="Q203" s="6">
        <f t="shared" si="32"/>
        <v>3.482587064676617E-2</v>
      </c>
      <c r="R203">
        <f t="shared" si="33"/>
        <v>1</v>
      </c>
      <c r="S203">
        <f t="shared" si="34"/>
        <v>0</v>
      </c>
      <c r="T203" t="str">
        <f t="shared" si="35"/>
        <v>Apr-26</v>
      </c>
    </row>
    <row r="204" spans="1:20">
      <c r="A204" t="s">
        <v>424</v>
      </c>
      <c r="B204" t="s">
        <v>40</v>
      </c>
      <c r="C204" t="s">
        <v>12</v>
      </c>
      <c r="D204">
        <v>561</v>
      </c>
      <c r="E204" s="4">
        <v>46164</v>
      </c>
      <c r="F204" s="4">
        <v>46179</v>
      </c>
      <c r="G204" s="4">
        <v>46181</v>
      </c>
      <c r="H204">
        <v>555</v>
      </c>
      <c r="I204" t="s">
        <v>96</v>
      </c>
      <c r="J204">
        <v>49</v>
      </c>
      <c r="K204" t="s">
        <v>1563</v>
      </c>
      <c r="L204" t="str">
        <f t="shared" si="27"/>
        <v>N</v>
      </c>
      <c r="M204" t="str">
        <f t="shared" si="28"/>
        <v>Y</v>
      </c>
      <c r="N204" t="str">
        <f t="shared" si="29"/>
        <v>N</v>
      </c>
      <c r="O204">
        <f t="shared" si="30"/>
        <v>17</v>
      </c>
      <c r="P204" s="6">
        <f t="shared" si="31"/>
        <v>0.98930481283422456</v>
      </c>
      <c r="Q204" s="6">
        <f t="shared" si="32"/>
        <v>8.8288288288288289E-2</v>
      </c>
      <c r="R204">
        <f t="shared" si="33"/>
        <v>0</v>
      </c>
      <c r="S204">
        <f t="shared" si="34"/>
        <v>2</v>
      </c>
      <c r="T204" t="str">
        <f t="shared" si="35"/>
        <v>Jun-26</v>
      </c>
    </row>
    <row r="205" spans="1:20">
      <c r="A205" t="s">
        <v>425</v>
      </c>
      <c r="B205" t="s">
        <v>26</v>
      </c>
      <c r="C205" t="s">
        <v>16</v>
      </c>
      <c r="D205">
        <v>994</v>
      </c>
      <c r="E205" s="4">
        <v>46082</v>
      </c>
      <c r="F205" s="4">
        <v>46093</v>
      </c>
      <c r="G205" s="4">
        <v>46091</v>
      </c>
      <c r="H205">
        <v>982</v>
      </c>
      <c r="I205" t="s">
        <v>426</v>
      </c>
      <c r="J205">
        <v>27</v>
      </c>
      <c r="K205" t="s">
        <v>1563</v>
      </c>
      <c r="L205" t="str">
        <f t="shared" si="27"/>
        <v>Y</v>
      </c>
      <c r="M205" t="str">
        <f t="shared" si="28"/>
        <v>Y</v>
      </c>
      <c r="N205" t="str">
        <f t="shared" si="29"/>
        <v>Y</v>
      </c>
      <c r="O205">
        <f t="shared" si="30"/>
        <v>9</v>
      </c>
      <c r="P205" s="6">
        <f t="shared" si="31"/>
        <v>0.98792756539235416</v>
      </c>
      <c r="Q205" s="6">
        <f t="shared" si="32"/>
        <v>2.7494908350305498E-2</v>
      </c>
      <c r="R205">
        <f t="shared" si="33"/>
        <v>1</v>
      </c>
      <c r="S205">
        <f t="shared" si="34"/>
        <v>0</v>
      </c>
      <c r="T205" t="str">
        <f t="shared" si="35"/>
        <v>Mar-26</v>
      </c>
    </row>
    <row r="206" spans="1:20">
      <c r="A206" t="s">
        <v>427</v>
      </c>
      <c r="B206" t="s">
        <v>120</v>
      </c>
      <c r="C206" t="s">
        <v>16</v>
      </c>
      <c r="D206">
        <v>176</v>
      </c>
      <c r="E206" s="4">
        <v>46142</v>
      </c>
      <c r="F206" s="4">
        <v>46157</v>
      </c>
      <c r="G206" s="4"/>
      <c r="I206" t="s">
        <v>428</v>
      </c>
      <c r="K206" t="s">
        <v>1565</v>
      </c>
      <c r="L206" t="str">
        <f t="shared" si="27"/>
        <v>N/A</v>
      </c>
      <c r="M206" t="str">
        <f t="shared" si="28"/>
        <v>N/A</v>
      </c>
      <c r="N206" t="str">
        <f t="shared" si="29"/>
        <v>N/A</v>
      </c>
      <c r="O206" t="str">
        <f t="shared" si="30"/>
        <v>N/A</v>
      </c>
      <c r="P206" s="6" t="str">
        <f t="shared" si="31"/>
        <v>N/A</v>
      </c>
      <c r="Q206" s="6" t="str">
        <f t="shared" si="32"/>
        <v>N/A</v>
      </c>
      <c r="R206" t="str">
        <f t="shared" si="33"/>
        <v/>
      </c>
      <c r="S206" t="str">
        <f t="shared" si="34"/>
        <v>N/A</v>
      </c>
      <c r="T206" t="str">
        <f t="shared" si="35"/>
        <v>N/A</v>
      </c>
    </row>
    <row r="207" spans="1:20">
      <c r="A207" t="s">
        <v>429</v>
      </c>
      <c r="B207" t="s">
        <v>22</v>
      </c>
      <c r="C207" t="s">
        <v>12</v>
      </c>
      <c r="D207">
        <v>242</v>
      </c>
      <c r="E207" s="4">
        <v>46080</v>
      </c>
      <c r="F207" s="4">
        <v>46090</v>
      </c>
      <c r="G207" s="4">
        <v>46088</v>
      </c>
      <c r="H207">
        <v>242</v>
      </c>
      <c r="I207" t="s">
        <v>260</v>
      </c>
      <c r="J207">
        <v>2</v>
      </c>
      <c r="K207" t="s">
        <v>1563</v>
      </c>
      <c r="L207" t="str">
        <f t="shared" si="27"/>
        <v>Y</v>
      </c>
      <c r="M207" t="str">
        <f t="shared" si="28"/>
        <v>Y</v>
      </c>
      <c r="N207" t="str">
        <f t="shared" si="29"/>
        <v>Y</v>
      </c>
      <c r="O207">
        <f t="shared" si="30"/>
        <v>8</v>
      </c>
      <c r="P207" s="6">
        <f t="shared" si="31"/>
        <v>1</v>
      </c>
      <c r="Q207" s="6">
        <f t="shared" si="32"/>
        <v>8.2644628099173556E-3</v>
      </c>
      <c r="R207">
        <f t="shared" si="33"/>
        <v>1</v>
      </c>
      <c r="S207">
        <f t="shared" si="34"/>
        <v>0</v>
      </c>
      <c r="T207" t="str">
        <f t="shared" si="35"/>
        <v>Mar-26</v>
      </c>
    </row>
    <row r="208" spans="1:20">
      <c r="A208" t="s">
        <v>431</v>
      </c>
      <c r="B208" t="s">
        <v>100</v>
      </c>
      <c r="C208" t="s">
        <v>16</v>
      </c>
      <c r="D208">
        <v>641</v>
      </c>
      <c r="E208" s="4">
        <v>46073</v>
      </c>
      <c r="F208" s="4">
        <v>46086</v>
      </c>
      <c r="G208" s="4">
        <v>46085</v>
      </c>
      <c r="H208">
        <v>636</v>
      </c>
      <c r="I208" t="s">
        <v>432</v>
      </c>
      <c r="J208">
        <v>4</v>
      </c>
      <c r="K208" t="s">
        <v>1563</v>
      </c>
      <c r="L208" t="str">
        <f t="shared" si="27"/>
        <v>Y</v>
      </c>
      <c r="M208" t="str">
        <f t="shared" si="28"/>
        <v>Y</v>
      </c>
      <c r="N208" t="str">
        <f t="shared" si="29"/>
        <v>Y</v>
      </c>
      <c r="O208">
        <f t="shared" si="30"/>
        <v>12</v>
      </c>
      <c r="P208" s="6">
        <f t="shared" si="31"/>
        <v>0.99219968798751945</v>
      </c>
      <c r="Q208" s="6">
        <f t="shared" si="32"/>
        <v>6.2893081761006293E-3</v>
      </c>
      <c r="R208">
        <f t="shared" si="33"/>
        <v>1</v>
      </c>
      <c r="S208">
        <f t="shared" si="34"/>
        <v>0</v>
      </c>
      <c r="T208" t="str">
        <f t="shared" si="35"/>
        <v>Mar-26</v>
      </c>
    </row>
    <row r="209" spans="1:20">
      <c r="A209" t="s">
        <v>433</v>
      </c>
      <c r="B209" t="s">
        <v>19</v>
      </c>
      <c r="C209" t="s">
        <v>12</v>
      </c>
      <c r="D209">
        <v>884</v>
      </c>
      <c r="E209" s="4">
        <v>46123</v>
      </c>
      <c r="F209" s="4">
        <v>46131</v>
      </c>
      <c r="G209" s="4">
        <v>46133</v>
      </c>
      <c r="H209">
        <v>871</v>
      </c>
      <c r="I209" t="s">
        <v>434</v>
      </c>
      <c r="J209">
        <v>49</v>
      </c>
      <c r="K209" t="s">
        <v>1563</v>
      </c>
      <c r="L209" t="str">
        <f t="shared" si="27"/>
        <v>N</v>
      </c>
      <c r="M209" t="str">
        <f t="shared" si="28"/>
        <v>Y</v>
      </c>
      <c r="N209" t="str">
        <f t="shared" si="29"/>
        <v>N</v>
      </c>
      <c r="O209">
        <f t="shared" si="30"/>
        <v>10</v>
      </c>
      <c r="P209" s="6">
        <f t="shared" si="31"/>
        <v>0.98529411764705888</v>
      </c>
      <c r="Q209" s="6">
        <f t="shared" si="32"/>
        <v>5.6257175660160738E-2</v>
      </c>
      <c r="R209">
        <f t="shared" si="33"/>
        <v>0</v>
      </c>
      <c r="S209">
        <f t="shared" si="34"/>
        <v>2</v>
      </c>
      <c r="T209" t="str">
        <f t="shared" si="35"/>
        <v>Apr-26</v>
      </c>
    </row>
    <row r="210" spans="1:20">
      <c r="A210" t="s">
        <v>435</v>
      </c>
      <c r="B210" t="s">
        <v>46</v>
      </c>
      <c r="C210" t="s">
        <v>23</v>
      </c>
      <c r="D210">
        <v>940</v>
      </c>
      <c r="E210" s="4">
        <v>46069</v>
      </c>
      <c r="F210" s="4">
        <v>46074</v>
      </c>
      <c r="G210" s="4">
        <v>46072</v>
      </c>
      <c r="H210">
        <v>934</v>
      </c>
      <c r="I210" t="s">
        <v>437</v>
      </c>
      <c r="J210">
        <v>43</v>
      </c>
      <c r="K210" t="s">
        <v>1563</v>
      </c>
      <c r="L210" t="str">
        <f t="shared" si="27"/>
        <v>Y</v>
      </c>
      <c r="M210" t="str">
        <f t="shared" si="28"/>
        <v>Y</v>
      </c>
      <c r="N210" t="str">
        <f t="shared" si="29"/>
        <v>Y</v>
      </c>
      <c r="O210">
        <f t="shared" si="30"/>
        <v>3</v>
      </c>
      <c r="P210" s="6">
        <f t="shared" si="31"/>
        <v>0.99361702127659579</v>
      </c>
      <c r="Q210" s="6">
        <f t="shared" si="32"/>
        <v>4.6038543897216275E-2</v>
      </c>
      <c r="R210">
        <f t="shared" si="33"/>
        <v>1</v>
      </c>
      <c r="S210">
        <f t="shared" si="34"/>
        <v>0</v>
      </c>
      <c r="T210" t="str">
        <f t="shared" si="35"/>
        <v>Feb-26</v>
      </c>
    </row>
    <row r="211" spans="1:20">
      <c r="A211" t="s">
        <v>438</v>
      </c>
      <c r="B211" t="s">
        <v>26</v>
      </c>
      <c r="C211" t="s">
        <v>12</v>
      </c>
      <c r="D211">
        <v>473</v>
      </c>
      <c r="E211" s="4">
        <v>46119</v>
      </c>
      <c r="F211" s="4">
        <v>46128</v>
      </c>
      <c r="G211" s="4">
        <v>46125</v>
      </c>
      <c r="H211">
        <v>467</v>
      </c>
      <c r="I211" t="s">
        <v>214</v>
      </c>
      <c r="J211">
        <v>5</v>
      </c>
      <c r="K211" t="s">
        <v>1563</v>
      </c>
      <c r="L211" t="str">
        <f t="shared" si="27"/>
        <v>Y</v>
      </c>
      <c r="M211" t="str">
        <f t="shared" si="28"/>
        <v>Y</v>
      </c>
      <c r="N211" t="str">
        <f t="shared" si="29"/>
        <v>Y</v>
      </c>
      <c r="O211">
        <f t="shared" si="30"/>
        <v>6</v>
      </c>
      <c r="P211" s="6">
        <f t="shared" si="31"/>
        <v>0.98731501057082449</v>
      </c>
      <c r="Q211" s="6">
        <f t="shared" si="32"/>
        <v>1.0706638115631691E-2</v>
      </c>
      <c r="R211">
        <f t="shared" si="33"/>
        <v>1</v>
      </c>
      <c r="S211">
        <f t="shared" si="34"/>
        <v>0</v>
      </c>
      <c r="T211" t="str">
        <f t="shared" si="35"/>
        <v>Apr-26</v>
      </c>
    </row>
    <row r="212" spans="1:20">
      <c r="A212" t="s">
        <v>439</v>
      </c>
      <c r="B212" t="s">
        <v>81</v>
      </c>
      <c r="C212" t="s">
        <v>23</v>
      </c>
      <c r="D212">
        <v>177</v>
      </c>
      <c r="E212" s="4">
        <v>46064</v>
      </c>
      <c r="F212" s="4">
        <v>46070</v>
      </c>
      <c r="G212" s="4">
        <v>46069</v>
      </c>
      <c r="H212">
        <v>180</v>
      </c>
      <c r="I212" t="s">
        <v>296</v>
      </c>
      <c r="J212">
        <v>1</v>
      </c>
      <c r="K212" t="s">
        <v>1563</v>
      </c>
      <c r="L212" t="str">
        <f t="shared" si="27"/>
        <v>Y</v>
      </c>
      <c r="M212" t="str">
        <f t="shared" si="28"/>
        <v>Y</v>
      </c>
      <c r="N212" t="str">
        <f t="shared" si="29"/>
        <v>Y</v>
      </c>
      <c r="O212">
        <f t="shared" si="30"/>
        <v>5</v>
      </c>
      <c r="P212" s="6">
        <f t="shared" si="31"/>
        <v>1.0169491525423728</v>
      </c>
      <c r="Q212" s="6">
        <f t="shared" si="32"/>
        <v>5.5555555555555558E-3</v>
      </c>
      <c r="R212">
        <f t="shared" si="33"/>
        <v>1</v>
      </c>
      <c r="S212">
        <f t="shared" si="34"/>
        <v>0</v>
      </c>
      <c r="T212" t="str">
        <f t="shared" si="35"/>
        <v>Feb-26</v>
      </c>
    </row>
    <row r="213" spans="1:20">
      <c r="A213" t="s">
        <v>440</v>
      </c>
      <c r="B213" t="s">
        <v>120</v>
      </c>
      <c r="C213" t="s">
        <v>12</v>
      </c>
      <c r="D213">
        <v>179</v>
      </c>
      <c r="E213" s="4">
        <v>46115</v>
      </c>
      <c r="F213" s="4">
        <v>46120</v>
      </c>
      <c r="G213" s="4">
        <v>46118</v>
      </c>
      <c r="H213">
        <v>179</v>
      </c>
      <c r="I213" t="s">
        <v>55</v>
      </c>
      <c r="J213">
        <v>9</v>
      </c>
      <c r="K213" t="s">
        <v>1563</v>
      </c>
      <c r="L213" t="str">
        <f t="shared" si="27"/>
        <v>Y</v>
      </c>
      <c r="M213" t="str">
        <f t="shared" si="28"/>
        <v>Y</v>
      </c>
      <c r="N213" t="str">
        <f t="shared" si="29"/>
        <v>Y</v>
      </c>
      <c r="O213">
        <f t="shared" si="30"/>
        <v>3</v>
      </c>
      <c r="P213" s="6">
        <f t="shared" si="31"/>
        <v>1</v>
      </c>
      <c r="Q213" s="6">
        <f t="shared" si="32"/>
        <v>5.027932960893855E-2</v>
      </c>
      <c r="R213">
        <f t="shared" si="33"/>
        <v>1</v>
      </c>
      <c r="S213">
        <f t="shared" si="34"/>
        <v>0</v>
      </c>
      <c r="T213" t="str">
        <f t="shared" si="35"/>
        <v>Apr-26</v>
      </c>
    </row>
    <row r="214" spans="1:20">
      <c r="A214" t="s">
        <v>441</v>
      </c>
      <c r="B214" t="s">
        <v>19</v>
      </c>
      <c r="C214" t="s">
        <v>12</v>
      </c>
      <c r="D214">
        <v>708</v>
      </c>
      <c r="E214" s="4">
        <v>46148</v>
      </c>
      <c r="F214" s="4">
        <v>46159</v>
      </c>
      <c r="G214" s="4">
        <v>46164</v>
      </c>
      <c r="H214">
        <v>701</v>
      </c>
      <c r="I214" t="s">
        <v>442</v>
      </c>
      <c r="J214">
        <v>29</v>
      </c>
      <c r="K214" t="s">
        <v>1563</v>
      </c>
      <c r="L214" t="str">
        <f t="shared" si="27"/>
        <v>N</v>
      </c>
      <c r="M214" t="str">
        <f t="shared" si="28"/>
        <v>Y</v>
      </c>
      <c r="N214" t="str">
        <f t="shared" si="29"/>
        <v>N</v>
      </c>
      <c r="O214">
        <f t="shared" si="30"/>
        <v>16</v>
      </c>
      <c r="P214" s="6">
        <f t="shared" si="31"/>
        <v>0.99011299435028244</v>
      </c>
      <c r="Q214" s="6">
        <f t="shared" si="32"/>
        <v>4.136947218259629E-2</v>
      </c>
      <c r="R214">
        <f t="shared" si="33"/>
        <v>0</v>
      </c>
      <c r="S214">
        <f t="shared" si="34"/>
        <v>5</v>
      </c>
      <c r="T214" t="str">
        <f t="shared" si="35"/>
        <v>May-26</v>
      </c>
    </row>
    <row r="215" spans="1:20">
      <c r="A215" t="s">
        <v>443</v>
      </c>
      <c r="B215" t="s">
        <v>177</v>
      </c>
      <c r="C215" t="s">
        <v>12</v>
      </c>
      <c r="D215">
        <v>899</v>
      </c>
      <c r="E215" s="4">
        <v>46031</v>
      </c>
      <c r="F215" s="4">
        <v>46039</v>
      </c>
      <c r="G215" s="4">
        <v>46047</v>
      </c>
      <c r="H215">
        <v>915</v>
      </c>
      <c r="I215" t="s">
        <v>444</v>
      </c>
      <c r="J215">
        <v>26</v>
      </c>
      <c r="K215" t="s">
        <v>1563</v>
      </c>
      <c r="L215" t="str">
        <f t="shared" si="27"/>
        <v>N</v>
      </c>
      <c r="M215" t="str">
        <f t="shared" si="28"/>
        <v>Y</v>
      </c>
      <c r="N215" t="str">
        <f t="shared" si="29"/>
        <v>N</v>
      </c>
      <c r="O215">
        <f t="shared" si="30"/>
        <v>16</v>
      </c>
      <c r="P215" s="6">
        <f t="shared" si="31"/>
        <v>1.0177975528364849</v>
      </c>
      <c r="Q215" s="6">
        <f t="shared" si="32"/>
        <v>2.8415300546448089E-2</v>
      </c>
      <c r="R215">
        <f t="shared" si="33"/>
        <v>0</v>
      </c>
      <c r="S215">
        <f t="shared" si="34"/>
        <v>8</v>
      </c>
      <c r="T215" t="str">
        <f t="shared" si="35"/>
        <v>Jan-26</v>
      </c>
    </row>
    <row r="216" spans="1:20">
      <c r="A216" t="s">
        <v>445</v>
      </c>
      <c r="B216" t="s">
        <v>52</v>
      </c>
      <c r="C216" t="s">
        <v>16</v>
      </c>
      <c r="D216">
        <v>744</v>
      </c>
      <c r="E216" s="4">
        <v>46032</v>
      </c>
      <c r="F216" s="4">
        <v>46042</v>
      </c>
      <c r="G216" s="4"/>
      <c r="I216" t="s">
        <v>446</v>
      </c>
      <c r="K216" t="s">
        <v>1565</v>
      </c>
      <c r="L216" t="str">
        <f t="shared" si="27"/>
        <v>N/A</v>
      </c>
      <c r="M216" t="str">
        <f t="shared" si="28"/>
        <v>N/A</v>
      </c>
      <c r="N216" t="str">
        <f t="shared" si="29"/>
        <v>N/A</v>
      </c>
      <c r="O216" t="str">
        <f t="shared" si="30"/>
        <v>N/A</v>
      </c>
      <c r="P216" s="6" t="str">
        <f t="shared" si="31"/>
        <v>N/A</v>
      </c>
      <c r="Q216" s="6" t="str">
        <f t="shared" si="32"/>
        <v>N/A</v>
      </c>
      <c r="R216" t="str">
        <f t="shared" si="33"/>
        <v/>
      </c>
      <c r="S216" t="str">
        <f t="shared" si="34"/>
        <v>N/A</v>
      </c>
      <c r="T216" t="str">
        <f t="shared" si="35"/>
        <v>N/A</v>
      </c>
    </row>
    <row r="217" spans="1:20">
      <c r="A217" t="s">
        <v>447</v>
      </c>
      <c r="B217" t="s">
        <v>19</v>
      </c>
      <c r="C217" t="s">
        <v>16</v>
      </c>
      <c r="D217">
        <v>252</v>
      </c>
      <c r="E217" s="4">
        <v>46126</v>
      </c>
      <c r="F217" s="4">
        <v>46137</v>
      </c>
      <c r="G217" s="4">
        <v>46146</v>
      </c>
      <c r="H217">
        <v>230</v>
      </c>
      <c r="I217" t="s">
        <v>448</v>
      </c>
      <c r="J217">
        <v>10</v>
      </c>
      <c r="K217" t="s">
        <v>1563</v>
      </c>
      <c r="L217" t="str">
        <f t="shared" si="27"/>
        <v>N</v>
      </c>
      <c r="M217" t="str">
        <f t="shared" si="28"/>
        <v>N</v>
      </c>
      <c r="N217" t="str">
        <f t="shared" si="29"/>
        <v>N</v>
      </c>
      <c r="O217">
        <f t="shared" si="30"/>
        <v>20</v>
      </c>
      <c r="P217" s="6">
        <f t="shared" si="31"/>
        <v>0.91269841269841268</v>
      </c>
      <c r="Q217" s="6">
        <f t="shared" si="32"/>
        <v>4.3478260869565216E-2</v>
      </c>
      <c r="R217">
        <f t="shared" si="33"/>
        <v>0</v>
      </c>
      <c r="S217">
        <f t="shared" si="34"/>
        <v>9</v>
      </c>
      <c r="T217" t="str">
        <f t="shared" si="35"/>
        <v>May-26</v>
      </c>
    </row>
    <row r="218" spans="1:20">
      <c r="A218" t="s">
        <v>449</v>
      </c>
      <c r="B218" t="s">
        <v>32</v>
      </c>
      <c r="C218" t="s">
        <v>16</v>
      </c>
      <c r="D218">
        <v>787</v>
      </c>
      <c r="E218" s="4">
        <v>46082</v>
      </c>
      <c r="F218" s="4">
        <v>46092</v>
      </c>
      <c r="G218" s="4">
        <v>46091</v>
      </c>
      <c r="H218">
        <v>637</v>
      </c>
      <c r="I218" t="s">
        <v>209</v>
      </c>
      <c r="J218">
        <v>35</v>
      </c>
      <c r="K218" t="s">
        <v>1563</v>
      </c>
      <c r="L218" t="str">
        <f t="shared" si="27"/>
        <v>Y</v>
      </c>
      <c r="M218" t="str">
        <f t="shared" si="28"/>
        <v>N</v>
      </c>
      <c r="N218" t="str">
        <f t="shared" si="29"/>
        <v>N</v>
      </c>
      <c r="O218">
        <f t="shared" si="30"/>
        <v>9</v>
      </c>
      <c r="P218" s="6">
        <f t="shared" si="31"/>
        <v>0.80940279542566707</v>
      </c>
      <c r="Q218" s="6">
        <f t="shared" si="32"/>
        <v>5.4945054945054944E-2</v>
      </c>
      <c r="R218">
        <f t="shared" si="33"/>
        <v>0</v>
      </c>
      <c r="S218">
        <f t="shared" si="34"/>
        <v>0</v>
      </c>
      <c r="T218" t="str">
        <f t="shared" si="35"/>
        <v>Mar-26</v>
      </c>
    </row>
    <row r="219" spans="1:20">
      <c r="A219" t="s">
        <v>450</v>
      </c>
      <c r="B219" t="s">
        <v>67</v>
      </c>
      <c r="C219" t="s">
        <v>23</v>
      </c>
      <c r="D219">
        <v>532</v>
      </c>
      <c r="E219" s="4">
        <v>46032</v>
      </c>
      <c r="F219" s="4">
        <v>46039</v>
      </c>
      <c r="G219" s="4">
        <v>46036</v>
      </c>
      <c r="H219">
        <v>537</v>
      </c>
      <c r="I219" t="s">
        <v>219</v>
      </c>
      <c r="J219">
        <v>23</v>
      </c>
      <c r="K219" t="s">
        <v>1563</v>
      </c>
      <c r="L219" t="str">
        <f t="shared" si="27"/>
        <v>Y</v>
      </c>
      <c r="M219" t="str">
        <f t="shared" si="28"/>
        <v>Y</v>
      </c>
      <c r="N219" t="str">
        <f t="shared" si="29"/>
        <v>Y</v>
      </c>
      <c r="O219">
        <f t="shared" si="30"/>
        <v>4</v>
      </c>
      <c r="P219" s="6">
        <f t="shared" si="31"/>
        <v>1.0093984962406015</v>
      </c>
      <c r="Q219" s="6">
        <f t="shared" si="32"/>
        <v>4.2830540037243951E-2</v>
      </c>
      <c r="R219">
        <f t="shared" si="33"/>
        <v>1</v>
      </c>
      <c r="S219">
        <f t="shared" si="34"/>
        <v>0</v>
      </c>
      <c r="T219" t="str">
        <f t="shared" si="35"/>
        <v>Jan-26</v>
      </c>
    </row>
    <row r="220" spans="1:20">
      <c r="A220" t="s">
        <v>451</v>
      </c>
      <c r="B220" t="s">
        <v>100</v>
      </c>
      <c r="C220" t="s">
        <v>16</v>
      </c>
      <c r="D220">
        <v>445</v>
      </c>
      <c r="E220" s="4">
        <v>46075</v>
      </c>
      <c r="F220" s="4">
        <v>46086</v>
      </c>
      <c r="G220" s="4">
        <v>46086</v>
      </c>
      <c r="H220">
        <v>441</v>
      </c>
      <c r="I220" t="s">
        <v>452</v>
      </c>
      <c r="J220">
        <v>2</v>
      </c>
      <c r="K220" t="s">
        <v>1563</v>
      </c>
      <c r="L220" t="str">
        <f t="shared" si="27"/>
        <v>Y</v>
      </c>
      <c r="M220" t="str">
        <f t="shared" si="28"/>
        <v>Y</v>
      </c>
      <c r="N220" t="str">
        <f t="shared" si="29"/>
        <v>Y</v>
      </c>
      <c r="O220">
        <f t="shared" si="30"/>
        <v>11</v>
      </c>
      <c r="P220" s="6">
        <f t="shared" si="31"/>
        <v>0.99101123595505614</v>
      </c>
      <c r="Q220" s="6">
        <f t="shared" si="32"/>
        <v>4.5351473922902496E-3</v>
      </c>
      <c r="R220">
        <f t="shared" si="33"/>
        <v>1</v>
      </c>
      <c r="S220">
        <f t="shared" si="34"/>
        <v>0</v>
      </c>
      <c r="T220" t="str">
        <f t="shared" si="35"/>
        <v>Mar-26</v>
      </c>
    </row>
    <row r="221" spans="1:20">
      <c r="A221" t="s">
        <v>453</v>
      </c>
      <c r="B221" t="s">
        <v>81</v>
      </c>
      <c r="C221" t="s">
        <v>12</v>
      </c>
      <c r="D221">
        <v>927</v>
      </c>
      <c r="E221" s="4">
        <v>46173</v>
      </c>
      <c r="F221" s="4">
        <v>46178</v>
      </c>
      <c r="G221" s="4">
        <v>46185</v>
      </c>
      <c r="H221">
        <v>810</v>
      </c>
      <c r="I221" t="s">
        <v>409</v>
      </c>
      <c r="J221">
        <v>9</v>
      </c>
      <c r="K221" t="s">
        <v>1563</v>
      </c>
      <c r="L221" t="str">
        <f t="shared" si="27"/>
        <v>N</v>
      </c>
      <c r="M221" t="str">
        <f t="shared" si="28"/>
        <v>N</v>
      </c>
      <c r="N221" t="str">
        <f t="shared" si="29"/>
        <v>N</v>
      </c>
      <c r="O221">
        <f t="shared" si="30"/>
        <v>12</v>
      </c>
      <c r="P221" s="6">
        <f t="shared" si="31"/>
        <v>0.87378640776699024</v>
      </c>
      <c r="Q221" s="6">
        <f t="shared" si="32"/>
        <v>1.1111111111111112E-2</v>
      </c>
      <c r="R221">
        <f t="shared" si="33"/>
        <v>0</v>
      </c>
      <c r="S221">
        <f t="shared" si="34"/>
        <v>7</v>
      </c>
      <c r="T221" t="str">
        <f t="shared" si="35"/>
        <v>Jun-26</v>
      </c>
    </row>
    <row r="222" spans="1:20">
      <c r="A222" t="s">
        <v>454</v>
      </c>
      <c r="B222" t="s">
        <v>177</v>
      </c>
      <c r="C222" t="s">
        <v>12</v>
      </c>
      <c r="D222">
        <v>967</v>
      </c>
      <c r="E222" s="4">
        <v>46091</v>
      </c>
      <c r="F222" s="4">
        <v>46102</v>
      </c>
      <c r="G222" s="4">
        <v>46102</v>
      </c>
      <c r="H222">
        <v>835</v>
      </c>
      <c r="I222" t="s">
        <v>456</v>
      </c>
      <c r="J222">
        <v>42</v>
      </c>
      <c r="K222" t="s">
        <v>1563</v>
      </c>
      <c r="L222" t="str">
        <f t="shared" si="27"/>
        <v>Y</v>
      </c>
      <c r="M222" t="str">
        <f t="shared" si="28"/>
        <v>N</v>
      </c>
      <c r="N222" t="str">
        <f t="shared" si="29"/>
        <v>N</v>
      </c>
      <c r="O222">
        <f t="shared" si="30"/>
        <v>11</v>
      </c>
      <c r="P222" s="6">
        <f t="shared" si="31"/>
        <v>0.86349534643226478</v>
      </c>
      <c r="Q222" s="6">
        <f t="shared" si="32"/>
        <v>5.0299401197604787E-2</v>
      </c>
      <c r="R222">
        <f t="shared" si="33"/>
        <v>0</v>
      </c>
      <c r="S222">
        <f t="shared" si="34"/>
        <v>0</v>
      </c>
      <c r="T222" t="str">
        <f t="shared" si="35"/>
        <v>Mar-26</v>
      </c>
    </row>
    <row r="223" spans="1:20">
      <c r="A223" t="s">
        <v>457</v>
      </c>
      <c r="B223" t="s">
        <v>26</v>
      </c>
      <c r="C223" t="s">
        <v>23</v>
      </c>
      <c r="D223">
        <v>476</v>
      </c>
      <c r="E223" s="4">
        <v>46072</v>
      </c>
      <c r="F223" s="4">
        <v>46082</v>
      </c>
      <c r="G223" s="4">
        <v>46083</v>
      </c>
      <c r="H223">
        <v>402</v>
      </c>
      <c r="I223" t="s">
        <v>458</v>
      </c>
      <c r="J223">
        <v>13</v>
      </c>
      <c r="K223" t="s">
        <v>1563</v>
      </c>
      <c r="L223" t="str">
        <f t="shared" si="27"/>
        <v>N</v>
      </c>
      <c r="M223" t="str">
        <f t="shared" si="28"/>
        <v>N</v>
      </c>
      <c r="N223" t="str">
        <f t="shared" si="29"/>
        <v>N</v>
      </c>
      <c r="O223">
        <f t="shared" si="30"/>
        <v>11</v>
      </c>
      <c r="P223" s="6">
        <f t="shared" si="31"/>
        <v>0.84453781512605042</v>
      </c>
      <c r="Q223" s="6">
        <f t="shared" si="32"/>
        <v>3.2338308457711441E-2</v>
      </c>
      <c r="R223">
        <f t="shared" si="33"/>
        <v>0</v>
      </c>
      <c r="S223">
        <f t="shared" si="34"/>
        <v>1</v>
      </c>
      <c r="T223" t="str">
        <f t="shared" si="35"/>
        <v>Mar-26</v>
      </c>
    </row>
    <row r="224" spans="1:20">
      <c r="A224" t="s">
        <v>459</v>
      </c>
      <c r="B224" t="s">
        <v>43</v>
      </c>
      <c r="C224" t="s">
        <v>23</v>
      </c>
      <c r="D224">
        <v>255</v>
      </c>
      <c r="E224" s="4">
        <v>46114</v>
      </c>
      <c r="F224" s="4">
        <v>46120</v>
      </c>
      <c r="G224" s="4">
        <v>46123</v>
      </c>
      <c r="H224">
        <v>256</v>
      </c>
      <c r="I224" t="s">
        <v>86</v>
      </c>
      <c r="J224">
        <v>16</v>
      </c>
      <c r="K224" t="s">
        <v>1563</v>
      </c>
      <c r="L224" t="str">
        <f t="shared" si="27"/>
        <v>N</v>
      </c>
      <c r="M224" t="str">
        <f t="shared" si="28"/>
        <v>Y</v>
      </c>
      <c r="N224" t="str">
        <f t="shared" si="29"/>
        <v>N</v>
      </c>
      <c r="O224">
        <f t="shared" si="30"/>
        <v>9</v>
      </c>
      <c r="P224" s="6">
        <f t="shared" si="31"/>
        <v>1.003921568627451</v>
      </c>
      <c r="Q224" s="6">
        <f t="shared" si="32"/>
        <v>6.25E-2</v>
      </c>
      <c r="R224">
        <f t="shared" si="33"/>
        <v>0</v>
      </c>
      <c r="S224">
        <f t="shared" si="34"/>
        <v>3</v>
      </c>
      <c r="T224" t="str">
        <f t="shared" si="35"/>
        <v>Apr-26</v>
      </c>
    </row>
    <row r="225" spans="1:20">
      <c r="A225" t="s">
        <v>460</v>
      </c>
      <c r="B225" t="s">
        <v>70</v>
      </c>
      <c r="C225" t="s">
        <v>12</v>
      </c>
      <c r="D225">
        <v>490</v>
      </c>
      <c r="E225" s="4">
        <v>46119</v>
      </c>
      <c r="F225" s="4">
        <v>46129</v>
      </c>
      <c r="G225" s="4">
        <v>46132</v>
      </c>
      <c r="H225">
        <v>438</v>
      </c>
      <c r="I225" t="s">
        <v>461</v>
      </c>
      <c r="J225">
        <v>8</v>
      </c>
      <c r="K225" t="s">
        <v>1563</v>
      </c>
      <c r="L225" t="str">
        <f t="shared" si="27"/>
        <v>N</v>
      </c>
      <c r="M225" t="str">
        <f t="shared" si="28"/>
        <v>N</v>
      </c>
      <c r="N225" t="str">
        <f t="shared" si="29"/>
        <v>N</v>
      </c>
      <c r="O225">
        <f t="shared" si="30"/>
        <v>13</v>
      </c>
      <c r="P225" s="6">
        <f t="shared" si="31"/>
        <v>0.89387755102040811</v>
      </c>
      <c r="Q225" s="6">
        <f t="shared" si="32"/>
        <v>1.8264840182648401E-2</v>
      </c>
      <c r="R225">
        <f t="shared" si="33"/>
        <v>0</v>
      </c>
      <c r="S225">
        <f t="shared" si="34"/>
        <v>3</v>
      </c>
      <c r="T225" t="str">
        <f t="shared" si="35"/>
        <v>Apr-26</v>
      </c>
    </row>
    <row r="226" spans="1:20">
      <c r="A226" t="s">
        <v>462</v>
      </c>
      <c r="B226" t="s">
        <v>120</v>
      </c>
      <c r="C226" t="s">
        <v>23</v>
      </c>
      <c r="D226">
        <v>561</v>
      </c>
      <c r="E226" s="4">
        <v>46152</v>
      </c>
      <c r="F226" s="4">
        <v>46167</v>
      </c>
      <c r="G226" s="4">
        <v>46165</v>
      </c>
      <c r="H226">
        <v>568</v>
      </c>
      <c r="I226" t="s">
        <v>463</v>
      </c>
      <c r="J226">
        <v>22</v>
      </c>
      <c r="K226" t="s">
        <v>1563</v>
      </c>
      <c r="L226" t="str">
        <f t="shared" si="27"/>
        <v>Y</v>
      </c>
      <c r="M226" t="str">
        <f t="shared" si="28"/>
        <v>Y</v>
      </c>
      <c r="N226" t="str">
        <f t="shared" si="29"/>
        <v>Y</v>
      </c>
      <c r="O226">
        <f t="shared" si="30"/>
        <v>13</v>
      </c>
      <c r="P226" s="6">
        <f t="shared" si="31"/>
        <v>1.0124777183600713</v>
      </c>
      <c r="Q226" s="6">
        <f t="shared" si="32"/>
        <v>3.873239436619718E-2</v>
      </c>
      <c r="R226">
        <f t="shared" si="33"/>
        <v>1</v>
      </c>
      <c r="S226">
        <f t="shared" si="34"/>
        <v>0</v>
      </c>
      <c r="T226" t="str">
        <f t="shared" si="35"/>
        <v>May-26</v>
      </c>
    </row>
    <row r="227" spans="1:20">
      <c r="A227" t="s">
        <v>464</v>
      </c>
      <c r="B227" t="s">
        <v>26</v>
      </c>
      <c r="C227" t="s">
        <v>12</v>
      </c>
      <c r="D227">
        <v>220</v>
      </c>
      <c r="E227" s="4">
        <v>46166</v>
      </c>
      <c r="F227" s="4">
        <v>46180</v>
      </c>
      <c r="G227" s="4">
        <v>46178</v>
      </c>
      <c r="H227">
        <v>216</v>
      </c>
      <c r="I227" t="s">
        <v>191</v>
      </c>
      <c r="J227">
        <v>6</v>
      </c>
      <c r="K227" t="s">
        <v>1563</v>
      </c>
      <c r="L227" t="str">
        <f t="shared" si="27"/>
        <v>Y</v>
      </c>
      <c r="M227" t="str">
        <f t="shared" si="28"/>
        <v>Y</v>
      </c>
      <c r="N227" t="str">
        <f t="shared" si="29"/>
        <v>Y</v>
      </c>
      <c r="O227">
        <f t="shared" si="30"/>
        <v>12</v>
      </c>
      <c r="P227" s="6">
        <f t="shared" si="31"/>
        <v>0.98181818181818181</v>
      </c>
      <c r="Q227" s="6">
        <f t="shared" si="32"/>
        <v>2.7777777777777776E-2</v>
      </c>
      <c r="R227">
        <f t="shared" si="33"/>
        <v>1</v>
      </c>
      <c r="S227">
        <f t="shared" si="34"/>
        <v>0</v>
      </c>
      <c r="T227" t="str">
        <f t="shared" si="35"/>
        <v>Jun-26</v>
      </c>
    </row>
    <row r="228" spans="1:20">
      <c r="A228" t="s">
        <v>465</v>
      </c>
      <c r="B228" t="s">
        <v>11</v>
      </c>
      <c r="C228" t="s">
        <v>16</v>
      </c>
      <c r="D228">
        <v>744</v>
      </c>
      <c r="E228" s="4">
        <v>46143</v>
      </c>
      <c r="F228" s="4">
        <v>46157</v>
      </c>
      <c r="G228" s="4">
        <v>46155</v>
      </c>
      <c r="H228">
        <v>736</v>
      </c>
      <c r="I228" t="s">
        <v>393</v>
      </c>
      <c r="J228">
        <v>15</v>
      </c>
      <c r="K228" t="s">
        <v>1563</v>
      </c>
      <c r="L228" t="str">
        <f t="shared" si="27"/>
        <v>Y</v>
      </c>
      <c r="M228" t="str">
        <f t="shared" si="28"/>
        <v>Y</v>
      </c>
      <c r="N228" t="str">
        <f t="shared" si="29"/>
        <v>Y</v>
      </c>
      <c r="O228">
        <f t="shared" si="30"/>
        <v>12</v>
      </c>
      <c r="P228" s="6">
        <f t="shared" si="31"/>
        <v>0.989247311827957</v>
      </c>
      <c r="Q228" s="6">
        <f t="shared" si="32"/>
        <v>2.0380434782608696E-2</v>
      </c>
      <c r="R228">
        <f t="shared" si="33"/>
        <v>1</v>
      </c>
      <c r="S228">
        <f t="shared" si="34"/>
        <v>0</v>
      </c>
      <c r="T228" t="str">
        <f t="shared" si="35"/>
        <v>May-26</v>
      </c>
    </row>
    <row r="229" spans="1:20">
      <c r="A229" t="s">
        <v>466</v>
      </c>
      <c r="B229" t="s">
        <v>22</v>
      </c>
      <c r="C229" t="s">
        <v>16</v>
      </c>
      <c r="D229">
        <v>112</v>
      </c>
      <c r="E229" s="4">
        <v>46056</v>
      </c>
      <c r="F229" s="4">
        <v>46069</v>
      </c>
      <c r="G229" s="4">
        <v>46075</v>
      </c>
      <c r="H229">
        <v>111</v>
      </c>
      <c r="I229" t="s">
        <v>467</v>
      </c>
      <c r="J229">
        <v>9</v>
      </c>
      <c r="K229" t="s">
        <v>1563</v>
      </c>
      <c r="L229" t="str">
        <f t="shared" si="27"/>
        <v>N</v>
      </c>
      <c r="M229" t="str">
        <f t="shared" si="28"/>
        <v>Y</v>
      </c>
      <c r="N229" t="str">
        <f t="shared" si="29"/>
        <v>N</v>
      </c>
      <c r="O229">
        <f t="shared" si="30"/>
        <v>19</v>
      </c>
      <c r="P229" s="6">
        <f t="shared" si="31"/>
        <v>0.9910714285714286</v>
      </c>
      <c r="Q229" s="6">
        <f t="shared" si="32"/>
        <v>8.1081081081081086E-2</v>
      </c>
      <c r="R229">
        <f t="shared" si="33"/>
        <v>0</v>
      </c>
      <c r="S229">
        <f t="shared" si="34"/>
        <v>6</v>
      </c>
      <c r="T229" t="str">
        <f t="shared" si="35"/>
        <v>Feb-26</v>
      </c>
    </row>
    <row r="230" spans="1:20">
      <c r="A230" t="s">
        <v>468</v>
      </c>
      <c r="B230" t="s">
        <v>100</v>
      </c>
      <c r="C230" t="s">
        <v>12</v>
      </c>
      <c r="D230">
        <v>673</v>
      </c>
      <c r="E230" s="4">
        <v>46149</v>
      </c>
      <c r="F230" s="4">
        <v>46158</v>
      </c>
      <c r="G230" s="4">
        <v>46158</v>
      </c>
      <c r="H230">
        <v>665</v>
      </c>
      <c r="I230" t="s">
        <v>469</v>
      </c>
      <c r="J230">
        <v>2</v>
      </c>
      <c r="K230" t="s">
        <v>1563</v>
      </c>
      <c r="L230" t="str">
        <f t="shared" si="27"/>
        <v>Y</v>
      </c>
      <c r="M230" t="str">
        <f t="shared" si="28"/>
        <v>Y</v>
      </c>
      <c r="N230" t="str">
        <f t="shared" si="29"/>
        <v>Y</v>
      </c>
      <c r="O230">
        <f t="shared" si="30"/>
        <v>9</v>
      </c>
      <c r="P230" s="6">
        <f t="shared" si="31"/>
        <v>0.98811292719167909</v>
      </c>
      <c r="Q230" s="6">
        <f t="shared" si="32"/>
        <v>3.0075187969924814E-3</v>
      </c>
      <c r="R230">
        <f t="shared" si="33"/>
        <v>1</v>
      </c>
      <c r="S230">
        <f t="shared" si="34"/>
        <v>0</v>
      </c>
      <c r="T230" t="str">
        <f t="shared" si="35"/>
        <v>May-26</v>
      </c>
    </row>
    <row r="231" spans="1:20">
      <c r="A231" t="s">
        <v>470</v>
      </c>
      <c r="B231" t="s">
        <v>40</v>
      </c>
      <c r="C231" t="s">
        <v>23</v>
      </c>
      <c r="D231">
        <v>510</v>
      </c>
      <c r="E231" s="4">
        <v>46055</v>
      </c>
      <c r="F231" s="4">
        <v>46070</v>
      </c>
      <c r="G231" s="4">
        <v>46071</v>
      </c>
      <c r="H231">
        <v>507</v>
      </c>
      <c r="I231" t="s">
        <v>262</v>
      </c>
      <c r="J231">
        <v>27</v>
      </c>
      <c r="K231" t="s">
        <v>1563</v>
      </c>
      <c r="L231" t="str">
        <f t="shared" si="27"/>
        <v>N</v>
      </c>
      <c r="M231" t="str">
        <f t="shared" si="28"/>
        <v>Y</v>
      </c>
      <c r="N231" t="str">
        <f t="shared" si="29"/>
        <v>N</v>
      </c>
      <c r="O231">
        <f t="shared" si="30"/>
        <v>16</v>
      </c>
      <c r="P231" s="6">
        <f t="shared" si="31"/>
        <v>0.99411764705882355</v>
      </c>
      <c r="Q231" s="6">
        <f t="shared" si="32"/>
        <v>5.3254437869822487E-2</v>
      </c>
      <c r="R231">
        <f t="shared" si="33"/>
        <v>0</v>
      </c>
      <c r="S231">
        <f t="shared" si="34"/>
        <v>1</v>
      </c>
      <c r="T231" t="str">
        <f t="shared" si="35"/>
        <v>Feb-26</v>
      </c>
    </row>
    <row r="232" spans="1:20">
      <c r="A232" t="s">
        <v>471</v>
      </c>
      <c r="B232" t="s">
        <v>29</v>
      </c>
      <c r="C232" t="s">
        <v>16</v>
      </c>
      <c r="D232">
        <v>533</v>
      </c>
      <c r="E232" s="4">
        <v>46054</v>
      </c>
      <c r="F232" s="4">
        <v>46064</v>
      </c>
      <c r="G232" s="4">
        <v>46071</v>
      </c>
      <c r="H232">
        <v>430</v>
      </c>
      <c r="I232" t="s">
        <v>472</v>
      </c>
      <c r="J232">
        <v>1</v>
      </c>
      <c r="K232" t="s">
        <v>1563</v>
      </c>
      <c r="L232" t="str">
        <f t="shared" si="27"/>
        <v>N</v>
      </c>
      <c r="M232" t="str">
        <f t="shared" si="28"/>
        <v>N</v>
      </c>
      <c r="N232" t="str">
        <f t="shared" si="29"/>
        <v>N</v>
      </c>
      <c r="O232">
        <f t="shared" si="30"/>
        <v>17</v>
      </c>
      <c r="P232" s="6">
        <f t="shared" si="31"/>
        <v>0.80675422138836772</v>
      </c>
      <c r="Q232" s="6">
        <f t="shared" si="32"/>
        <v>2.3255813953488372E-3</v>
      </c>
      <c r="R232">
        <f t="shared" si="33"/>
        <v>0</v>
      </c>
      <c r="S232">
        <f t="shared" si="34"/>
        <v>7</v>
      </c>
      <c r="T232" t="str">
        <f t="shared" si="35"/>
        <v>Feb-26</v>
      </c>
    </row>
    <row r="233" spans="1:20">
      <c r="A233" t="s">
        <v>473</v>
      </c>
      <c r="B233" t="s">
        <v>32</v>
      </c>
      <c r="C233" t="s">
        <v>12</v>
      </c>
      <c r="D233">
        <v>926</v>
      </c>
      <c r="E233" s="4">
        <v>46085</v>
      </c>
      <c r="F233" s="4">
        <v>46100</v>
      </c>
      <c r="G233" s="4">
        <v>46098</v>
      </c>
      <c r="H233">
        <v>790</v>
      </c>
      <c r="I233" t="s">
        <v>376</v>
      </c>
      <c r="J233">
        <v>32</v>
      </c>
      <c r="K233" t="s">
        <v>1563</v>
      </c>
      <c r="L233" t="str">
        <f t="shared" si="27"/>
        <v>Y</v>
      </c>
      <c r="M233" t="str">
        <f t="shared" si="28"/>
        <v>N</v>
      </c>
      <c r="N233" t="str">
        <f t="shared" si="29"/>
        <v>N</v>
      </c>
      <c r="O233">
        <f t="shared" si="30"/>
        <v>13</v>
      </c>
      <c r="P233" s="6">
        <f t="shared" si="31"/>
        <v>0.85313174946004322</v>
      </c>
      <c r="Q233" s="6">
        <f t="shared" si="32"/>
        <v>4.0506329113924051E-2</v>
      </c>
      <c r="R233">
        <f t="shared" si="33"/>
        <v>0</v>
      </c>
      <c r="S233">
        <f t="shared" si="34"/>
        <v>0</v>
      </c>
      <c r="T233" t="str">
        <f t="shared" si="35"/>
        <v>Mar-26</v>
      </c>
    </row>
    <row r="234" spans="1:20">
      <c r="A234" t="s">
        <v>475</v>
      </c>
      <c r="B234" t="s">
        <v>81</v>
      </c>
      <c r="C234" t="s">
        <v>12</v>
      </c>
      <c r="D234">
        <v>831</v>
      </c>
      <c r="E234" s="4">
        <v>46149</v>
      </c>
      <c r="F234" s="4">
        <v>46154</v>
      </c>
      <c r="G234" s="4">
        <v>46160</v>
      </c>
      <c r="H234">
        <v>803</v>
      </c>
      <c r="I234" t="s">
        <v>1564</v>
      </c>
      <c r="J234">
        <v>12</v>
      </c>
      <c r="K234" t="s">
        <v>1563</v>
      </c>
      <c r="L234" t="str">
        <f t="shared" si="27"/>
        <v>N</v>
      </c>
      <c r="M234" t="str">
        <f t="shared" si="28"/>
        <v>N</v>
      </c>
      <c r="N234" t="str">
        <f t="shared" si="29"/>
        <v>N</v>
      </c>
      <c r="O234">
        <f t="shared" si="30"/>
        <v>11</v>
      </c>
      <c r="P234" s="6">
        <f t="shared" si="31"/>
        <v>0.96630565583634176</v>
      </c>
      <c r="Q234" s="6">
        <f t="shared" si="32"/>
        <v>1.4943960149439602E-2</v>
      </c>
      <c r="R234">
        <f t="shared" si="33"/>
        <v>0</v>
      </c>
      <c r="S234">
        <f t="shared" si="34"/>
        <v>6</v>
      </c>
      <c r="T234" t="str">
        <f t="shared" si="35"/>
        <v>May-26</v>
      </c>
    </row>
    <row r="235" spans="1:20">
      <c r="A235" t="s">
        <v>477</v>
      </c>
      <c r="B235" t="s">
        <v>52</v>
      </c>
      <c r="C235" t="s">
        <v>12</v>
      </c>
      <c r="D235">
        <v>559</v>
      </c>
      <c r="E235" s="4">
        <v>46068</v>
      </c>
      <c r="F235" s="4">
        <v>46077</v>
      </c>
      <c r="G235" s="4">
        <v>46076</v>
      </c>
      <c r="H235">
        <v>550</v>
      </c>
      <c r="I235" t="s">
        <v>478</v>
      </c>
      <c r="J235">
        <v>7</v>
      </c>
      <c r="K235" t="s">
        <v>1563</v>
      </c>
      <c r="L235" t="str">
        <f t="shared" si="27"/>
        <v>Y</v>
      </c>
      <c r="M235" t="str">
        <f t="shared" si="28"/>
        <v>Y</v>
      </c>
      <c r="N235" t="str">
        <f t="shared" si="29"/>
        <v>Y</v>
      </c>
      <c r="O235">
        <f t="shared" si="30"/>
        <v>8</v>
      </c>
      <c r="P235" s="6">
        <f t="shared" si="31"/>
        <v>0.98389982110912344</v>
      </c>
      <c r="Q235" s="6">
        <f t="shared" si="32"/>
        <v>1.2727272727272728E-2</v>
      </c>
      <c r="R235">
        <f t="shared" si="33"/>
        <v>1</v>
      </c>
      <c r="S235">
        <f t="shared" si="34"/>
        <v>0</v>
      </c>
      <c r="T235" t="str">
        <f t="shared" si="35"/>
        <v>Feb-26</v>
      </c>
    </row>
    <row r="236" spans="1:20">
      <c r="A236" t="s">
        <v>479</v>
      </c>
      <c r="B236" t="s">
        <v>19</v>
      </c>
      <c r="C236" t="s">
        <v>16</v>
      </c>
      <c r="D236">
        <v>901</v>
      </c>
      <c r="E236" s="4">
        <v>46054</v>
      </c>
      <c r="F236" s="4">
        <v>46066</v>
      </c>
      <c r="G236" s="4">
        <v>46066</v>
      </c>
      <c r="H236">
        <v>727</v>
      </c>
      <c r="I236" t="s">
        <v>381</v>
      </c>
      <c r="J236">
        <v>28</v>
      </c>
      <c r="K236" t="s">
        <v>1563</v>
      </c>
      <c r="L236" t="str">
        <f t="shared" si="27"/>
        <v>Y</v>
      </c>
      <c r="M236" t="str">
        <f t="shared" si="28"/>
        <v>N</v>
      </c>
      <c r="N236" t="str">
        <f t="shared" si="29"/>
        <v>N</v>
      </c>
      <c r="O236">
        <f t="shared" si="30"/>
        <v>12</v>
      </c>
      <c r="P236" s="6">
        <f t="shared" si="31"/>
        <v>0.80688124306326303</v>
      </c>
      <c r="Q236" s="6">
        <f t="shared" si="32"/>
        <v>3.8514442916093537E-2</v>
      </c>
      <c r="R236">
        <f t="shared" si="33"/>
        <v>0</v>
      </c>
      <c r="S236">
        <f t="shared" si="34"/>
        <v>0</v>
      </c>
      <c r="T236" t="str">
        <f t="shared" si="35"/>
        <v>Feb-26</v>
      </c>
    </row>
    <row r="237" spans="1:20">
      <c r="A237" t="s">
        <v>480</v>
      </c>
      <c r="B237" t="s">
        <v>29</v>
      </c>
      <c r="C237" t="s">
        <v>12</v>
      </c>
      <c r="D237">
        <v>325</v>
      </c>
      <c r="E237" s="4">
        <v>46096</v>
      </c>
      <c r="F237" s="4">
        <v>46106</v>
      </c>
      <c r="G237" s="4">
        <v>46105</v>
      </c>
      <c r="H237">
        <v>327</v>
      </c>
      <c r="I237" t="s">
        <v>136</v>
      </c>
      <c r="J237">
        <v>4</v>
      </c>
      <c r="K237" t="s">
        <v>1563</v>
      </c>
      <c r="L237" t="str">
        <f t="shared" si="27"/>
        <v>Y</v>
      </c>
      <c r="M237" t="str">
        <f t="shared" si="28"/>
        <v>Y</v>
      </c>
      <c r="N237" t="str">
        <f t="shared" si="29"/>
        <v>Y</v>
      </c>
      <c r="O237">
        <f t="shared" si="30"/>
        <v>9</v>
      </c>
      <c r="P237" s="6">
        <f t="shared" si="31"/>
        <v>1.0061538461538462</v>
      </c>
      <c r="Q237" s="6">
        <f t="shared" si="32"/>
        <v>1.2232415902140673E-2</v>
      </c>
      <c r="R237">
        <f t="shared" si="33"/>
        <v>1</v>
      </c>
      <c r="S237">
        <f t="shared" si="34"/>
        <v>0</v>
      </c>
      <c r="T237" t="str">
        <f t="shared" si="35"/>
        <v>Mar-26</v>
      </c>
    </row>
    <row r="238" spans="1:20">
      <c r="A238" t="s">
        <v>481</v>
      </c>
      <c r="B238" t="s">
        <v>22</v>
      </c>
      <c r="C238" t="s">
        <v>16</v>
      </c>
      <c r="D238">
        <v>960</v>
      </c>
      <c r="E238" s="4">
        <v>46065</v>
      </c>
      <c r="F238" s="4">
        <v>46070</v>
      </c>
      <c r="G238" s="4">
        <v>46068</v>
      </c>
      <c r="H238">
        <v>950</v>
      </c>
      <c r="I238" t="s">
        <v>414</v>
      </c>
      <c r="J238">
        <v>33</v>
      </c>
      <c r="K238" t="s">
        <v>1563</v>
      </c>
      <c r="L238" t="str">
        <f t="shared" si="27"/>
        <v>Y</v>
      </c>
      <c r="M238" t="str">
        <f t="shared" si="28"/>
        <v>Y</v>
      </c>
      <c r="N238" t="str">
        <f t="shared" si="29"/>
        <v>Y</v>
      </c>
      <c r="O238">
        <f t="shared" si="30"/>
        <v>3</v>
      </c>
      <c r="P238" s="6">
        <f t="shared" si="31"/>
        <v>0.98958333333333337</v>
      </c>
      <c r="Q238" s="6">
        <f t="shared" si="32"/>
        <v>3.4736842105263156E-2</v>
      </c>
      <c r="R238">
        <f t="shared" si="33"/>
        <v>1</v>
      </c>
      <c r="S238">
        <f t="shared" si="34"/>
        <v>0</v>
      </c>
      <c r="T238" t="str">
        <f t="shared" si="35"/>
        <v>Feb-26</v>
      </c>
    </row>
    <row r="239" spans="1:20">
      <c r="A239" t="s">
        <v>482</v>
      </c>
      <c r="B239" t="s">
        <v>19</v>
      </c>
      <c r="C239" t="s">
        <v>12</v>
      </c>
      <c r="D239">
        <v>288</v>
      </c>
      <c r="E239" s="4">
        <v>46080</v>
      </c>
      <c r="F239" s="4">
        <v>46086</v>
      </c>
      <c r="G239" s="4">
        <v>46083</v>
      </c>
      <c r="H239">
        <v>287</v>
      </c>
      <c r="I239" t="s">
        <v>339</v>
      </c>
      <c r="J239">
        <v>7</v>
      </c>
      <c r="K239" t="s">
        <v>1563</v>
      </c>
      <c r="L239" t="str">
        <f t="shared" si="27"/>
        <v>Y</v>
      </c>
      <c r="M239" t="str">
        <f t="shared" si="28"/>
        <v>Y</v>
      </c>
      <c r="N239" t="str">
        <f t="shared" si="29"/>
        <v>Y</v>
      </c>
      <c r="O239">
        <f t="shared" si="30"/>
        <v>3</v>
      </c>
      <c r="P239" s="6">
        <f t="shared" si="31"/>
        <v>0.99652777777777779</v>
      </c>
      <c r="Q239" s="6">
        <f t="shared" si="32"/>
        <v>2.4390243902439025E-2</v>
      </c>
      <c r="R239">
        <f t="shared" si="33"/>
        <v>1</v>
      </c>
      <c r="S239">
        <f t="shared" si="34"/>
        <v>0</v>
      </c>
      <c r="T239" t="str">
        <f t="shared" si="35"/>
        <v>Mar-26</v>
      </c>
    </row>
    <row r="240" spans="1:20">
      <c r="A240" t="s">
        <v>483</v>
      </c>
      <c r="B240" t="s">
        <v>81</v>
      </c>
      <c r="C240" t="s">
        <v>16</v>
      </c>
      <c r="D240">
        <v>272</v>
      </c>
      <c r="E240" s="4">
        <v>46109</v>
      </c>
      <c r="F240" s="4">
        <v>46118</v>
      </c>
      <c r="G240" s="4">
        <v>46124</v>
      </c>
      <c r="H240">
        <v>262</v>
      </c>
      <c r="I240" t="s">
        <v>484</v>
      </c>
      <c r="J240">
        <v>3</v>
      </c>
      <c r="K240" t="s">
        <v>1563</v>
      </c>
      <c r="L240" t="str">
        <f t="shared" si="27"/>
        <v>N</v>
      </c>
      <c r="M240" t="str">
        <f t="shared" si="28"/>
        <v>N</v>
      </c>
      <c r="N240" t="str">
        <f t="shared" si="29"/>
        <v>N</v>
      </c>
      <c r="O240">
        <f t="shared" si="30"/>
        <v>15</v>
      </c>
      <c r="P240" s="6">
        <f t="shared" si="31"/>
        <v>0.96323529411764708</v>
      </c>
      <c r="Q240" s="6">
        <f t="shared" si="32"/>
        <v>1.1450381679389313E-2</v>
      </c>
      <c r="R240">
        <f t="shared" si="33"/>
        <v>0</v>
      </c>
      <c r="S240">
        <f t="shared" si="34"/>
        <v>6</v>
      </c>
      <c r="T240" t="str">
        <f t="shared" si="35"/>
        <v>Apr-26</v>
      </c>
    </row>
    <row r="241" spans="1:20">
      <c r="A241" t="s">
        <v>485</v>
      </c>
      <c r="B241" t="s">
        <v>177</v>
      </c>
      <c r="C241" t="s">
        <v>12</v>
      </c>
      <c r="D241">
        <v>732</v>
      </c>
      <c r="E241" s="4">
        <v>46160</v>
      </c>
      <c r="F241" s="4">
        <v>46173</v>
      </c>
      <c r="G241" s="4">
        <v>46173</v>
      </c>
      <c r="H241">
        <v>732</v>
      </c>
      <c r="I241" t="s">
        <v>486</v>
      </c>
      <c r="J241">
        <v>9</v>
      </c>
      <c r="K241" t="s">
        <v>1563</v>
      </c>
      <c r="L241" t="str">
        <f t="shared" si="27"/>
        <v>Y</v>
      </c>
      <c r="M241" t="str">
        <f t="shared" si="28"/>
        <v>Y</v>
      </c>
      <c r="N241" t="str">
        <f t="shared" si="29"/>
        <v>Y</v>
      </c>
      <c r="O241">
        <f t="shared" si="30"/>
        <v>13</v>
      </c>
      <c r="P241" s="6">
        <f t="shared" si="31"/>
        <v>1</v>
      </c>
      <c r="Q241" s="6">
        <f t="shared" si="32"/>
        <v>1.2295081967213115E-2</v>
      </c>
      <c r="R241">
        <f t="shared" si="33"/>
        <v>1</v>
      </c>
      <c r="S241">
        <f t="shared" si="34"/>
        <v>0</v>
      </c>
      <c r="T241" t="str">
        <f t="shared" si="35"/>
        <v>May-26</v>
      </c>
    </row>
    <row r="242" spans="1:20">
      <c r="A242" t="s">
        <v>487</v>
      </c>
      <c r="B242" t="s">
        <v>46</v>
      </c>
      <c r="C242" t="s">
        <v>23</v>
      </c>
      <c r="D242">
        <v>795</v>
      </c>
      <c r="E242" s="4">
        <v>46157</v>
      </c>
      <c r="F242" s="4">
        <v>46168</v>
      </c>
      <c r="G242" s="4">
        <v>46174</v>
      </c>
      <c r="H242">
        <v>784</v>
      </c>
      <c r="I242" t="s">
        <v>488</v>
      </c>
      <c r="J242">
        <v>72</v>
      </c>
      <c r="K242" t="s">
        <v>1563</v>
      </c>
      <c r="L242" t="str">
        <f t="shared" si="27"/>
        <v>N</v>
      </c>
      <c r="M242" t="str">
        <f t="shared" si="28"/>
        <v>Y</v>
      </c>
      <c r="N242" t="str">
        <f t="shared" si="29"/>
        <v>N</v>
      </c>
      <c r="O242">
        <f t="shared" si="30"/>
        <v>17</v>
      </c>
      <c r="P242" s="6">
        <f t="shared" si="31"/>
        <v>0.98616352201257862</v>
      </c>
      <c r="Q242" s="6">
        <f t="shared" si="32"/>
        <v>9.1836734693877556E-2</v>
      </c>
      <c r="R242">
        <f t="shared" si="33"/>
        <v>0</v>
      </c>
      <c r="S242">
        <f t="shared" si="34"/>
        <v>6</v>
      </c>
      <c r="T242" t="str">
        <f t="shared" si="35"/>
        <v>Jun-26</v>
      </c>
    </row>
    <row r="243" spans="1:20">
      <c r="A243" t="s">
        <v>489</v>
      </c>
      <c r="B243" t="s">
        <v>49</v>
      </c>
      <c r="C243" t="s">
        <v>16</v>
      </c>
      <c r="D243">
        <v>438</v>
      </c>
      <c r="E243" s="4">
        <v>46167</v>
      </c>
      <c r="F243" s="4">
        <v>46173</v>
      </c>
      <c r="G243" s="4"/>
      <c r="I243" t="s">
        <v>490</v>
      </c>
      <c r="K243" t="s">
        <v>1565</v>
      </c>
      <c r="L243" t="str">
        <f t="shared" si="27"/>
        <v>N/A</v>
      </c>
      <c r="M243" t="str">
        <f t="shared" si="28"/>
        <v>N/A</v>
      </c>
      <c r="N243" t="str">
        <f t="shared" si="29"/>
        <v>N/A</v>
      </c>
      <c r="O243" t="str">
        <f t="shared" si="30"/>
        <v>N/A</v>
      </c>
      <c r="P243" s="6" t="str">
        <f t="shared" si="31"/>
        <v>N/A</v>
      </c>
      <c r="Q243" s="6" t="str">
        <f t="shared" si="32"/>
        <v>N/A</v>
      </c>
      <c r="R243" t="str">
        <f t="shared" si="33"/>
        <v/>
      </c>
      <c r="S243" t="str">
        <f t="shared" si="34"/>
        <v>N/A</v>
      </c>
      <c r="T243" t="str">
        <f t="shared" si="35"/>
        <v>N/A</v>
      </c>
    </row>
    <row r="244" spans="1:20">
      <c r="A244" t="s">
        <v>491</v>
      </c>
      <c r="B244" t="s">
        <v>67</v>
      </c>
      <c r="C244" t="s">
        <v>16</v>
      </c>
      <c r="D244">
        <v>867</v>
      </c>
      <c r="E244" s="4">
        <v>46034</v>
      </c>
      <c r="F244" s="4">
        <v>46049</v>
      </c>
      <c r="G244" s="4">
        <v>46056</v>
      </c>
      <c r="H244">
        <v>841</v>
      </c>
      <c r="I244" t="s">
        <v>426</v>
      </c>
      <c r="J244">
        <v>30</v>
      </c>
      <c r="K244" t="s">
        <v>1563</v>
      </c>
      <c r="L244" t="str">
        <f t="shared" si="27"/>
        <v>N</v>
      </c>
      <c r="M244" t="str">
        <f t="shared" si="28"/>
        <v>N</v>
      </c>
      <c r="N244" t="str">
        <f t="shared" si="29"/>
        <v>N</v>
      </c>
      <c r="O244">
        <f t="shared" si="30"/>
        <v>22</v>
      </c>
      <c r="P244" s="6">
        <f t="shared" si="31"/>
        <v>0.97001153402537488</v>
      </c>
      <c r="Q244" s="6">
        <f t="shared" si="32"/>
        <v>3.56718192627824E-2</v>
      </c>
      <c r="R244">
        <f t="shared" si="33"/>
        <v>0</v>
      </c>
      <c r="S244">
        <f t="shared" si="34"/>
        <v>7</v>
      </c>
      <c r="T244" t="str">
        <f t="shared" si="35"/>
        <v>Feb-26</v>
      </c>
    </row>
    <row r="245" spans="1:20">
      <c r="A245" t="s">
        <v>492</v>
      </c>
      <c r="B245" t="s">
        <v>54</v>
      </c>
      <c r="C245" t="s">
        <v>12</v>
      </c>
      <c r="D245">
        <v>357</v>
      </c>
      <c r="E245" s="4">
        <v>46105</v>
      </c>
      <c r="F245" s="4">
        <v>46114</v>
      </c>
      <c r="G245" s="4">
        <v>46114</v>
      </c>
      <c r="H245">
        <v>363</v>
      </c>
      <c r="I245" t="s">
        <v>493</v>
      </c>
      <c r="J245">
        <v>1</v>
      </c>
      <c r="K245" t="s">
        <v>1563</v>
      </c>
      <c r="L245" t="str">
        <f t="shared" si="27"/>
        <v>Y</v>
      </c>
      <c r="M245" t="str">
        <f t="shared" si="28"/>
        <v>Y</v>
      </c>
      <c r="N245" t="str">
        <f t="shared" si="29"/>
        <v>Y</v>
      </c>
      <c r="O245">
        <f t="shared" si="30"/>
        <v>9</v>
      </c>
      <c r="P245" s="6">
        <f t="shared" si="31"/>
        <v>1.0168067226890756</v>
      </c>
      <c r="Q245" s="6">
        <f t="shared" si="32"/>
        <v>2.7548209366391185E-3</v>
      </c>
      <c r="R245">
        <f t="shared" si="33"/>
        <v>1</v>
      </c>
      <c r="S245">
        <f t="shared" si="34"/>
        <v>0</v>
      </c>
      <c r="T245" t="str">
        <f t="shared" si="35"/>
        <v>Apr-26</v>
      </c>
    </row>
    <row r="246" spans="1:20">
      <c r="A246" t="s">
        <v>494</v>
      </c>
      <c r="B246" t="s">
        <v>70</v>
      </c>
      <c r="C246" t="s">
        <v>23</v>
      </c>
      <c r="D246">
        <v>728</v>
      </c>
      <c r="E246" s="4">
        <v>46147</v>
      </c>
      <c r="F246" s="4">
        <v>46159</v>
      </c>
      <c r="G246" s="4">
        <v>46160</v>
      </c>
      <c r="H246">
        <v>742</v>
      </c>
      <c r="I246" t="s">
        <v>495</v>
      </c>
      <c r="J246">
        <v>4</v>
      </c>
      <c r="K246" t="s">
        <v>1563</v>
      </c>
      <c r="L246" t="str">
        <f t="shared" si="27"/>
        <v>N</v>
      </c>
      <c r="M246" t="str">
        <f t="shared" si="28"/>
        <v>Y</v>
      </c>
      <c r="N246" t="str">
        <f t="shared" si="29"/>
        <v>N</v>
      </c>
      <c r="O246">
        <f t="shared" si="30"/>
        <v>13</v>
      </c>
      <c r="P246" s="6">
        <f t="shared" si="31"/>
        <v>1.0192307692307692</v>
      </c>
      <c r="Q246" s="6">
        <f t="shared" si="32"/>
        <v>5.3908355795148251E-3</v>
      </c>
      <c r="R246">
        <f t="shared" si="33"/>
        <v>0</v>
      </c>
      <c r="S246">
        <f t="shared" si="34"/>
        <v>1</v>
      </c>
      <c r="T246" t="str">
        <f t="shared" si="35"/>
        <v>May-26</v>
      </c>
    </row>
    <row r="247" spans="1:20">
      <c r="A247" t="s">
        <v>496</v>
      </c>
      <c r="B247" t="s">
        <v>32</v>
      </c>
      <c r="C247" t="s">
        <v>12</v>
      </c>
      <c r="D247">
        <v>742</v>
      </c>
      <c r="E247" s="4">
        <v>46111</v>
      </c>
      <c r="F247" s="4">
        <v>46124</v>
      </c>
      <c r="G247" s="4">
        <v>46129</v>
      </c>
      <c r="H247">
        <v>661</v>
      </c>
      <c r="I247" t="s">
        <v>486</v>
      </c>
      <c r="J247">
        <v>22</v>
      </c>
      <c r="K247" t="s">
        <v>1563</v>
      </c>
      <c r="L247" t="str">
        <f t="shared" si="27"/>
        <v>N</v>
      </c>
      <c r="M247" t="str">
        <f t="shared" si="28"/>
        <v>N</v>
      </c>
      <c r="N247" t="str">
        <f t="shared" si="29"/>
        <v>N</v>
      </c>
      <c r="O247">
        <f t="shared" si="30"/>
        <v>18</v>
      </c>
      <c r="P247" s="6">
        <f t="shared" si="31"/>
        <v>0.89083557951482484</v>
      </c>
      <c r="Q247" s="6">
        <f t="shared" si="32"/>
        <v>3.3282904689863842E-2</v>
      </c>
      <c r="R247">
        <f t="shared" si="33"/>
        <v>0</v>
      </c>
      <c r="S247">
        <f t="shared" si="34"/>
        <v>5</v>
      </c>
      <c r="T247" t="str">
        <f t="shared" si="35"/>
        <v>Apr-26</v>
      </c>
    </row>
    <row r="248" spans="1:20">
      <c r="A248" t="s">
        <v>497</v>
      </c>
      <c r="B248" t="s">
        <v>11</v>
      </c>
      <c r="C248" t="s">
        <v>16</v>
      </c>
      <c r="D248">
        <v>336</v>
      </c>
      <c r="E248" s="4">
        <v>46172</v>
      </c>
      <c r="F248" s="4">
        <v>46182</v>
      </c>
      <c r="G248" s="4">
        <v>46181</v>
      </c>
      <c r="H248">
        <v>333</v>
      </c>
      <c r="I248" t="s">
        <v>298</v>
      </c>
      <c r="J248">
        <v>3</v>
      </c>
      <c r="K248" t="s">
        <v>1563</v>
      </c>
      <c r="L248" t="str">
        <f t="shared" si="27"/>
        <v>Y</v>
      </c>
      <c r="M248" t="str">
        <f t="shared" si="28"/>
        <v>Y</v>
      </c>
      <c r="N248" t="str">
        <f t="shared" si="29"/>
        <v>Y</v>
      </c>
      <c r="O248">
        <f t="shared" si="30"/>
        <v>9</v>
      </c>
      <c r="P248" s="6">
        <f t="shared" si="31"/>
        <v>0.9910714285714286</v>
      </c>
      <c r="Q248" s="6">
        <f t="shared" si="32"/>
        <v>9.0090090090090089E-3</v>
      </c>
      <c r="R248">
        <f t="shared" si="33"/>
        <v>1</v>
      </c>
      <c r="S248">
        <f t="shared" si="34"/>
        <v>0</v>
      </c>
      <c r="T248" t="str">
        <f t="shared" si="35"/>
        <v>Jun-26</v>
      </c>
    </row>
    <row r="249" spans="1:20">
      <c r="A249" t="s">
        <v>498</v>
      </c>
      <c r="B249" t="s">
        <v>32</v>
      </c>
      <c r="C249" t="s">
        <v>12</v>
      </c>
      <c r="D249">
        <v>719</v>
      </c>
      <c r="E249" s="4">
        <v>46129</v>
      </c>
      <c r="F249" s="4">
        <v>46143</v>
      </c>
      <c r="G249" s="4">
        <v>46151</v>
      </c>
      <c r="H249">
        <v>730</v>
      </c>
      <c r="I249" t="s">
        <v>499</v>
      </c>
      <c r="J249">
        <v>41</v>
      </c>
      <c r="K249" t="s">
        <v>1563</v>
      </c>
      <c r="L249" t="str">
        <f t="shared" si="27"/>
        <v>N</v>
      </c>
      <c r="M249" t="str">
        <f t="shared" si="28"/>
        <v>Y</v>
      </c>
      <c r="N249" t="str">
        <f t="shared" si="29"/>
        <v>N</v>
      </c>
      <c r="O249">
        <f t="shared" si="30"/>
        <v>22</v>
      </c>
      <c r="P249" s="6">
        <f t="shared" si="31"/>
        <v>1.015299026425591</v>
      </c>
      <c r="Q249" s="6">
        <f t="shared" si="32"/>
        <v>5.6164383561643834E-2</v>
      </c>
      <c r="R249">
        <f t="shared" si="33"/>
        <v>0</v>
      </c>
      <c r="S249">
        <f t="shared" si="34"/>
        <v>8</v>
      </c>
      <c r="T249" t="str">
        <f t="shared" si="35"/>
        <v>May-26</v>
      </c>
    </row>
    <row r="250" spans="1:20">
      <c r="A250" t="s">
        <v>500</v>
      </c>
      <c r="B250" t="s">
        <v>67</v>
      </c>
      <c r="C250" t="s">
        <v>16</v>
      </c>
      <c r="D250">
        <v>315</v>
      </c>
      <c r="E250" s="4">
        <v>46072</v>
      </c>
      <c r="F250" s="4">
        <v>46084</v>
      </c>
      <c r="G250" s="4">
        <v>46082</v>
      </c>
      <c r="H250">
        <v>320</v>
      </c>
      <c r="I250" t="s">
        <v>17</v>
      </c>
      <c r="J250">
        <v>18</v>
      </c>
      <c r="K250" t="s">
        <v>1563</v>
      </c>
      <c r="L250" t="str">
        <f t="shared" si="27"/>
        <v>Y</v>
      </c>
      <c r="M250" t="str">
        <f t="shared" si="28"/>
        <v>Y</v>
      </c>
      <c r="N250" t="str">
        <f t="shared" si="29"/>
        <v>Y</v>
      </c>
      <c r="O250">
        <f t="shared" si="30"/>
        <v>10</v>
      </c>
      <c r="P250" s="6">
        <f t="shared" si="31"/>
        <v>1.0158730158730158</v>
      </c>
      <c r="Q250" s="6">
        <f t="shared" si="32"/>
        <v>5.6250000000000001E-2</v>
      </c>
      <c r="R250">
        <f t="shared" si="33"/>
        <v>1</v>
      </c>
      <c r="S250">
        <f t="shared" si="34"/>
        <v>0</v>
      </c>
      <c r="T250" t="str">
        <f t="shared" si="35"/>
        <v>Mar-26</v>
      </c>
    </row>
    <row r="251" spans="1:20">
      <c r="A251" t="s">
        <v>501</v>
      </c>
      <c r="B251" t="s">
        <v>19</v>
      </c>
      <c r="C251" t="s">
        <v>16</v>
      </c>
      <c r="D251">
        <v>801</v>
      </c>
      <c r="E251" s="4">
        <v>46048</v>
      </c>
      <c r="F251" s="4">
        <v>46053</v>
      </c>
      <c r="G251" s="4">
        <v>46051</v>
      </c>
      <c r="H251">
        <v>804</v>
      </c>
      <c r="I251" t="s">
        <v>294</v>
      </c>
      <c r="J251">
        <v>27</v>
      </c>
      <c r="K251" t="s">
        <v>1563</v>
      </c>
      <c r="L251" t="str">
        <f t="shared" si="27"/>
        <v>Y</v>
      </c>
      <c r="M251" t="str">
        <f t="shared" si="28"/>
        <v>Y</v>
      </c>
      <c r="N251" t="str">
        <f t="shared" si="29"/>
        <v>Y</v>
      </c>
      <c r="O251">
        <f t="shared" si="30"/>
        <v>3</v>
      </c>
      <c r="P251" s="6">
        <f t="shared" si="31"/>
        <v>1.0037453183520599</v>
      </c>
      <c r="Q251" s="6">
        <f t="shared" si="32"/>
        <v>3.3582089552238806E-2</v>
      </c>
      <c r="R251">
        <f t="shared" si="33"/>
        <v>1</v>
      </c>
      <c r="S251">
        <f t="shared" si="34"/>
        <v>0</v>
      </c>
      <c r="T251" t="str">
        <f t="shared" si="35"/>
        <v>Jan-26</v>
      </c>
    </row>
    <row r="252" spans="1:20">
      <c r="A252" t="s">
        <v>502</v>
      </c>
      <c r="B252" t="s">
        <v>43</v>
      </c>
      <c r="C252" t="s">
        <v>12</v>
      </c>
      <c r="D252">
        <v>517</v>
      </c>
      <c r="E252" s="4">
        <v>46175</v>
      </c>
      <c r="F252" s="4">
        <v>46181</v>
      </c>
      <c r="G252" s="4">
        <v>46179</v>
      </c>
      <c r="H252">
        <v>515</v>
      </c>
      <c r="I252" t="s">
        <v>503</v>
      </c>
      <c r="J252">
        <v>31</v>
      </c>
      <c r="K252" t="s">
        <v>1563</v>
      </c>
      <c r="L252" t="str">
        <f t="shared" si="27"/>
        <v>Y</v>
      </c>
      <c r="M252" t="str">
        <f t="shared" si="28"/>
        <v>Y</v>
      </c>
      <c r="N252" t="str">
        <f t="shared" si="29"/>
        <v>Y</v>
      </c>
      <c r="O252">
        <f t="shared" si="30"/>
        <v>4</v>
      </c>
      <c r="P252" s="6">
        <f t="shared" si="31"/>
        <v>0.99613152804642169</v>
      </c>
      <c r="Q252" s="6">
        <f t="shared" si="32"/>
        <v>6.0194174757281553E-2</v>
      </c>
      <c r="R252">
        <f t="shared" si="33"/>
        <v>1</v>
      </c>
      <c r="S252">
        <f t="shared" si="34"/>
        <v>0</v>
      </c>
      <c r="T252" t="str">
        <f t="shared" si="35"/>
        <v>Jun-26</v>
      </c>
    </row>
    <row r="253" spans="1:20">
      <c r="A253" t="s">
        <v>504</v>
      </c>
      <c r="B253" t="s">
        <v>26</v>
      </c>
      <c r="C253" t="s">
        <v>12</v>
      </c>
      <c r="D253">
        <v>87</v>
      </c>
      <c r="E253" s="4">
        <v>46110</v>
      </c>
      <c r="F253" s="4">
        <v>46120</v>
      </c>
      <c r="G253" s="4">
        <v>46119</v>
      </c>
      <c r="H253">
        <v>81</v>
      </c>
      <c r="I253" t="s">
        <v>505</v>
      </c>
      <c r="J253">
        <v>2</v>
      </c>
      <c r="K253" t="s">
        <v>1563</v>
      </c>
      <c r="L253" t="str">
        <f t="shared" si="27"/>
        <v>Y</v>
      </c>
      <c r="M253" t="str">
        <f t="shared" si="28"/>
        <v>N</v>
      </c>
      <c r="N253" t="str">
        <f t="shared" si="29"/>
        <v>N</v>
      </c>
      <c r="O253">
        <f t="shared" si="30"/>
        <v>9</v>
      </c>
      <c r="P253" s="6">
        <f t="shared" si="31"/>
        <v>0.93103448275862066</v>
      </c>
      <c r="Q253" s="6">
        <f t="shared" si="32"/>
        <v>2.4691358024691357E-2</v>
      </c>
      <c r="R253">
        <f t="shared" si="33"/>
        <v>0</v>
      </c>
      <c r="S253">
        <f t="shared" si="34"/>
        <v>0</v>
      </c>
      <c r="T253" t="str">
        <f t="shared" si="35"/>
        <v>Apr-26</v>
      </c>
    </row>
    <row r="254" spans="1:20">
      <c r="A254" t="s">
        <v>506</v>
      </c>
      <c r="B254" t="s">
        <v>49</v>
      </c>
      <c r="C254" t="s">
        <v>23</v>
      </c>
      <c r="D254">
        <v>800</v>
      </c>
      <c r="E254" s="4">
        <v>46161</v>
      </c>
      <c r="F254" s="4">
        <v>46172</v>
      </c>
      <c r="G254" s="4">
        <v>46174</v>
      </c>
      <c r="H254">
        <v>797</v>
      </c>
      <c r="I254" t="s">
        <v>507</v>
      </c>
      <c r="J254">
        <v>1</v>
      </c>
      <c r="K254" t="s">
        <v>1563</v>
      </c>
      <c r="L254" t="str">
        <f t="shared" si="27"/>
        <v>N</v>
      </c>
      <c r="M254" t="str">
        <f t="shared" si="28"/>
        <v>Y</v>
      </c>
      <c r="N254" t="str">
        <f t="shared" si="29"/>
        <v>N</v>
      </c>
      <c r="O254">
        <f t="shared" si="30"/>
        <v>13</v>
      </c>
      <c r="P254" s="6">
        <f t="shared" si="31"/>
        <v>0.99624999999999997</v>
      </c>
      <c r="Q254" s="6">
        <f t="shared" si="32"/>
        <v>1.2547051442910915E-3</v>
      </c>
      <c r="R254">
        <f t="shared" si="33"/>
        <v>0</v>
      </c>
      <c r="S254">
        <f t="shared" si="34"/>
        <v>2</v>
      </c>
      <c r="T254" t="str">
        <f t="shared" si="35"/>
        <v>Jun-26</v>
      </c>
    </row>
    <row r="255" spans="1:20">
      <c r="A255" t="s">
        <v>508</v>
      </c>
      <c r="B255" t="s">
        <v>40</v>
      </c>
      <c r="C255" t="s">
        <v>23</v>
      </c>
      <c r="D255">
        <v>390</v>
      </c>
      <c r="E255" s="4">
        <v>46073</v>
      </c>
      <c r="F255" s="4">
        <v>46086</v>
      </c>
      <c r="G255" s="4">
        <v>46084</v>
      </c>
      <c r="H255">
        <v>395</v>
      </c>
      <c r="I255" t="s">
        <v>509</v>
      </c>
      <c r="J255">
        <v>0</v>
      </c>
      <c r="K255" t="s">
        <v>1563</v>
      </c>
      <c r="L255" t="str">
        <f t="shared" si="27"/>
        <v>Y</v>
      </c>
      <c r="M255" t="str">
        <f t="shared" si="28"/>
        <v>Y</v>
      </c>
      <c r="N255" t="str">
        <f t="shared" si="29"/>
        <v>Y</v>
      </c>
      <c r="O255">
        <f t="shared" si="30"/>
        <v>11</v>
      </c>
      <c r="P255" s="6">
        <f t="shared" si="31"/>
        <v>1.0128205128205128</v>
      </c>
      <c r="Q255" s="6">
        <f t="shared" si="32"/>
        <v>0</v>
      </c>
      <c r="R255">
        <f t="shared" si="33"/>
        <v>1</v>
      </c>
      <c r="S255">
        <f t="shared" si="34"/>
        <v>0</v>
      </c>
      <c r="T255" t="str">
        <f t="shared" si="35"/>
        <v>Mar-26</v>
      </c>
    </row>
    <row r="256" spans="1:20">
      <c r="A256" t="s">
        <v>510</v>
      </c>
      <c r="B256" t="s">
        <v>40</v>
      </c>
      <c r="C256" t="s">
        <v>23</v>
      </c>
      <c r="D256">
        <v>520</v>
      </c>
      <c r="E256" s="4">
        <v>46154</v>
      </c>
      <c r="F256" s="4">
        <v>46161</v>
      </c>
      <c r="G256" s="4">
        <v>46160</v>
      </c>
      <c r="H256">
        <v>519</v>
      </c>
      <c r="I256" t="s">
        <v>47</v>
      </c>
      <c r="J256">
        <v>31</v>
      </c>
      <c r="K256" t="s">
        <v>1563</v>
      </c>
      <c r="L256" t="str">
        <f t="shared" si="27"/>
        <v>Y</v>
      </c>
      <c r="M256" t="str">
        <f t="shared" si="28"/>
        <v>Y</v>
      </c>
      <c r="N256" t="str">
        <f t="shared" si="29"/>
        <v>Y</v>
      </c>
      <c r="O256">
        <f t="shared" si="30"/>
        <v>6</v>
      </c>
      <c r="P256" s="6">
        <f t="shared" si="31"/>
        <v>0.99807692307692308</v>
      </c>
      <c r="Q256" s="6">
        <f t="shared" si="32"/>
        <v>5.9730250481695571E-2</v>
      </c>
      <c r="R256">
        <f t="shared" si="33"/>
        <v>1</v>
      </c>
      <c r="S256">
        <f t="shared" si="34"/>
        <v>0</v>
      </c>
      <c r="T256" t="str">
        <f t="shared" si="35"/>
        <v>May-26</v>
      </c>
    </row>
    <row r="257" spans="1:20">
      <c r="A257" t="s">
        <v>511</v>
      </c>
      <c r="B257" t="s">
        <v>81</v>
      </c>
      <c r="C257" t="s">
        <v>23</v>
      </c>
      <c r="D257">
        <v>98</v>
      </c>
      <c r="E257" s="4">
        <v>46160</v>
      </c>
      <c r="F257" s="4">
        <v>46172</v>
      </c>
      <c r="G257" s="4">
        <v>46171</v>
      </c>
      <c r="H257">
        <v>99</v>
      </c>
      <c r="I257" t="s">
        <v>512</v>
      </c>
      <c r="J257">
        <v>1</v>
      </c>
      <c r="K257" t="s">
        <v>1563</v>
      </c>
      <c r="L257" t="str">
        <f t="shared" si="27"/>
        <v>Y</v>
      </c>
      <c r="M257" t="str">
        <f t="shared" si="28"/>
        <v>Y</v>
      </c>
      <c r="N257" t="str">
        <f t="shared" si="29"/>
        <v>Y</v>
      </c>
      <c r="O257">
        <f t="shared" si="30"/>
        <v>11</v>
      </c>
      <c r="P257" s="6">
        <f t="shared" si="31"/>
        <v>1.010204081632653</v>
      </c>
      <c r="Q257" s="6">
        <f t="shared" si="32"/>
        <v>1.0101010101010102E-2</v>
      </c>
      <c r="R257">
        <f t="shared" si="33"/>
        <v>1</v>
      </c>
      <c r="S257">
        <f t="shared" si="34"/>
        <v>0</v>
      </c>
      <c r="T257" t="str">
        <f t="shared" si="35"/>
        <v>May-26</v>
      </c>
    </row>
    <row r="258" spans="1:20">
      <c r="A258" t="s">
        <v>513</v>
      </c>
      <c r="B258" t="s">
        <v>177</v>
      </c>
      <c r="C258" t="s">
        <v>12</v>
      </c>
      <c r="D258">
        <v>831</v>
      </c>
      <c r="E258" s="4">
        <v>46152</v>
      </c>
      <c r="F258" s="4">
        <v>46167</v>
      </c>
      <c r="G258" s="4">
        <v>46167</v>
      </c>
      <c r="H258">
        <v>837</v>
      </c>
      <c r="I258" t="s">
        <v>336</v>
      </c>
      <c r="J258">
        <v>40</v>
      </c>
      <c r="K258" t="s">
        <v>1563</v>
      </c>
      <c r="L258" t="str">
        <f t="shared" ref="L258:L321" si="36">IF(G258="","N/A",IF(G258&lt;=F258,"Y","N"))</f>
        <v>Y</v>
      </c>
      <c r="M258" t="str">
        <f t="shared" ref="M258:M321" si="37">IF(H258="","N/A",IF(H258&gt;=D258*0.98,"Y","N"))</f>
        <v>Y</v>
      </c>
      <c r="N258" t="str">
        <f t="shared" ref="N258:N321" si="38">IF(OR(L258="N/A",M258="N/A"),"N/A",IF(AND(L258="Y",M258="Y"),"Y","N"))</f>
        <v>Y</v>
      </c>
      <c r="O258">
        <f t="shared" ref="O258:O321" si="39">IF(G258="","N/A",G258-E258)</f>
        <v>15</v>
      </c>
      <c r="P258" s="6">
        <f t="shared" ref="P258:P321" si="40">IF(H258="","N/A",H258/D258)</f>
        <v>1.0072202166064983</v>
      </c>
      <c r="Q258" s="6">
        <f t="shared" ref="Q258:Q321" si="41">IF(H258="","N/A",IF(H258=0,0,J258/H258))</f>
        <v>4.778972520908005E-2</v>
      </c>
      <c r="R258">
        <f t="shared" ref="R258:R321" si="42">IF(N258="Y",1,IF(N258="N",0,""))</f>
        <v>1</v>
      </c>
      <c r="S258">
        <f t="shared" ref="S258:S321" si="43">IF(G258="","N/A",MAX(G258-F258,0))</f>
        <v>0</v>
      </c>
      <c r="T258" t="str">
        <f t="shared" ref="T258:T321" si="44">IF(G258="","N/A",TEXT(G258,"mmm-yy"))</f>
        <v>May-26</v>
      </c>
    </row>
    <row r="259" spans="1:20">
      <c r="A259" t="s">
        <v>514</v>
      </c>
      <c r="B259" t="s">
        <v>32</v>
      </c>
      <c r="C259" t="s">
        <v>16</v>
      </c>
      <c r="D259">
        <v>638</v>
      </c>
      <c r="E259" s="4">
        <v>46151</v>
      </c>
      <c r="F259" s="4">
        <v>46165</v>
      </c>
      <c r="G259" s="4">
        <v>46162</v>
      </c>
      <c r="H259">
        <v>571</v>
      </c>
      <c r="I259" t="s">
        <v>452</v>
      </c>
      <c r="J259">
        <v>5</v>
      </c>
      <c r="K259" t="s">
        <v>1563</v>
      </c>
      <c r="L259" t="str">
        <f t="shared" si="36"/>
        <v>Y</v>
      </c>
      <c r="M259" t="str">
        <f t="shared" si="37"/>
        <v>N</v>
      </c>
      <c r="N259" t="str">
        <f t="shared" si="38"/>
        <v>N</v>
      </c>
      <c r="O259">
        <f t="shared" si="39"/>
        <v>11</v>
      </c>
      <c r="P259" s="6">
        <f t="shared" si="40"/>
        <v>0.89498432601880873</v>
      </c>
      <c r="Q259" s="6">
        <f t="shared" si="41"/>
        <v>8.7565674255691769E-3</v>
      </c>
      <c r="R259">
        <f t="shared" si="42"/>
        <v>0</v>
      </c>
      <c r="S259">
        <f t="shared" si="43"/>
        <v>0</v>
      </c>
      <c r="T259" t="str">
        <f t="shared" si="44"/>
        <v>May-26</v>
      </c>
    </row>
    <row r="260" spans="1:20">
      <c r="A260" t="s">
        <v>515</v>
      </c>
      <c r="B260" t="s">
        <v>64</v>
      </c>
      <c r="C260" t="s">
        <v>23</v>
      </c>
      <c r="D260">
        <v>331</v>
      </c>
      <c r="E260" s="4">
        <v>46094</v>
      </c>
      <c r="F260" s="4">
        <v>46101</v>
      </c>
      <c r="G260" s="4">
        <v>46101</v>
      </c>
      <c r="H260">
        <v>331</v>
      </c>
      <c r="I260" t="s">
        <v>516</v>
      </c>
      <c r="J260">
        <v>6</v>
      </c>
      <c r="K260" t="s">
        <v>1563</v>
      </c>
      <c r="L260" t="str">
        <f t="shared" si="36"/>
        <v>Y</v>
      </c>
      <c r="M260" t="str">
        <f t="shared" si="37"/>
        <v>Y</v>
      </c>
      <c r="N260" t="str">
        <f t="shared" si="38"/>
        <v>Y</v>
      </c>
      <c r="O260">
        <f t="shared" si="39"/>
        <v>7</v>
      </c>
      <c r="P260" s="6">
        <f t="shared" si="40"/>
        <v>1</v>
      </c>
      <c r="Q260" s="6">
        <f t="shared" si="41"/>
        <v>1.812688821752266E-2</v>
      </c>
      <c r="R260">
        <f t="shared" si="42"/>
        <v>1</v>
      </c>
      <c r="S260">
        <f t="shared" si="43"/>
        <v>0</v>
      </c>
      <c r="T260" t="str">
        <f t="shared" si="44"/>
        <v>Mar-26</v>
      </c>
    </row>
    <row r="261" spans="1:20">
      <c r="A261" t="s">
        <v>517</v>
      </c>
      <c r="B261" t="s">
        <v>26</v>
      </c>
      <c r="C261" t="s">
        <v>23</v>
      </c>
      <c r="D261">
        <v>566</v>
      </c>
      <c r="E261" s="4">
        <v>46106</v>
      </c>
      <c r="F261" s="4">
        <v>46118</v>
      </c>
      <c r="G261" s="4">
        <v>46116</v>
      </c>
      <c r="H261">
        <v>555</v>
      </c>
      <c r="I261" t="s">
        <v>296</v>
      </c>
      <c r="J261">
        <v>2</v>
      </c>
      <c r="K261" t="s">
        <v>1563</v>
      </c>
      <c r="L261" t="str">
        <f t="shared" si="36"/>
        <v>Y</v>
      </c>
      <c r="M261" t="str">
        <f t="shared" si="37"/>
        <v>Y</v>
      </c>
      <c r="N261" t="str">
        <f t="shared" si="38"/>
        <v>Y</v>
      </c>
      <c r="O261">
        <f t="shared" si="39"/>
        <v>10</v>
      </c>
      <c r="P261" s="6">
        <f t="shared" si="40"/>
        <v>0.98056537102473496</v>
      </c>
      <c r="Q261" s="6">
        <f t="shared" si="41"/>
        <v>3.6036036036036037E-3</v>
      </c>
      <c r="R261">
        <f t="shared" si="42"/>
        <v>1</v>
      </c>
      <c r="S261">
        <f t="shared" si="43"/>
        <v>0</v>
      </c>
      <c r="T261" t="str">
        <f t="shared" si="44"/>
        <v>Apr-26</v>
      </c>
    </row>
    <row r="262" spans="1:20">
      <c r="A262" t="s">
        <v>518</v>
      </c>
      <c r="B262" t="s">
        <v>35</v>
      </c>
      <c r="C262" t="s">
        <v>12</v>
      </c>
      <c r="D262">
        <v>502</v>
      </c>
      <c r="E262" s="4">
        <v>46050</v>
      </c>
      <c r="F262" s="4">
        <v>46058</v>
      </c>
      <c r="G262" s="4">
        <v>46055</v>
      </c>
      <c r="H262">
        <v>404</v>
      </c>
      <c r="I262" t="s">
        <v>136</v>
      </c>
      <c r="J262">
        <v>18</v>
      </c>
      <c r="K262" t="s">
        <v>1563</v>
      </c>
      <c r="L262" t="str">
        <f t="shared" si="36"/>
        <v>Y</v>
      </c>
      <c r="M262" t="str">
        <f t="shared" si="37"/>
        <v>N</v>
      </c>
      <c r="N262" t="str">
        <f t="shared" si="38"/>
        <v>N</v>
      </c>
      <c r="O262">
        <f t="shared" si="39"/>
        <v>5</v>
      </c>
      <c r="P262" s="6">
        <f t="shared" si="40"/>
        <v>0.80478087649402386</v>
      </c>
      <c r="Q262" s="6">
        <f t="shared" si="41"/>
        <v>4.4554455445544552E-2</v>
      </c>
      <c r="R262">
        <f t="shared" si="42"/>
        <v>0</v>
      </c>
      <c r="S262">
        <f t="shared" si="43"/>
        <v>0</v>
      </c>
      <c r="T262" t="str">
        <f t="shared" si="44"/>
        <v>Feb-26</v>
      </c>
    </row>
    <row r="263" spans="1:20">
      <c r="A263" t="s">
        <v>519</v>
      </c>
      <c r="B263" t="s">
        <v>26</v>
      </c>
      <c r="C263" t="s">
        <v>12</v>
      </c>
      <c r="D263">
        <v>810</v>
      </c>
      <c r="E263" s="4">
        <v>46084</v>
      </c>
      <c r="F263" s="4">
        <v>46096</v>
      </c>
      <c r="G263" s="4">
        <v>46104</v>
      </c>
      <c r="H263">
        <v>681</v>
      </c>
      <c r="I263" t="s">
        <v>520</v>
      </c>
      <c r="J263">
        <v>21</v>
      </c>
      <c r="K263" t="s">
        <v>1563</v>
      </c>
      <c r="L263" t="str">
        <f t="shared" si="36"/>
        <v>N</v>
      </c>
      <c r="M263" t="str">
        <f t="shared" si="37"/>
        <v>N</v>
      </c>
      <c r="N263" t="str">
        <f t="shared" si="38"/>
        <v>N</v>
      </c>
      <c r="O263">
        <f t="shared" si="39"/>
        <v>20</v>
      </c>
      <c r="P263" s="6">
        <f t="shared" si="40"/>
        <v>0.84074074074074079</v>
      </c>
      <c r="Q263" s="6">
        <f t="shared" si="41"/>
        <v>3.0837004405286344E-2</v>
      </c>
      <c r="R263">
        <f t="shared" si="42"/>
        <v>0</v>
      </c>
      <c r="S263">
        <f t="shared" si="43"/>
        <v>8</v>
      </c>
      <c r="T263" t="str">
        <f t="shared" si="44"/>
        <v>Mar-26</v>
      </c>
    </row>
    <row r="264" spans="1:20">
      <c r="A264" t="s">
        <v>521</v>
      </c>
      <c r="B264" t="s">
        <v>11</v>
      </c>
      <c r="C264" t="s">
        <v>16</v>
      </c>
      <c r="D264">
        <v>896</v>
      </c>
      <c r="E264" s="4">
        <v>46165</v>
      </c>
      <c r="F264" s="4">
        <v>46177</v>
      </c>
      <c r="G264" s="4">
        <v>46175</v>
      </c>
      <c r="H264">
        <v>912</v>
      </c>
      <c r="I264" t="s">
        <v>125</v>
      </c>
      <c r="J264">
        <v>10</v>
      </c>
      <c r="K264" t="s">
        <v>1563</v>
      </c>
      <c r="L264" t="str">
        <f t="shared" si="36"/>
        <v>Y</v>
      </c>
      <c r="M264" t="str">
        <f t="shared" si="37"/>
        <v>Y</v>
      </c>
      <c r="N264" t="str">
        <f t="shared" si="38"/>
        <v>Y</v>
      </c>
      <c r="O264">
        <f t="shared" si="39"/>
        <v>10</v>
      </c>
      <c r="P264" s="6">
        <f t="shared" si="40"/>
        <v>1.0178571428571428</v>
      </c>
      <c r="Q264" s="6">
        <f t="shared" si="41"/>
        <v>1.0964912280701754E-2</v>
      </c>
      <c r="R264">
        <f t="shared" si="42"/>
        <v>1</v>
      </c>
      <c r="S264">
        <f t="shared" si="43"/>
        <v>0</v>
      </c>
      <c r="T264" t="str">
        <f t="shared" si="44"/>
        <v>Jun-26</v>
      </c>
    </row>
    <row r="265" spans="1:20">
      <c r="A265" t="s">
        <v>522</v>
      </c>
      <c r="B265" t="s">
        <v>64</v>
      </c>
      <c r="C265" t="s">
        <v>16</v>
      </c>
      <c r="D265">
        <v>363</v>
      </c>
      <c r="E265" s="4">
        <v>46144</v>
      </c>
      <c r="F265" s="4">
        <v>46152</v>
      </c>
      <c r="G265" s="4">
        <v>46157</v>
      </c>
      <c r="H265">
        <v>323</v>
      </c>
      <c r="I265" t="s">
        <v>181</v>
      </c>
      <c r="J265">
        <v>21</v>
      </c>
      <c r="K265" t="s">
        <v>1563</v>
      </c>
      <c r="L265" t="str">
        <f t="shared" si="36"/>
        <v>N</v>
      </c>
      <c r="M265" t="str">
        <f t="shared" si="37"/>
        <v>N</v>
      </c>
      <c r="N265" t="str">
        <f t="shared" si="38"/>
        <v>N</v>
      </c>
      <c r="O265">
        <f t="shared" si="39"/>
        <v>13</v>
      </c>
      <c r="P265" s="6">
        <f t="shared" si="40"/>
        <v>0.88980716253443526</v>
      </c>
      <c r="Q265" s="6">
        <f t="shared" si="41"/>
        <v>6.5015479876160992E-2</v>
      </c>
      <c r="R265">
        <f t="shared" si="42"/>
        <v>0</v>
      </c>
      <c r="S265">
        <f t="shared" si="43"/>
        <v>5</v>
      </c>
      <c r="T265" t="str">
        <f t="shared" si="44"/>
        <v>May-26</v>
      </c>
    </row>
    <row r="266" spans="1:20">
      <c r="A266" t="s">
        <v>523</v>
      </c>
      <c r="B266" t="s">
        <v>67</v>
      </c>
      <c r="C266" t="s">
        <v>12</v>
      </c>
      <c r="D266">
        <v>258</v>
      </c>
      <c r="E266" s="4">
        <v>46099</v>
      </c>
      <c r="F266" s="4">
        <v>46106</v>
      </c>
      <c r="G266" s="4">
        <v>46107</v>
      </c>
      <c r="H266">
        <v>263</v>
      </c>
      <c r="I266" t="s">
        <v>524</v>
      </c>
      <c r="J266">
        <v>7</v>
      </c>
      <c r="K266" t="s">
        <v>1563</v>
      </c>
      <c r="L266" t="str">
        <f t="shared" si="36"/>
        <v>N</v>
      </c>
      <c r="M266" t="str">
        <f t="shared" si="37"/>
        <v>Y</v>
      </c>
      <c r="N266" t="str">
        <f t="shared" si="38"/>
        <v>N</v>
      </c>
      <c r="O266">
        <f t="shared" si="39"/>
        <v>8</v>
      </c>
      <c r="P266" s="6">
        <f t="shared" si="40"/>
        <v>1.0193798449612403</v>
      </c>
      <c r="Q266" s="6">
        <f t="shared" si="41"/>
        <v>2.6615969581749048E-2</v>
      </c>
      <c r="R266">
        <f t="shared" si="42"/>
        <v>0</v>
      </c>
      <c r="S266">
        <f t="shared" si="43"/>
        <v>1</v>
      </c>
      <c r="T266" t="str">
        <f t="shared" si="44"/>
        <v>Mar-26</v>
      </c>
    </row>
    <row r="267" spans="1:20">
      <c r="A267" t="s">
        <v>525</v>
      </c>
      <c r="B267" t="s">
        <v>120</v>
      </c>
      <c r="C267" t="s">
        <v>23</v>
      </c>
      <c r="D267">
        <v>990</v>
      </c>
      <c r="E267" s="4">
        <v>46128</v>
      </c>
      <c r="F267" s="4">
        <v>46141</v>
      </c>
      <c r="G267" s="4">
        <v>46140</v>
      </c>
      <c r="H267">
        <v>979</v>
      </c>
      <c r="I267" t="s">
        <v>142</v>
      </c>
      <c r="J267">
        <v>17</v>
      </c>
      <c r="K267" t="s">
        <v>1563</v>
      </c>
      <c r="L267" t="str">
        <f t="shared" si="36"/>
        <v>Y</v>
      </c>
      <c r="M267" t="str">
        <f t="shared" si="37"/>
        <v>Y</v>
      </c>
      <c r="N267" t="str">
        <f t="shared" si="38"/>
        <v>Y</v>
      </c>
      <c r="O267">
        <f t="shared" si="39"/>
        <v>12</v>
      </c>
      <c r="P267" s="6">
        <f t="shared" si="40"/>
        <v>0.98888888888888893</v>
      </c>
      <c r="Q267" s="6">
        <f t="shared" si="41"/>
        <v>1.7364657814096015E-2</v>
      </c>
      <c r="R267">
        <f t="shared" si="42"/>
        <v>1</v>
      </c>
      <c r="S267">
        <f t="shared" si="43"/>
        <v>0</v>
      </c>
      <c r="T267" t="str">
        <f t="shared" si="44"/>
        <v>Apr-26</v>
      </c>
    </row>
    <row r="268" spans="1:20">
      <c r="A268" t="s">
        <v>526</v>
      </c>
      <c r="B268" t="s">
        <v>46</v>
      </c>
      <c r="C268" t="s">
        <v>16</v>
      </c>
      <c r="D268">
        <v>629</v>
      </c>
      <c r="E268" s="4">
        <v>46054</v>
      </c>
      <c r="F268" s="4">
        <v>46060</v>
      </c>
      <c r="G268" s="4">
        <v>46059</v>
      </c>
      <c r="H268">
        <v>625</v>
      </c>
      <c r="I268" t="s">
        <v>448</v>
      </c>
      <c r="J268">
        <v>55</v>
      </c>
      <c r="K268" t="s">
        <v>1563</v>
      </c>
      <c r="L268" t="str">
        <f t="shared" si="36"/>
        <v>Y</v>
      </c>
      <c r="M268" t="str">
        <f t="shared" si="37"/>
        <v>Y</v>
      </c>
      <c r="N268" t="str">
        <f t="shared" si="38"/>
        <v>Y</v>
      </c>
      <c r="O268">
        <f t="shared" si="39"/>
        <v>5</v>
      </c>
      <c r="P268" s="6">
        <f t="shared" si="40"/>
        <v>0.99364069952305245</v>
      </c>
      <c r="Q268" s="6">
        <f t="shared" si="41"/>
        <v>8.7999999999999995E-2</v>
      </c>
      <c r="R268">
        <f t="shared" si="42"/>
        <v>1</v>
      </c>
      <c r="S268">
        <f t="shared" si="43"/>
        <v>0</v>
      </c>
      <c r="T268" t="str">
        <f t="shared" si="44"/>
        <v>Feb-26</v>
      </c>
    </row>
    <row r="269" spans="1:20">
      <c r="A269" t="s">
        <v>527</v>
      </c>
      <c r="B269" t="s">
        <v>70</v>
      </c>
      <c r="C269" t="s">
        <v>16</v>
      </c>
      <c r="D269">
        <v>157</v>
      </c>
      <c r="E269" s="4">
        <v>46171</v>
      </c>
      <c r="F269" s="4">
        <v>46180</v>
      </c>
      <c r="G269" s="4">
        <v>46181</v>
      </c>
      <c r="H269">
        <v>158</v>
      </c>
      <c r="I269" t="s">
        <v>529</v>
      </c>
      <c r="J269">
        <v>1</v>
      </c>
      <c r="K269" t="s">
        <v>1563</v>
      </c>
      <c r="L269" t="str">
        <f t="shared" si="36"/>
        <v>N</v>
      </c>
      <c r="M269" t="str">
        <f t="shared" si="37"/>
        <v>Y</v>
      </c>
      <c r="N269" t="str">
        <f t="shared" si="38"/>
        <v>N</v>
      </c>
      <c r="O269">
        <f t="shared" si="39"/>
        <v>10</v>
      </c>
      <c r="P269" s="6">
        <f t="shared" si="40"/>
        <v>1.0063694267515924</v>
      </c>
      <c r="Q269" s="6">
        <f t="shared" si="41"/>
        <v>6.3291139240506328E-3</v>
      </c>
      <c r="R269">
        <f t="shared" si="42"/>
        <v>0</v>
      </c>
      <c r="S269">
        <f t="shared" si="43"/>
        <v>1</v>
      </c>
      <c r="T269" t="str">
        <f t="shared" si="44"/>
        <v>Jun-26</v>
      </c>
    </row>
    <row r="270" spans="1:20">
      <c r="A270" t="s">
        <v>530</v>
      </c>
      <c r="B270" t="s">
        <v>67</v>
      </c>
      <c r="C270" t="s">
        <v>12</v>
      </c>
      <c r="D270">
        <v>596</v>
      </c>
      <c r="E270" s="4">
        <v>46103</v>
      </c>
      <c r="F270" s="4">
        <v>46108</v>
      </c>
      <c r="G270" s="4">
        <v>46107</v>
      </c>
      <c r="H270">
        <v>601</v>
      </c>
      <c r="I270" t="s">
        <v>531</v>
      </c>
      <c r="J270">
        <v>27</v>
      </c>
      <c r="K270" t="s">
        <v>1563</v>
      </c>
      <c r="L270" t="str">
        <f t="shared" si="36"/>
        <v>Y</v>
      </c>
      <c r="M270" t="str">
        <f t="shared" si="37"/>
        <v>Y</v>
      </c>
      <c r="N270" t="str">
        <f t="shared" si="38"/>
        <v>Y</v>
      </c>
      <c r="O270">
        <f t="shared" si="39"/>
        <v>4</v>
      </c>
      <c r="P270" s="6">
        <f t="shared" si="40"/>
        <v>1.0083892617449663</v>
      </c>
      <c r="Q270" s="6">
        <f t="shared" si="41"/>
        <v>4.4925124792013313E-2</v>
      </c>
      <c r="R270">
        <f t="shared" si="42"/>
        <v>1</v>
      </c>
      <c r="S270">
        <f t="shared" si="43"/>
        <v>0</v>
      </c>
      <c r="T270" t="str">
        <f t="shared" si="44"/>
        <v>Mar-26</v>
      </c>
    </row>
    <row r="271" spans="1:20">
      <c r="A271" t="s">
        <v>532</v>
      </c>
      <c r="B271" t="s">
        <v>177</v>
      </c>
      <c r="C271" t="s">
        <v>12</v>
      </c>
      <c r="D271">
        <v>665</v>
      </c>
      <c r="E271" s="4">
        <v>46161</v>
      </c>
      <c r="F271" s="4">
        <v>46171</v>
      </c>
      <c r="G271" s="4">
        <v>46170</v>
      </c>
      <c r="H271">
        <v>664</v>
      </c>
      <c r="I271" t="s">
        <v>533</v>
      </c>
      <c r="J271">
        <v>36</v>
      </c>
      <c r="K271" t="s">
        <v>1563</v>
      </c>
      <c r="L271" t="str">
        <f t="shared" si="36"/>
        <v>Y</v>
      </c>
      <c r="M271" t="str">
        <f t="shared" si="37"/>
        <v>Y</v>
      </c>
      <c r="N271" t="str">
        <f t="shared" si="38"/>
        <v>Y</v>
      </c>
      <c r="O271">
        <f t="shared" si="39"/>
        <v>9</v>
      </c>
      <c r="P271" s="6">
        <f t="shared" si="40"/>
        <v>0.99849624060150377</v>
      </c>
      <c r="Q271" s="6">
        <f t="shared" si="41"/>
        <v>5.4216867469879519E-2</v>
      </c>
      <c r="R271">
        <f t="shared" si="42"/>
        <v>1</v>
      </c>
      <c r="S271">
        <f t="shared" si="43"/>
        <v>0</v>
      </c>
      <c r="T271" t="str">
        <f t="shared" si="44"/>
        <v>May-26</v>
      </c>
    </row>
    <row r="272" spans="1:20">
      <c r="A272" t="s">
        <v>534</v>
      </c>
      <c r="B272" t="s">
        <v>26</v>
      </c>
      <c r="C272" t="s">
        <v>23</v>
      </c>
      <c r="D272">
        <v>569</v>
      </c>
      <c r="E272" s="4">
        <v>46153</v>
      </c>
      <c r="F272" s="4">
        <v>46168</v>
      </c>
      <c r="G272" s="4">
        <v>46165</v>
      </c>
      <c r="H272">
        <v>561</v>
      </c>
      <c r="I272" t="s">
        <v>535</v>
      </c>
      <c r="J272">
        <v>13</v>
      </c>
      <c r="K272" t="s">
        <v>1563</v>
      </c>
      <c r="L272" t="str">
        <f t="shared" si="36"/>
        <v>Y</v>
      </c>
      <c r="M272" t="str">
        <f t="shared" si="37"/>
        <v>Y</v>
      </c>
      <c r="N272" t="str">
        <f t="shared" si="38"/>
        <v>Y</v>
      </c>
      <c r="O272">
        <f t="shared" si="39"/>
        <v>12</v>
      </c>
      <c r="P272" s="6">
        <f t="shared" si="40"/>
        <v>0.98594024604569419</v>
      </c>
      <c r="Q272" s="6">
        <f t="shared" si="41"/>
        <v>2.3172905525846704E-2</v>
      </c>
      <c r="R272">
        <f t="shared" si="42"/>
        <v>1</v>
      </c>
      <c r="S272">
        <f t="shared" si="43"/>
        <v>0</v>
      </c>
      <c r="T272" t="str">
        <f t="shared" si="44"/>
        <v>May-26</v>
      </c>
    </row>
    <row r="273" spans="1:20">
      <c r="A273" t="s">
        <v>536</v>
      </c>
      <c r="B273" t="s">
        <v>52</v>
      </c>
      <c r="C273" t="s">
        <v>12</v>
      </c>
      <c r="D273">
        <v>454</v>
      </c>
      <c r="E273" s="4">
        <v>46102</v>
      </c>
      <c r="F273" s="4">
        <v>46114</v>
      </c>
      <c r="G273" s="4">
        <v>46111</v>
      </c>
      <c r="H273">
        <v>448</v>
      </c>
      <c r="I273" t="s">
        <v>38</v>
      </c>
      <c r="J273">
        <v>0</v>
      </c>
      <c r="K273" t="s">
        <v>1563</v>
      </c>
      <c r="L273" t="str">
        <f t="shared" si="36"/>
        <v>Y</v>
      </c>
      <c r="M273" t="str">
        <f t="shared" si="37"/>
        <v>Y</v>
      </c>
      <c r="N273" t="str">
        <f t="shared" si="38"/>
        <v>Y</v>
      </c>
      <c r="O273">
        <f t="shared" si="39"/>
        <v>9</v>
      </c>
      <c r="P273" s="6">
        <f t="shared" si="40"/>
        <v>0.986784140969163</v>
      </c>
      <c r="Q273" s="6">
        <f t="shared" si="41"/>
        <v>0</v>
      </c>
      <c r="R273">
        <f t="shared" si="42"/>
        <v>1</v>
      </c>
      <c r="S273">
        <f t="shared" si="43"/>
        <v>0</v>
      </c>
      <c r="T273" t="str">
        <f t="shared" si="44"/>
        <v>Mar-26</v>
      </c>
    </row>
    <row r="274" spans="1:20">
      <c r="A274" t="s">
        <v>537</v>
      </c>
      <c r="B274" t="s">
        <v>177</v>
      </c>
      <c r="C274" t="s">
        <v>12</v>
      </c>
      <c r="D274">
        <v>125</v>
      </c>
      <c r="E274" s="4">
        <v>46143</v>
      </c>
      <c r="F274" s="4">
        <v>46152</v>
      </c>
      <c r="G274" s="4">
        <v>46152</v>
      </c>
      <c r="H274">
        <v>116</v>
      </c>
      <c r="I274" t="s">
        <v>538</v>
      </c>
      <c r="J274">
        <v>4</v>
      </c>
      <c r="K274" t="s">
        <v>1563</v>
      </c>
      <c r="L274" t="str">
        <f t="shared" si="36"/>
        <v>Y</v>
      </c>
      <c r="M274" t="str">
        <f t="shared" si="37"/>
        <v>N</v>
      </c>
      <c r="N274" t="str">
        <f t="shared" si="38"/>
        <v>N</v>
      </c>
      <c r="O274">
        <f t="shared" si="39"/>
        <v>9</v>
      </c>
      <c r="P274" s="6">
        <f t="shared" si="40"/>
        <v>0.92800000000000005</v>
      </c>
      <c r="Q274" s="6">
        <f t="shared" si="41"/>
        <v>3.4482758620689655E-2</v>
      </c>
      <c r="R274">
        <f t="shared" si="42"/>
        <v>0</v>
      </c>
      <c r="S274">
        <f t="shared" si="43"/>
        <v>0</v>
      </c>
      <c r="T274" t="str">
        <f t="shared" si="44"/>
        <v>May-26</v>
      </c>
    </row>
    <row r="275" spans="1:20">
      <c r="A275" t="s">
        <v>539</v>
      </c>
      <c r="B275" t="s">
        <v>120</v>
      </c>
      <c r="C275" t="s">
        <v>12</v>
      </c>
      <c r="D275">
        <v>789</v>
      </c>
      <c r="E275" s="4">
        <v>46120</v>
      </c>
      <c r="F275" s="4">
        <v>46130</v>
      </c>
      <c r="G275" s="4">
        <v>46127</v>
      </c>
      <c r="H275">
        <v>775</v>
      </c>
      <c r="I275" t="s">
        <v>540</v>
      </c>
      <c r="J275">
        <v>42</v>
      </c>
      <c r="K275" t="s">
        <v>1563</v>
      </c>
      <c r="L275" t="str">
        <f t="shared" si="36"/>
        <v>Y</v>
      </c>
      <c r="M275" t="str">
        <f t="shared" si="37"/>
        <v>Y</v>
      </c>
      <c r="N275" t="str">
        <f t="shared" si="38"/>
        <v>Y</v>
      </c>
      <c r="O275">
        <f t="shared" si="39"/>
        <v>7</v>
      </c>
      <c r="P275" s="6">
        <f t="shared" si="40"/>
        <v>0.98225602027883396</v>
      </c>
      <c r="Q275" s="6">
        <f t="shared" si="41"/>
        <v>5.4193548387096772E-2</v>
      </c>
      <c r="R275">
        <f t="shared" si="42"/>
        <v>1</v>
      </c>
      <c r="S275">
        <f t="shared" si="43"/>
        <v>0</v>
      </c>
      <c r="T275" t="str">
        <f t="shared" si="44"/>
        <v>Apr-26</v>
      </c>
    </row>
    <row r="276" spans="1:20">
      <c r="A276" t="s">
        <v>541</v>
      </c>
      <c r="B276" t="s">
        <v>19</v>
      </c>
      <c r="C276" t="s">
        <v>12</v>
      </c>
      <c r="D276">
        <v>991</v>
      </c>
      <c r="E276" s="4">
        <v>46058</v>
      </c>
      <c r="F276" s="4">
        <v>46072</v>
      </c>
      <c r="G276" s="4">
        <v>46069</v>
      </c>
      <c r="H276">
        <v>1005</v>
      </c>
      <c r="I276" t="s">
        <v>543</v>
      </c>
      <c r="J276">
        <v>22</v>
      </c>
      <c r="K276" t="s">
        <v>1563</v>
      </c>
      <c r="L276" t="str">
        <f t="shared" si="36"/>
        <v>Y</v>
      </c>
      <c r="M276" t="str">
        <f t="shared" si="37"/>
        <v>Y</v>
      </c>
      <c r="N276" t="str">
        <f t="shared" si="38"/>
        <v>Y</v>
      </c>
      <c r="O276">
        <f t="shared" si="39"/>
        <v>11</v>
      </c>
      <c r="P276" s="6">
        <f t="shared" si="40"/>
        <v>1.0141271442986881</v>
      </c>
      <c r="Q276" s="6">
        <f t="shared" si="41"/>
        <v>2.1890547263681594E-2</v>
      </c>
      <c r="R276">
        <f t="shared" si="42"/>
        <v>1</v>
      </c>
      <c r="S276">
        <f t="shared" si="43"/>
        <v>0</v>
      </c>
      <c r="T276" t="str">
        <f t="shared" si="44"/>
        <v>Feb-26</v>
      </c>
    </row>
    <row r="277" spans="1:20">
      <c r="A277" t="s">
        <v>544</v>
      </c>
      <c r="B277" t="s">
        <v>40</v>
      </c>
      <c r="C277" t="s">
        <v>23</v>
      </c>
      <c r="D277">
        <v>834</v>
      </c>
      <c r="E277" s="4">
        <v>46032</v>
      </c>
      <c r="F277" s="4">
        <v>46043</v>
      </c>
      <c r="G277" s="4"/>
      <c r="I277" t="s">
        <v>545</v>
      </c>
      <c r="K277" t="s">
        <v>1565</v>
      </c>
      <c r="L277" t="str">
        <f t="shared" si="36"/>
        <v>N/A</v>
      </c>
      <c r="M277" t="str">
        <f t="shared" si="37"/>
        <v>N/A</v>
      </c>
      <c r="N277" t="str">
        <f t="shared" si="38"/>
        <v>N/A</v>
      </c>
      <c r="O277" t="str">
        <f t="shared" si="39"/>
        <v>N/A</v>
      </c>
      <c r="P277" s="6" t="str">
        <f t="shared" si="40"/>
        <v>N/A</v>
      </c>
      <c r="Q277" s="6" t="str">
        <f t="shared" si="41"/>
        <v>N/A</v>
      </c>
      <c r="R277" t="str">
        <f t="shared" si="42"/>
        <v/>
      </c>
      <c r="S277" t="str">
        <f t="shared" si="43"/>
        <v>N/A</v>
      </c>
      <c r="T277" t="str">
        <f t="shared" si="44"/>
        <v>N/A</v>
      </c>
    </row>
    <row r="278" spans="1:20">
      <c r="A278" t="s">
        <v>546</v>
      </c>
      <c r="B278" t="s">
        <v>52</v>
      </c>
      <c r="C278" t="s">
        <v>12</v>
      </c>
      <c r="D278">
        <v>597</v>
      </c>
      <c r="E278" s="4">
        <v>46175</v>
      </c>
      <c r="F278" s="4">
        <v>46186</v>
      </c>
      <c r="G278" s="4">
        <v>46183</v>
      </c>
      <c r="H278">
        <v>609</v>
      </c>
      <c r="I278" t="s">
        <v>547</v>
      </c>
      <c r="J278">
        <v>9</v>
      </c>
      <c r="K278" t="s">
        <v>1563</v>
      </c>
      <c r="L278" t="str">
        <f t="shared" si="36"/>
        <v>Y</v>
      </c>
      <c r="M278" t="str">
        <f t="shared" si="37"/>
        <v>Y</v>
      </c>
      <c r="N278" t="str">
        <f t="shared" si="38"/>
        <v>Y</v>
      </c>
      <c r="O278">
        <f t="shared" si="39"/>
        <v>8</v>
      </c>
      <c r="P278" s="6">
        <f t="shared" si="40"/>
        <v>1.0201005025125629</v>
      </c>
      <c r="Q278" s="6">
        <f t="shared" si="41"/>
        <v>1.4778325123152709E-2</v>
      </c>
      <c r="R278">
        <f t="shared" si="42"/>
        <v>1</v>
      </c>
      <c r="S278">
        <f t="shared" si="43"/>
        <v>0</v>
      </c>
      <c r="T278" t="str">
        <f t="shared" si="44"/>
        <v>Jun-26</v>
      </c>
    </row>
    <row r="279" spans="1:20">
      <c r="A279" t="s">
        <v>548</v>
      </c>
      <c r="B279" t="s">
        <v>64</v>
      </c>
      <c r="C279" t="s">
        <v>23</v>
      </c>
      <c r="D279">
        <v>741</v>
      </c>
      <c r="E279" s="4">
        <v>46175</v>
      </c>
      <c r="F279" s="4">
        <v>46180</v>
      </c>
      <c r="G279" s="4">
        <v>46183</v>
      </c>
      <c r="H279">
        <v>742</v>
      </c>
      <c r="I279" t="s">
        <v>549</v>
      </c>
      <c r="J279">
        <v>14</v>
      </c>
      <c r="K279" t="s">
        <v>1563</v>
      </c>
      <c r="L279" t="str">
        <f t="shared" si="36"/>
        <v>N</v>
      </c>
      <c r="M279" t="str">
        <f t="shared" si="37"/>
        <v>Y</v>
      </c>
      <c r="N279" t="str">
        <f t="shared" si="38"/>
        <v>N</v>
      </c>
      <c r="O279">
        <f t="shared" si="39"/>
        <v>8</v>
      </c>
      <c r="P279" s="6">
        <f t="shared" si="40"/>
        <v>1.001349527665317</v>
      </c>
      <c r="Q279" s="6">
        <f t="shared" si="41"/>
        <v>1.8867924528301886E-2</v>
      </c>
      <c r="R279">
        <f t="shared" si="42"/>
        <v>0</v>
      </c>
      <c r="S279">
        <f t="shared" si="43"/>
        <v>3</v>
      </c>
      <c r="T279" t="str">
        <f t="shared" si="44"/>
        <v>Jun-26</v>
      </c>
    </row>
    <row r="280" spans="1:20">
      <c r="A280" t="s">
        <v>550</v>
      </c>
      <c r="B280" t="s">
        <v>54</v>
      </c>
      <c r="C280" t="s">
        <v>12</v>
      </c>
      <c r="D280">
        <v>567</v>
      </c>
      <c r="E280" s="4">
        <v>46141</v>
      </c>
      <c r="F280" s="4">
        <v>46149</v>
      </c>
      <c r="G280" s="4">
        <v>46146</v>
      </c>
      <c r="H280">
        <v>556</v>
      </c>
      <c r="I280" t="s">
        <v>421</v>
      </c>
      <c r="J280">
        <v>9</v>
      </c>
      <c r="K280" t="s">
        <v>1563</v>
      </c>
      <c r="L280" t="str">
        <f t="shared" si="36"/>
        <v>Y</v>
      </c>
      <c r="M280" t="str">
        <f t="shared" si="37"/>
        <v>Y</v>
      </c>
      <c r="N280" t="str">
        <f t="shared" si="38"/>
        <v>Y</v>
      </c>
      <c r="O280">
        <f t="shared" si="39"/>
        <v>5</v>
      </c>
      <c r="P280" s="6">
        <f t="shared" si="40"/>
        <v>0.98059964726631388</v>
      </c>
      <c r="Q280" s="6">
        <f t="shared" si="41"/>
        <v>1.618705035971223E-2</v>
      </c>
      <c r="R280">
        <f t="shared" si="42"/>
        <v>1</v>
      </c>
      <c r="S280">
        <f t="shared" si="43"/>
        <v>0</v>
      </c>
      <c r="T280" t="str">
        <f t="shared" si="44"/>
        <v>May-26</v>
      </c>
    </row>
    <row r="281" spans="1:20">
      <c r="A281" t="s">
        <v>551</v>
      </c>
      <c r="B281" t="s">
        <v>46</v>
      </c>
      <c r="C281" t="s">
        <v>23</v>
      </c>
      <c r="D281">
        <v>973</v>
      </c>
      <c r="E281" s="4">
        <v>46039</v>
      </c>
      <c r="F281" s="4">
        <v>46051</v>
      </c>
      <c r="G281" s="4">
        <v>46049</v>
      </c>
      <c r="H281">
        <v>970</v>
      </c>
      <c r="I281" t="s">
        <v>552</v>
      </c>
      <c r="J281">
        <v>5</v>
      </c>
      <c r="K281" t="s">
        <v>1563</v>
      </c>
      <c r="L281" t="str">
        <f t="shared" si="36"/>
        <v>Y</v>
      </c>
      <c r="M281" t="str">
        <f t="shared" si="37"/>
        <v>Y</v>
      </c>
      <c r="N281" t="str">
        <f t="shared" si="38"/>
        <v>Y</v>
      </c>
      <c r="O281">
        <f t="shared" si="39"/>
        <v>10</v>
      </c>
      <c r="P281" s="6">
        <f t="shared" si="40"/>
        <v>0.99691675231243582</v>
      </c>
      <c r="Q281" s="6">
        <f t="shared" si="41"/>
        <v>5.1546391752577319E-3</v>
      </c>
      <c r="R281">
        <f t="shared" si="42"/>
        <v>1</v>
      </c>
      <c r="S281">
        <f t="shared" si="43"/>
        <v>0</v>
      </c>
      <c r="T281" t="str">
        <f t="shared" si="44"/>
        <v>Jan-26</v>
      </c>
    </row>
    <row r="282" spans="1:20">
      <c r="A282" t="s">
        <v>553</v>
      </c>
      <c r="B282" t="s">
        <v>64</v>
      </c>
      <c r="C282" t="s">
        <v>12</v>
      </c>
      <c r="D282">
        <v>884</v>
      </c>
      <c r="E282" s="4">
        <v>46159</v>
      </c>
      <c r="F282" s="4">
        <v>46171</v>
      </c>
      <c r="G282" s="4">
        <v>46169</v>
      </c>
      <c r="H282">
        <v>880</v>
      </c>
      <c r="I282" t="s">
        <v>183</v>
      </c>
      <c r="J282">
        <v>5</v>
      </c>
      <c r="K282" t="s">
        <v>1563</v>
      </c>
      <c r="L282" t="str">
        <f t="shared" si="36"/>
        <v>Y</v>
      </c>
      <c r="M282" t="str">
        <f t="shared" si="37"/>
        <v>Y</v>
      </c>
      <c r="N282" t="str">
        <f t="shared" si="38"/>
        <v>Y</v>
      </c>
      <c r="O282">
        <f t="shared" si="39"/>
        <v>10</v>
      </c>
      <c r="P282" s="6">
        <f t="shared" si="40"/>
        <v>0.99547511312217196</v>
      </c>
      <c r="Q282" s="6">
        <f t="shared" si="41"/>
        <v>5.681818181818182E-3</v>
      </c>
      <c r="R282">
        <f t="shared" si="42"/>
        <v>1</v>
      </c>
      <c r="S282">
        <f t="shared" si="43"/>
        <v>0</v>
      </c>
      <c r="T282" t="str">
        <f t="shared" si="44"/>
        <v>May-26</v>
      </c>
    </row>
    <row r="283" spans="1:20">
      <c r="A283" t="s">
        <v>555</v>
      </c>
      <c r="B283" t="s">
        <v>81</v>
      </c>
      <c r="C283" t="s">
        <v>16</v>
      </c>
      <c r="D283">
        <v>762</v>
      </c>
      <c r="E283" s="4">
        <v>46055</v>
      </c>
      <c r="F283" s="4">
        <v>46062</v>
      </c>
      <c r="G283" s="4">
        <v>46059</v>
      </c>
      <c r="H283">
        <v>639</v>
      </c>
      <c r="I283" t="s">
        <v>556</v>
      </c>
      <c r="J283">
        <v>7</v>
      </c>
      <c r="K283" t="s">
        <v>1563</v>
      </c>
      <c r="L283" t="str">
        <f t="shared" si="36"/>
        <v>Y</v>
      </c>
      <c r="M283" t="str">
        <f t="shared" si="37"/>
        <v>N</v>
      </c>
      <c r="N283" t="str">
        <f t="shared" si="38"/>
        <v>N</v>
      </c>
      <c r="O283">
        <f t="shared" si="39"/>
        <v>4</v>
      </c>
      <c r="P283" s="6">
        <f t="shared" si="40"/>
        <v>0.83858267716535428</v>
      </c>
      <c r="Q283" s="6">
        <f t="shared" si="41"/>
        <v>1.0954616588419406E-2</v>
      </c>
      <c r="R283">
        <f t="shared" si="42"/>
        <v>0</v>
      </c>
      <c r="S283">
        <f t="shared" si="43"/>
        <v>0</v>
      </c>
      <c r="T283" t="str">
        <f t="shared" si="44"/>
        <v>Feb-26</v>
      </c>
    </row>
    <row r="284" spans="1:20">
      <c r="A284" t="s">
        <v>557</v>
      </c>
      <c r="B284" t="s">
        <v>52</v>
      </c>
      <c r="C284" t="s">
        <v>16</v>
      </c>
      <c r="D284">
        <v>122</v>
      </c>
      <c r="E284" s="4">
        <v>46078</v>
      </c>
      <c r="F284" s="4">
        <v>46093</v>
      </c>
      <c r="G284" s="4">
        <v>46091</v>
      </c>
      <c r="H284">
        <v>121</v>
      </c>
      <c r="I284" t="s">
        <v>1564</v>
      </c>
      <c r="J284">
        <v>1</v>
      </c>
      <c r="K284" t="s">
        <v>1563</v>
      </c>
      <c r="L284" t="str">
        <f t="shared" si="36"/>
        <v>Y</v>
      </c>
      <c r="M284" t="str">
        <f t="shared" si="37"/>
        <v>Y</v>
      </c>
      <c r="N284" t="str">
        <f t="shared" si="38"/>
        <v>Y</v>
      </c>
      <c r="O284">
        <f t="shared" si="39"/>
        <v>13</v>
      </c>
      <c r="P284" s="6">
        <f t="shared" si="40"/>
        <v>0.99180327868852458</v>
      </c>
      <c r="Q284" s="6">
        <f t="shared" si="41"/>
        <v>8.2644628099173556E-3</v>
      </c>
      <c r="R284">
        <f t="shared" si="42"/>
        <v>1</v>
      </c>
      <c r="S284">
        <f t="shared" si="43"/>
        <v>0</v>
      </c>
      <c r="T284" t="str">
        <f t="shared" si="44"/>
        <v>Mar-26</v>
      </c>
    </row>
    <row r="285" spans="1:20">
      <c r="A285" t="s">
        <v>558</v>
      </c>
      <c r="B285" t="s">
        <v>26</v>
      </c>
      <c r="C285" t="s">
        <v>16</v>
      </c>
      <c r="D285">
        <v>735</v>
      </c>
      <c r="E285" s="4">
        <v>46114</v>
      </c>
      <c r="F285" s="4">
        <v>46119</v>
      </c>
      <c r="G285" s="4">
        <v>46118</v>
      </c>
      <c r="H285">
        <v>743</v>
      </c>
      <c r="I285" t="s">
        <v>17</v>
      </c>
      <c r="J285">
        <v>13</v>
      </c>
      <c r="K285" t="s">
        <v>1563</v>
      </c>
      <c r="L285" t="str">
        <f t="shared" si="36"/>
        <v>Y</v>
      </c>
      <c r="M285" t="str">
        <f t="shared" si="37"/>
        <v>Y</v>
      </c>
      <c r="N285" t="str">
        <f t="shared" si="38"/>
        <v>Y</v>
      </c>
      <c r="O285">
        <f t="shared" si="39"/>
        <v>4</v>
      </c>
      <c r="P285" s="6">
        <f t="shared" si="40"/>
        <v>1.0108843537414967</v>
      </c>
      <c r="Q285" s="6">
        <f t="shared" si="41"/>
        <v>1.7496635262449527E-2</v>
      </c>
      <c r="R285">
        <f t="shared" si="42"/>
        <v>1</v>
      </c>
      <c r="S285">
        <f t="shared" si="43"/>
        <v>0</v>
      </c>
      <c r="T285" t="str">
        <f t="shared" si="44"/>
        <v>Apr-26</v>
      </c>
    </row>
    <row r="286" spans="1:20">
      <c r="A286" t="s">
        <v>559</v>
      </c>
      <c r="B286" t="s">
        <v>40</v>
      </c>
      <c r="C286" t="s">
        <v>23</v>
      </c>
      <c r="D286">
        <v>902</v>
      </c>
      <c r="E286" s="4">
        <v>46088</v>
      </c>
      <c r="F286" s="4">
        <v>46100</v>
      </c>
      <c r="G286" s="4">
        <v>46099</v>
      </c>
      <c r="H286">
        <v>899</v>
      </c>
      <c r="I286" t="s">
        <v>111</v>
      </c>
      <c r="J286">
        <v>86</v>
      </c>
      <c r="K286" t="s">
        <v>1563</v>
      </c>
      <c r="L286" t="str">
        <f t="shared" si="36"/>
        <v>Y</v>
      </c>
      <c r="M286" t="str">
        <f t="shared" si="37"/>
        <v>Y</v>
      </c>
      <c r="N286" t="str">
        <f t="shared" si="38"/>
        <v>Y</v>
      </c>
      <c r="O286">
        <f t="shared" si="39"/>
        <v>11</v>
      </c>
      <c r="P286" s="6">
        <f t="shared" si="40"/>
        <v>0.99667405764966743</v>
      </c>
      <c r="Q286" s="6">
        <f t="shared" si="41"/>
        <v>9.5661846496106789E-2</v>
      </c>
      <c r="R286">
        <f t="shared" si="42"/>
        <v>1</v>
      </c>
      <c r="S286">
        <f t="shared" si="43"/>
        <v>0</v>
      </c>
      <c r="T286" t="str">
        <f t="shared" si="44"/>
        <v>Mar-26</v>
      </c>
    </row>
    <row r="287" spans="1:20">
      <c r="A287" t="s">
        <v>560</v>
      </c>
      <c r="B287" t="s">
        <v>43</v>
      </c>
      <c r="C287" t="s">
        <v>16</v>
      </c>
      <c r="D287">
        <v>410</v>
      </c>
      <c r="E287" s="4">
        <v>46072</v>
      </c>
      <c r="F287" s="4">
        <v>46083</v>
      </c>
      <c r="G287" s="4">
        <v>46083</v>
      </c>
      <c r="H287">
        <v>417</v>
      </c>
      <c r="I287" t="s">
        <v>1564</v>
      </c>
      <c r="J287">
        <v>6</v>
      </c>
      <c r="K287" t="s">
        <v>1563</v>
      </c>
      <c r="L287" t="str">
        <f t="shared" si="36"/>
        <v>Y</v>
      </c>
      <c r="M287" t="str">
        <f t="shared" si="37"/>
        <v>Y</v>
      </c>
      <c r="N287" t="str">
        <f t="shared" si="38"/>
        <v>Y</v>
      </c>
      <c r="O287">
        <f t="shared" si="39"/>
        <v>11</v>
      </c>
      <c r="P287" s="6">
        <f t="shared" si="40"/>
        <v>1.0170731707317073</v>
      </c>
      <c r="Q287" s="6">
        <f t="shared" si="41"/>
        <v>1.4388489208633094E-2</v>
      </c>
      <c r="R287">
        <f t="shared" si="42"/>
        <v>1</v>
      </c>
      <c r="S287">
        <f t="shared" si="43"/>
        <v>0</v>
      </c>
      <c r="T287" t="str">
        <f t="shared" si="44"/>
        <v>Mar-26</v>
      </c>
    </row>
    <row r="288" spans="1:20">
      <c r="A288" t="s">
        <v>561</v>
      </c>
      <c r="B288" t="s">
        <v>22</v>
      </c>
      <c r="C288" t="s">
        <v>16</v>
      </c>
      <c r="D288">
        <v>350</v>
      </c>
      <c r="E288" s="4">
        <v>46063</v>
      </c>
      <c r="F288" s="4">
        <v>46077</v>
      </c>
      <c r="G288" s="4">
        <v>46076</v>
      </c>
      <c r="H288">
        <v>284</v>
      </c>
      <c r="I288" t="s">
        <v>233</v>
      </c>
      <c r="J288">
        <v>25</v>
      </c>
      <c r="K288" t="s">
        <v>1563</v>
      </c>
      <c r="L288" t="str">
        <f t="shared" si="36"/>
        <v>Y</v>
      </c>
      <c r="M288" t="str">
        <f t="shared" si="37"/>
        <v>N</v>
      </c>
      <c r="N288" t="str">
        <f t="shared" si="38"/>
        <v>N</v>
      </c>
      <c r="O288">
        <f t="shared" si="39"/>
        <v>13</v>
      </c>
      <c r="P288" s="6">
        <f t="shared" si="40"/>
        <v>0.81142857142857139</v>
      </c>
      <c r="Q288" s="6">
        <f t="shared" si="41"/>
        <v>8.8028169014084501E-2</v>
      </c>
      <c r="R288">
        <f t="shared" si="42"/>
        <v>0</v>
      </c>
      <c r="S288">
        <f t="shared" si="43"/>
        <v>0</v>
      </c>
      <c r="T288" t="str">
        <f t="shared" si="44"/>
        <v>Feb-26</v>
      </c>
    </row>
    <row r="289" spans="1:20">
      <c r="A289" t="s">
        <v>562</v>
      </c>
      <c r="B289" t="s">
        <v>54</v>
      </c>
      <c r="C289" t="s">
        <v>12</v>
      </c>
      <c r="D289">
        <v>598</v>
      </c>
      <c r="E289" s="4">
        <v>46059</v>
      </c>
      <c r="F289" s="4">
        <v>46070</v>
      </c>
      <c r="G289" s="4">
        <v>46075</v>
      </c>
      <c r="H289">
        <v>609</v>
      </c>
      <c r="I289" t="s">
        <v>140</v>
      </c>
      <c r="J289">
        <v>12</v>
      </c>
      <c r="K289" t="s">
        <v>1563</v>
      </c>
      <c r="L289" t="str">
        <f t="shared" si="36"/>
        <v>N</v>
      </c>
      <c r="M289" t="str">
        <f t="shared" si="37"/>
        <v>Y</v>
      </c>
      <c r="N289" t="str">
        <f t="shared" si="38"/>
        <v>N</v>
      </c>
      <c r="O289">
        <f t="shared" si="39"/>
        <v>16</v>
      </c>
      <c r="P289" s="6">
        <f t="shared" si="40"/>
        <v>1.0183946488294315</v>
      </c>
      <c r="Q289" s="6">
        <f t="shared" si="41"/>
        <v>1.9704433497536946E-2</v>
      </c>
      <c r="R289">
        <f t="shared" si="42"/>
        <v>0</v>
      </c>
      <c r="S289">
        <f t="shared" si="43"/>
        <v>5</v>
      </c>
      <c r="T289" t="str">
        <f t="shared" si="44"/>
        <v>Feb-26</v>
      </c>
    </row>
    <row r="290" spans="1:20">
      <c r="A290" t="s">
        <v>563</v>
      </c>
      <c r="B290" t="s">
        <v>54</v>
      </c>
      <c r="C290" t="s">
        <v>12</v>
      </c>
      <c r="D290">
        <v>471</v>
      </c>
      <c r="E290" s="4">
        <v>46124</v>
      </c>
      <c r="F290" s="4">
        <v>46134</v>
      </c>
      <c r="G290" s="4">
        <v>46143</v>
      </c>
      <c r="H290">
        <v>471</v>
      </c>
      <c r="I290" t="s">
        <v>84</v>
      </c>
      <c r="J290">
        <v>6</v>
      </c>
      <c r="K290" t="s">
        <v>1563</v>
      </c>
      <c r="L290" t="str">
        <f t="shared" si="36"/>
        <v>N</v>
      </c>
      <c r="M290" t="str">
        <f t="shared" si="37"/>
        <v>Y</v>
      </c>
      <c r="N290" t="str">
        <f t="shared" si="38"/>
        <v>N</v>
      </c>
      <c r="O290">
        <f t="shared" si="39"/>
        <v>19</v>
      </c>
      <c r="P290" s="6">
        <f t="shared" si="40"/>
        <v>1</v>
      </c>
      <c r="Q290" s="6">
        <f t="shared" si="41"/>
        <v>1.2738853503184714E-2</v>
      </c>
      <c r="R290">
        <f t="shared" si="42"/>
        <v>0</v>
      </c>
      <c r="S290">
        <f t="shared" si="43"/>
        <v>9</v>
      </c>
      <c r="T290" t="str">
        <f t="shared" si="44"/>
        <v>May-26</v>
      </c>
    </row>
    <row r="291" spans="1:20">
      <c r="A291" t="s">
        <v>564</v>
      </c>
      <c r="B291" t="s">
        <v>67</v>
      </c>
      <c r="C291" t="s">
        <v>12</v>
      </c>
      <c r="D291">
        <v>92</v>
      </c>
      <c r="E291" s="4">
        <v>46150</v>
      </c>
      <c r="F291" s="4">
        <v>46161</v>
      </c>
      <c r="G291" s="4">
        <v>46158</v>
      </c>
      <c r="H291">
        <v>93</v>
      </c>
      <c r="I291" t="s">
        <v>195</v>
      </c>
      <c r="J291">
        <v>2</v>
      </c>
      <c r="K291" t="s">
        <v>1563</v>
      </c>
      <c r="L291" t="str">
        <f t="shared" si="36"/>
        <v>Y</v>
      </c>
      <c r="M291" t="str">
        <f t="shared" si="37"/>
        <v>Y</v>
      </c>
      <c r="N291" t="str">
        <f t="shared" si="38"/>
        <v>Y</v>
      </c>
      <c r="O291">
        <f t="shared" si="39"/>
        <v>8</v>
      </c>
      <c r="P291" s="6">
        <f t="shared" si="40"/>
        <v>1.0108695652173914</v>
      </c>
      <c r="Q291" s="6">
        <f t="shared" si="41"/>
        <v>2.1505376344086023E-2</v>
      </c>
      <c r="R291">
        <f t="shared" si="42"/>
        <v>1</v>
      </c>
      <c r="S291">
        <f t="shared" si="43"/>
        <v>0</v>
      </c>
      <c r="T291" t="str">
        <f t="shared" si="44"/>
        <v>May-26</v>
      </c>
    </row>
    <row r="292" spans="1:20">
      <c r="A292" t="s">
        <v>565</v>
      </c>
      <c r="B292" t="s">
        <v>49</v>
      </c>
      <c r="C292" t="s">
        <v>12</v>
      </c>
      <c r="D292">
        <v>674</v>
      </c>
      <c r="E292" s="4">
        <v>46167</v>
      </c>
      <c r="F292" s="4">
        <v>46178</v>
      </c>
      <c r="G292" s="4">
        <v>46177</v>
      </c>
      <c r="H292">
        <v>684</v>
      </c>
      <c r="I292" t="s">
        <v>178</v>
      </c>
      <c r="J292">
        <v>0</v>
      </c>
      <c r="K292" t="s">
        <v>1563</v>
      </c>
      <c r="L292" t="str">
        <f t="shared" si="36"/>
        <v>Y</v>
      </c>
      <c r="M292" t="str">
        <f t="shared" si="37"/>
        <v>Y</v>
      </c>
      <c r="N292" t="str">
        <f t="shared" si="38"/>
        <v>Y</v>
      </c>
      <c r="O292">
        <f t="shared" si="39"/>
        <v>10</v>
      </c>
      <c r="P292" s="6">
        <f t="shared" si="40"/>
        <v>1.0148367952522255</v>
      </c>
      <c r="Q292" s="6">
        <f t="shared" si="41"/>
        <v>0</v>
      </c>
      <c r="R292">
        <f t="shared" si="42"/>
        <v>1</v>
      </c>
      <c r="S292">
        <f t="shared" si="43"/>
        <v>0</v>
      </c>
      <c r="T292" t="str">
        <f t="shared" si="44"/>
        <v>Jun-26</v>
      </c>
    </row>
    <row r="293" spans="1:20">
      <c r="A293" t="s">
        <v>566</v>
      </c>
      <c r="B293" t="s">
        <v>29</v>
      </c>
      <c r="C293" t="s">
        <v>12</v>
      </c>
      <c r="D293">
        <v>634</v>
      </c>
      <c r="E293" s="4">
        <v>46126</v>
      </c>
      <c r="F293" s="4">
        <v>46138</v>
      </c>
      <c r="G293" s="4">
        <v>46147</v>
      </c>
      <c r="H293">
        <v>511</v>
      </c>
      <c r="I293" t="s">
        <v>567</v>
      </c>
      <c r="J293">
        <v>1</v>
      </c>
      <c r="K293" t="s">
        <v>1563</v>
      </c>
      <c r="L293" t="str">
        <f t="shared" si="36"/>
        <v>N</v>
      </c>
      <c r="M293" t="str">
        <f t="shared" si="37"/>
        <v>N</v>
      </c>
      <c r="N293" t="str">
        <f t="shared" si="38"/>
        <v>N</v>
      </c>
      <c r="O293">
        <f t="shared" si="39"/>
        <v>21</v>
      </c>
      <c r="P293" s="6">
        <f t="shared" si="40"/>
        <v>0.805993690851735</v>
      </c>
      <c r="Q293" s="6">
        <f t="shared" si="41"/>
        <v>1.9569471624266144E-3</v>
      </c>
      <c r="R293">
        <f t="shared" si="42"/>
        <v>0</v>
      </c>
      <c r="S293">
        <f t="shared" si="43"/>
        <v>9</v>
      </c>
      <c r="T293" t="str">
        <f t="shared" si="44"/>
        <v>May-26</v>
      </c>
    </row>
    <row r="294" spans="1:20">
      <c r="A294" t="s">
        <v>568</v>
      </c>
      <c r="B294" t="s">
        <v>26</v>
      </c>
      <c r="C294" t="s">
        <v>16</v>
      </c>
      <c r="D294">
        <v>448</v>
      </c>
      <c r="E294" s="4">
        <v>46137</v>
      </c>
      <c r="F294" s="4">
        <v>46149</v>
      </c>
      <c r="G294" s="4">
        <v>46147</v>
      </c>
      <c r="H294">
        <v>386</v>
      </c>
      <c r="I294" t="s">
        <v>569</v>
      </c>
      <c r="J294">
        <v>8</v>
      </c>
      <c r="K294" t="s">
        <v>1563</v>
      </c>
      <c r="L294" t="str">
        <f t="shared" si="36"/>
        <v>Y</v>
      </c>
      <c r="M294" t="str">
        <f t="shared" si="37"/>
        <v>N</v>
      </c>
      <c r="N294" t="str">
        <f t="shared" si="38"/>
        <v>N</v>
      </c>
      <c r="O294">
        <f t="shared" si="39"/>
        <v>10</v>
      </c>
      <c r="P294" s="6">
        <f t="shared" si="40"/>
        <v>0.8616071428571429</v>
      </c>
      <c r="Q294" s="6">
        <f t="shared" si="41"/>
        <v>2.072538860103627E-2</v>
      </c>
      <c r="R294">
        <f t="shared" si="42"/>
        <v>0</v>
      </c>
      <c r="S294">
        <f t="shared" si="43"/>
        <v>0</v>
      </c>
      <c r="T294" t="str">
        <f t="shared" si="44"/>
        <v>May-26</v>
      </c>
    </row>
    <row r="295" spans="1:20">
      <c r="A295" t="s">
        <v>570</v>
      </c>
      <c r="B295" t="s">
        <v>100</v>
      </c>
      <c r="C295" t="s">
        <v>16</v>
      </c>
      <c r="D295">
        <v>908</v>
      </c>
      <c r="E295" s="4">
        <v>46118</v>
      </c>
      <c r="F295" s="4">
        <v>46127</v>
      </c>
      <c r="G295" s="4">
        <v>46127</v>
      </c>
      <c r="H295">
        <v>902</v>
      </c>
      <c r="I295" t="s">
        <v>571</v>
      </c>
      <c r="J295">
        <v>20</v>
      </c>
      <c r="K295" t="s">
        <v>1563</v>
      </c>
      <c r="L295" t="str">
        <f t="shared" si="36"/>
        <v>Y</v>
      </c>
      <c r="M295" t="str">
        <f t="shared" si="37"/>
        <v>Y</v>
      </c>
      <c r="N295" t="str">
        <f t="shared" si="38"/>
        <v>Y</v>
      </c>
      <c r="O295">
        <f t="shared" si="39"/>
        <v>9</v>
      </c>
      <c r="P295" s="6">
        <f t="shared" si="40"/>
        <v>0.99339207048458145</v>
      </c>
      <c r="Q295" s="6">
        <f t="shared" si="41"/>
        <v>2.2172949002217297E-2</v>
      </c>
      <c r="R295">
        <f t="shared" si="42"/>
        <v>1</v>
      </c>
      <c r="S295">
        <f t="shared" si="43"/>
        <v>0</v>
      </c>
      <c r="T295" t="str">
        <f t="shared" si="44"/>
        <v>Apr-26</v>
      </c>
    </row>
    <row r="296" spans="1:20">
      <c r="A296" t="s">
        <v>572</v>
      </c>
      <c r="B296" t="s">
        <v>26</v>
      </c>
      <c r="C296" t="s">
        <v>23</v>
      </c>
      <c r="D296">
        <v>555</v>
      </c>
      <c r="E296" s="4">
        <v>46165</v>
      </c>
      <c r="F296" s="4">
        <v>46176</v>
      </c>
      <c r="G296" s="4">
        <v>46184</v>
      </c>
      <c r="H296">
        <v>527</v>
      </c>
      <c r="I296" t="s">
        <v>574</v>
      </c>
      <c r="J296">
        <v>17</v>
      </c>
      <c r="K296" t="s">
        <v>1563</v>
      </c>
      <c r="L296" t="str">
        <f t="shared" si="36"/>
        <v>N</v>
      </c>
      <c r="M296" t="str">
        <f t="shared" si="37"/>
        <v>N</v>
      </c>
      <c r="N296" t="str">
        <f t="shared" si="38"/>
        <v>N</v>
      </c>
      <c r="O296">
        <f t="shared" si="39"/>
        <v>19</v>
      </c>
      <c r="P296" s="6">
        <f t="shared" si="40"/>
        <v>0.94954954954954951</v>
      </c>
      <c r="Q296" s="6">
        <f t="shared" si="41"/>
        <v>3.2258064516129031E-2</v>
      </c>
      <c r="R296">
        <f t="shared" si="42"/>
        <v>0</v>
      </c>
      <c r="S296">
        <f t="shared" si="43"/>
        <v>8</v>
      </c>
      <c r="T296" t="str">
        <f t="shared" si="44"/>
        <v>Jun-26</v>
      </c>
    </row>
    <row r="297" spans="1:20">
      <c r="A297" t="s">
        <v>575</v>
      </c>
      <c r="B297" t="s">
        <v>43</v>
      </c>
      <c r="C297" t="s">
        <v>12</v>
      </c>
      <c r="D297">
        <v>669</v>
      </c>
      <c r="E297" s="4">
        <v>46156</v>
      </c>
      <c r="F297" s="4">
        <v>46169</v>
      </c>
      <c r="G297" s="4">
        <v>46166</v>
      </c>
      <c r="H297">
        <v>670</v>
      </c>
      <c r="I297" t="s">
        <v>356</v>
      </c>
      <c r="J297">
        <v>19</v>
      </c>
      <c r="K297" t="s">
        <v>1563</v>
      </c>
      <c r="L297" t="str">
        <f t="shared" si="36"/>
        <v>Y</v>
      </c>
      <c r="M297" t="str">
        <f t="shared" si="37"/>
        <v>Y</v>
      </c>
      <c r="N297" t="str">
        <f t="shared" si="38"/>
        <v>Y</v>
      </c>
      <c r="O297">
        <f t="shared" si="39"/>
        <v>10</v>
      </c>
      <c r="P297" s="6">
        <f t="shared" si="40"/>
        <v>1.0014947683109119</v>
      </c>
      <c r="Q297" s="6">
        <f t="shared" si="41"/>
        <v>2.8358208955223882E-2</v>
      </c>
      <c r="R297">
        <f t="shared" si="42"/>
        <v>1</v>
      </c>
      <c r="S297">
        <f t="shared" si="43"/>
        <v>0</v>
      </c>
      <c r="T297" t="str">
        <f t="shared" si="44"/>
        <v>May-26</v>
      </c>
    </row>
    <row r="298" spans="1:20">
      <c r="A298" t="s">
        <v>577</v>
      </c>
      <c r="B298" t="s">
        <v>35</v>
      </c>
      <c r="C298" t="s">
        <v>16</v>
      </c>
      <c r="D298">
        <v>382</v>
      </c>
      <c r="E298" s="4">
        <v>46114</v>
      </c>
      <c r="F298" s="4">
        <v>46121</v>
      </c>
      <c r="G298" s="4">
        <v>46128</v>
      </c>
      <c r="H298">
        <v>383</v>
      </c>
      <c r="I298" t="s">
        <v>578</v>
      </c>
      <c r="J298">
        <v>7</v>
      </c>
      <c r="K298" t="s">
        <v>1563</v>
      </c>
      <c r="L298" t="str">
        <f t="shared" si="36"/>
        <v>N</v>
      </c>
      <c r="M298" t="str">
        <f t="shared" si="37"/>
        <v>Y</v>
      </c>
      <c r="N298" t="str">
        <f t="shared" si="38"/>
        <v>N</v>
      </c>
      <c r="O298">
        <f t="shared" si="39"/>
        <v>14</v>
      </c>
      <c r="P298" s="6">
        <f t="shared" si="40"/>
        <v>1.0026178010471205</v>
      </c>
      <c r="Q298" s="6">
        <f t="shared" si="41"/>
        <v>1.8276762402088774E-2</v>
      </c>
      <c r="R298">
        <f t="shared" si="42"/>
        <v>0</v>
      </c>
      <c r="S298">
        <f t="shared" si="43"/>
        <v>7</v>
      </c>
      <c r="T298" t="str">
        <f t="shared" si="44"/>
        <v>Apr-26</v>
      </c>
    </row>
    <row r="299" spans="1:20">
      <c r="A299" t="s">
        <v>579</v>
      </c>
      <c r="B299" t="s">
        <v>49</v>
      </c>
      <c r="C299" t="s">
        <v>23</v>
      </c>
      <c r="D299">
        <v>622</v>
      </c>
      <c r="E299" s="4">
        <v>46068</v>
      </c>
      <c r="F299" s="4">
        <v>46074</v>
      </c>
      <c r="G299" s="4">
        <v>46076</v>
      </c>
      <c r="H299">
        <v>617</v>
      </c>
      <c r="I299" t="s">
        <v>580</v>
      </c>
      <c r="J299">
        <v>3</v>
      </c>
      <c r="K299" t="s">
        <v>1563</v>
      </c>
      <c r="L299" t="str">
        <f t="shared" si="36"/>
        <v>N</v>
      </c>
      <c r="M299" t="str">
        <f t="shared" si="37"/>
        <v>Y</v>
      </c>
      <c r="N299" t="str">
        <f t="shared" si="38"/>
        <v>N</v>
      </c>
      <c r="O299">
        <f t="shared" si="39"/>
        <v>8</v>
      </c>
      <c r="P299" s="6">
        <f t="shared" si="40"/>
        <v>0.99196141479099675</v>
      </c>
      <c r="Q299" s="6">
        <f t="shared" si="41"/>
        <v>4.8622366288492711E-3</v>
      </c>
      <c r="R299">
        <f t="shared" si="42"/>
        <v>0</v>
      </c>
      <c r="S299">
        <f t="shared" si="43"/>
        <v>2</v>
      </c>
      <c r="T299" t="str">
        <f t="shared" si="44"/>
        <v>Feb-26</v>
      </c>
    </row>
    <row r="300" spans="1:20">
      <c r="A300" t="s">
        <v>581</v>
      </c>
      <c r="B300" t="s">
        <v>64</v>
      </c>
      <c r="C300" t="s">
        <v>23</v>
      </c>
      <c r="D300">
        <v>178</v>
      </c>
      <c r="E300" s="4">
        <v>46143</v>
      </c>
      <c r="F300" s="4">
        <v>46153</v>
      </c>
      <c r="G300" s="4">
        <v>46150</v>
      </c>
      <c r="H300">
        <v>177</v>
      </c>
      <c r="I300" t="s">
        <v>372</v>
      </c>
      <c r="J300">
        <v>14</v>
      </c>
      <c r="K300" t="s">
        <v>1563</v>
      </c>
      <c r="L300" t="str">
        <f t="shared" si="36"/>
        <v>Y</v>
      </c>
      <c r="M300" t="str">
        <f t="shared" si="37"/>
        <v>Y</v>
      </c>
      <c r="N300" t="str">
        <f t="shared" si="38"/>
        <v>Y</v>
      </c>
      <c r="O300">
        <f t="shared" si="39"/>
        <v>7</v>
      </c>
      <c r="P300" s="6">
        <f t="shared" si="40"/>
        <v>0.9943820224719101</v>
      </c>
      <c r="Q300" s="6">
        <f t="shared" si="41"/>
        <v>7.909604519774012E-2</v>
      </c>
      <c r="R300">
        <f t="shared" si="42"/>
        <v>1</v>
      </c>
      <c r="S300">
        <f t="shared" si="43"/>
        <v>0</v>
      </c>
      <c r="T300" t="str">
        <f t="shared" si="44"/>
        <v>May-26</v>
      </c>
    </row>
    <row r="301" spans="1:20">
      <c r="A301" t="s">
        <v>582</v>
      </c>
      <c r="B301" t="s">
        <v>32</v>
      </c>
      <c r="C301" t="s">
        <v>23</v>
      </c>
      <c r="D301">
        <v>196</v>
      </c>
      <c r="E301" s="4">
        <v>46127</v>
      </c>
      <c r="F301" s="4">
        <v>46142</v>
      </c>
      <c r="G301" s="4">
        <v>46139</v>
      </c>
      <c r="H301">
        <v>194</v>
      </c>
      <c r="I301" t="s">
        <v>583</v>
      </c>
      <c r="J301">
        <v>8</v>
      </c>
      <c r="K301" t="s">
        <v>1563</v>
      </c>
      <c r="L301" t="str">
        <f t="shared" si="36"/>
        <v>Y</v>
      </c>
      <c r="M301" t="str">
        <f t="shared" si="37"/>
        <v>Y</v>
      </c>
      <c r="N301" t="str">
        <f t="shared" si="38"/>
        <v>Y</v>
      </c>
      <c r="O301">
        <f t="shared" si="39"/>
        <v>12</v>
      </c>
      <c r="P301" s="6">
        <f t="shared" si="40"/>
        <v>0.98979591836734693</v>
      </c>
      <c r="Q301" s="6">
        <f t="shared" si="41"/>
        <v>4.1237113402061855E-2</v>
      </c>
      <c r="R301">
        <f t="shared" si="42"/>
        <v>1</v>
      </c>
      <c r="S301">
        <f t="shared" si="43"/>
        <v>0</v>
      </c>
      <c r="T301" t="str">
        <f t="shared" si="44"/>
        <v>Apr-26</v>
      </c>
    </row>
    <row r="302" spans="1:20">
      <c r="A302" t="s">
        <v>584</v>
      </c>
      <c r="B302" t="s">
        <v>26</v>
      </c>
      <c r="C302" t="s">
        <v>23</v>
      </c>
      <c r="D302">
        <v>438</v>
      </c>
      <c r="E302" s="4">
        <v>46109</v>
      </c>
      <c r="F302" s="4">
        <v>46121</v>
      </c>
      <c r="G302" s="4">
        <v>46119</v>
      </c>
      <c r="H302">
        <v>434</v>
      </c>
      <c r="I302" t="s">
        <v>585</v>
      </c>
      <c r="J302">
        <v>7</v>
      </c>
      <c r="K302" t="s">
        <v>1563</v>
      </c>
      <c r="L302" t="str">
        <f t="shared" si="36"/>
        <v>Y</v>
      </c>
      <c r="M302" t="str">
        <f t="shared" si="37"/>
        <v>Y</v>
      </c>
      <c r="N302" t="str">
        <f t="shared" si="38"/>
        <v>Y</v>
      </c>
      <c r="O302">
        <f t="shared" si="39"/>
        <v>10</v>
      </c>
      <c r="P302" s="6">
        <f t="shared" si="40"/>
        <v>0.9908675799086758</v>
      </c>
      <c r="Q302" s="6">
        <f t="shared" si="41"/>
        <v>1.6129032258064516E-2</v>
      </c>
      <c r="R302">
        <f t="shared" si="42"/>
        <v>1</v>
      </c>
      <c r="S302">
        <f t="shared" si="43"/>
        <v>0</v>
      </c>
      <c r="T302" t="str">
        <f t="shared" si="44"/>
        <v>Apr-26</v>
      </c>
    </row>
    <row r="303" spans="1:20">
      <c r="A303" t="s">
        <v>586</v>
      </c>
      <c r="B303" t="s">
        <v>19</v>
      </c>
      <c r="C303" t="s">
        <v>23</v>
      </c>
      <c r="D303">
        <v>232</v>
      </c>
      <c r="E303" s="4">
        <v>46087</v>
      </c>
      <c r="F303" s="4">
        <v>46098</v>
      </c>
      <c r="G303" s="4">
        <v>46095</v>
      </c>
      <c r="H303">
        <v>229</v>
      </c>
      <c r="I303" t="s">
        <v>412</v>
      </c>
      <c r="J303">
        <v>6</v>
      </c>
      <c r="K303" t="s">
        <v>1563</v>
      </c>
      <c r="L303" t="str">
        <f t="shared" si="36"/>
        <v>Y</v>
      </c>
      <c r="M303" t="str">
        <f t="shared" si="37"/>
        <v>Y</v>
      </c>
      <c r="N303" t="str">
        <f t="shared" si="38"/>
        <v>Y</v>
      </c>
      <c r="O303">
        <f t="shared" si="39"/>
        <v>8</v>
      </c>
      <c r="P303" s="6">
        <f t="shared" si="40"/>
        <v>0.98706896551724133</v>
      </c>
      <c r="Q303" s="6">
        <f t="shared" si="41"/>
        <v>2.6200873362445413E-2</v>
      </c>
      <c r="R303">
        <f t="shared" si="42"/>
        <v>1</v>
      </c>
      <c r="S303">
        <f t="shared" si="43"/>
        <v>0</v>
      </c>
      <c r="T303" t="str">
        <f t="shared" si="44"/>
        <v>Mar-26</v>
      </c>
    </row>
    <row r="304" spans="1:20">
      <c r="A304" t="s">
        <v>587</v>
      </c>
      <c r="B304" t="s">
        <v>120</v>
      </c>
      <c r="C304" t="s">
        <v>12</v>
      </c>
      <c r="D304">
        <v>699</v>
      </c>
      <c r="E304" s="4">
        <v>46034</v>
      </c>
      <c r="F304" s="4">
        <v>46049</v>
      </c>
      <c r="G304" s="4">
        <v>46049</v>
      </c>
      <c r="H304">
        <v>700</v>
      </c>
      <c r="I304" t="s">
        <v>221</v>
      </c>
      <c r="J304">
        <v>18</v>
      </c>
      <c r="K304" t="s">
        <v>1563</v>
      </c>
      <c r="L304" t="str">
        <f t="shared" si="36"/>
        <v>Y</v>
      </c>
      <c r="M304" t="str">
        <f t="shared" si="37"/>
        <v>Y</v>
      </c>
      <c r="N304" t="str">
        <f t="shared" si="38"/>
        <v>Y</v>
      </c>
      <c r="O304">
        <f t="shared" si="39"/>
        <v>15</v>
      </c>
      <c r="P304" s="6">
        <f t="shared" si="40"/>
        <v>1.0014306151645207</v>
      </c>
      <c r="Q304" s="6">
        <f t="shared" si="41"/>
        <v>2.5714285714285714E-2</v>
      </c>
      <c r="R304">
        <f t="shared" si="42"/>
        <v>1</v>
      </c>
      <c r="S304">
        <f t="shared" si="43"/>
        <v>0</v>
      </c>
      <c r="T304" t="str">
        <f t="shared" si="44"/>
        <v>Jan-26</v>
      </c>
    </row>
    <row r="305" spans="1:20">
      <c r="A305" t="s">
        <v>588</v>
      </c>
      <c r="B305" t="s">
        <v>120</v>
      </c>
      <c r="C305" t="s">
        <v>12</v>
      </c>
      <c r="D305">
        <v>959</v>
      </c>
      <c r="E305" s="4">
        <v>46139</v>
      </c>
      <c r="F305" s="4">
        <v>46147</v>
      </c>
      <c r="G305" s="4">
        <v>46144</v>
      </c>
      <c r="H305">
        <v>955</v>
      </c>
      <c r="I305" t="s">
        <v>589</v>
      </c>
      <c r="J305">
        <v>1</v>
      </c>
      <c r="K305" t="s">
        <v>1563</v>
      </c>
      <c r="L305" t="str">
        <f t="shared" si="36"/>
        <v>Y</v>
      </c>
      <c r="M305" t="str">
        <f t="shared" si="37"/>
        <v>Y</v>
      </c>
      <c r="N305" t="str">
        <f t="shared" si="38"/>
        <v>Y</v>
      </c>
      <c r="O305">
        <f t="shared" si="39"/>
        <v>5</v>
      </c>
      <c r="P305" s="6">
        <f t="shared" si="40"/>
        <v>0.99582898852971846</v>
      </c>
      <c r="Q305" s="6">
        <f t="shared" si="41"/>
        <v>1.0471204188481676E-3</v>
      </c>
      <c r="R305">
        <f t="shared" si="42"/>
        <v>1</v>
      </c>
      <c r="S305">
        <f t="shared" si="43"/>
        <v>0</v>
      </c>
      <c r="T305" t="str">
        <f t="shared" si="44"/>
        <v>May-26</v>
      </c>
    </row>
    <row r="306" spans="1:20">
      <c r="A306" t="s">
        <v>590</v>
      </c>
      <c r="B306" t="s">
        <v>35</v>
      </c>
      <c r="C306" t="s">
        <v>23</v>
      </c>
      <c r="D306">
        <v>459</v>
      </c>
      <c r="E306" s="4">
        <v>46136</v>
      </c>
      <c r="F306" s="4">
        <v>46151</v>
      </c>
      <c r="G306" s="4">
        <v>46149</v>
      </c>
      <c r="H306">
        <v>466</v>
      </c>
      <c r="I306" t="s">
        <v>592</v>
      </c>
      <c r="J306">
        <v>17</v>
      </c>
      <c r="K306" t="s">
        <v>1563</v>
      </c>
      <c r="L306" t="str">
        <f t="shared" si="36"/>
        <v>Y</v>
      </c>
      <c r="M306" t="str">
        <f t="shared" si="37"/>
        <v>Y</v>
      </c>
      <c r="N306" t="str">
        <f t="shared" si="38"/>
        <v>Y</v>
      </c>
      <c r="O306">
        <f t="shared" si="39"/>
        <v>13</v>
      </c>
      <c r="P306" s="6">
        <f t="shared" si="40"/>
        <v>1.0152505446623095</v>
      </c>
      <c r="Q306" s="6">
        <f t="shared" si="41"/>
        <v>3.6480686695278972E-2</v>
      </c>
      <c r="R306">
        <f t="shared" si="42"/>
        <v>1</v>
      </c>
      <c r="S306">
        <f t="shared" si="43"/>
        <v>0</v>
      </c>
      <c r="T306" t="str">
        <f t="shared" si="44"/>
        <v>May-26</v>
      </c>
    </row>
    <row r="307" spans="1:20">
      <c r="A307" t="s">
        <v>593</v>
      </c>
      <c r="B307" t="s">
        <v>46</v>
      </c>
      <c r="C307" t="s">
        <v>16</v>
      </c>
      <c r="D307">
        <v>438</v>
      </c>
      <c r="E307" s="4">
        <v>46047</v>
      </c>
      <c r="F307" s="4">
        <v>46062</v>
      </c>
      <c r="G307" s="4">
        <v>46059</v>
      </c>
      <c r="H307">
        <v>432</v>
      </c>
      <c r="I307" t="s">
        <v>594</v>
      </c>
      <c r="J307">
        <v>19</v>
      </c>
      <c r="K307" t="s">
        <v>1563</v>
      </c>
      <c r="L307" t="str">
        <f t="shared" si="36"/>
        <v>Y</v>
      </c>
      <c r="M307" t="str">
        <f t="shared" si="37"/>
        <v>Y</v>
      </c>
      <c r="N307" t="str">
        <f t="shared" si="38"/>
        <v>Y</v>
      </c>
      <c r="O307">
        <f t="shared" si="39"/>
        <v>12</v>
      </c>
      <c r="P307" s="6">
        <f t="shared" si="40"/>
        <v>0.98630136986301364</v>
      </c>
      <c r="Q307" s="6">
        <f t="shared" si="41"/>
        <v>4.3981481481481483E-2</v>
      </c>
      <c r="R307">
        <f t="shared" si="42"/>
        <v>1</v>
      </c>
      <c r="S307">
        <f t="shared" si="43"/>
        <v>0</v>
      </c>
      <c r="T307" t="str">
        <f t="shared" si="44"/>
        <v>Feb-26</v>
      </c>
    </row>
    <row r="308" spans="1:20">
      <c r="A308" t="s">
        <v>595</v>
      </c>
      <c r="B308" t="s">
        <v>54</v>
      </c>
      <c r="C308" t="s">
        <v>23</v>
      </c>
      <c r="D308">
        <v>770</v>
      </c>
      <c r="E308" s="4">
        <v>46094</v>
      </c>
      <c r="F308" s="4">
        <v>46107</v>
      </c>
      <c r="G308" s="4">
        <v>46110</v>
      </c>
      <c r="H308">
        <v>763</v>
      </c>
      <c r="I308" t="s">
        <v>458</v>
      </c>
      <c r="J308">
        <v>1</v>
      </c>
      <c r="K308" t="s">
        <v>1563</v>
      </c>
      <c r="L308" t="str">
        <f t="shared" si="36"/>
        <v>N</v>
      </c>
      <c r="M308" t="str">
        <f t="shared" si="37"/>
        <v>Y</v>
      </c>
      <c r="N308" t="str">
        <f t="shared" si="38"/>
        <v>N</v>
      </c>
      <c r="O308">
        <f t="shared" si="39"/>
        <v>16</v>
      </c>
      <c r="P308" s="6">
        <f t="shared" si="40"/>
        <v>0.99090909090909096</v>
      </c>
      <c r="Q308" s="6">
        <f t="shared" si="41"/>
        <v>1.3106159895150721E-3</v>
      </c>
      <c r="R308">
        <f t="shared" si="42"/>
        <v>0</v>
      </c>
      <c r="S308">
        <f t="shared" si="43"/>
        <v>3</v>
      </c>
      <c r="T308" t="str">
        <f t="shared" si="44"/>
        <v>Mar-26</v>
      </c>
    </row>
    <row r="309" spans="1:20">
      <c r="A309" t="s">
        <v>596</v>
      </c>
      <c r="B309" t="s">
        <v>100</v>
      </c>
      <c r="C309" t="s">
        <v>16</v>
      </c>
      <c r="D309">
        <v>344</v>
      </c>
      <c r="E309" s="4">
        <v>46175</v>
      </c>
      <c r="F309" s="4">
        <v>46185</v>
      </c>
      <c r="G309" s="4">
        <v>46184</v>
      </c>
      <c r="H309">
        <v>346</v>
      </c>
      <c r="I309" t="s">
        <v>597</v>
      </c>
      <c r="J309">
        <v>6</v>
      </c>
      <c r="K309" t="s">
        <v>1563</v>
      </c>
      <c r="L309" t="str">
        <f t="shared" si="36"/>
        <v>Y</v>
      </c>
      <c r="M309" t="str">
        <f t="shared" si="37"/>
        <v>Y</v>
      </c>
      <c r="N309" t="str">
        <f t="shared" si="38"/>
        <v>Y</v>
      </c>
      <c r="O309">
        <f t="shared" si="39"/>
        <v>9</v>
      </c>
      <c r="P309" s="6">
        <f t="shared" si="40"/>
        <v>1.0058139534883721</v>
      </c>
      <c r="Q309" s="6">
        <f t="shared" si="41"/>
        <v>1.7341040462427744E-2</v>
      </c>
      <c r="R309">
        <f t="shared" si="42"/>
        <v>1</v>
      </c>
      <c r="S309">
        <f t="shared" si="43"/>
        <v>0</v>
      </c>
      <c r="T309" t="str">
        <f t="shared" si="44"/>
        <v>Jun-26</v>
      </c>
    </row>
    <row r="310" spans="1:20">
      <c r="A310" t="s">
        <v>598</v>
      </c>
      <c r="B310" t="s">
        <v>54</v>
      </c>
      <c r="C310" t="s">
        <v>12</v>
      </c>
      <c r="D310">
        <v>357</v>
      </c>
      <c r="E310" s="4">
        <v>46112</v>
      </c>
      <c r="F310" s="4">
        <v>46122</v>
      </c>
      <c r="G310" s="4"/>
      <c r="I310" t="s">
        <v>533</v>
      </c>
      <c r="K310" t="s">
        <v>1565</v>
      </c>
      <c r="L310" t="str">
        <f t="shared" si="36"/>
        <v>N/A</v>
      </c>
      <c r="M310" t="str">
        <f t="shared" si="37"/>
        <v>N/A</v>
      </c>
      <c r="N310" t="str">
        <f t="shared" si="38"/>
        <v>N/A</v>
      </c>
      <c r="O310" t="str">
        <f t="shared" si="39"/>
        <v>N/A</v>
      </c>
      <c r="P310" s="6" t="str">
        <f t="shared" si="40"/>
        <v>N/A</v>
      </c>
      <c r="Q310" s="6" t="str">
        <f t="shared" si="41"/>
        <v>N/A</v>
      </c>
      <c r="R310" t="str">
        <f t="shared" si="42"/>
        <v/>
      </c>
      <c r="S310" t="str">
        <f t="shared" si="43"/>
        <v>N/A</v>
      </c>
      <c r="T310" t="str">
        <f t="shared" si="44"/>
        <v>N/A</v>
      </c>
    </row>
    <row r="311" spans="1:20">
      <c r="A311" t="s">
        <v>599</v>
      </c>
      <c r="B311" t="s">
        <v>100</v>
      </c>
      <c r="C311" t="s">
        <v>12</v>
      </c>
      <c r="D311">
        <v>997</v>
      </c>
      <c r="E311" s="4">
        <v>46079</v>
      </c>
      <c r="F311" s="4">
        <v>46085</v>
      </c>
      <c r="G311" s="4">
        <v>46084</v>
      </c>
      <c r="H311">
        <v>995</v>
      </c>
      <c r="I311" t="s">
        <v>600</v>
      </c>
      <c r="J311">
        <v>26</v>
      </c>
      <c r="K311" t="s">
        <v>1563</v>
      </c>
      <c r="L311" t="str">
        <f t="shared" si="36"/>
        <v>Y</v>
      </c>
      <c r="M311" t="str">
        <f t="shared" si="37"/>
        <v>Y</v>
      </c>
      <c r="N311" t="str">
        <f t="shared" si="38"/>
        <v>Y</v>
      </c>
      <c r="O311">
        <f t="shared" si="39"/>
        <v>5</v>
      </c>
      <c r="P311" s="6">
        <f t="shared" si="40"/>
        <v>0.99799398194583755</v>
      </c>
      <c r="Q311" s="6">
        <f t="shared" si="41"/>
        <v>2.6130653266331658E-2</v>
      </c>
      <c r="R311">
        <f t="shared" si="42"/>
        <v>1</v>
      </c>
      <c r="S311">
        <f t="shared" si="43"/>
        <v>0</v>
      </c>
      <c r="T311" t="str">
        <f t="shared" si="44"/>
        <v>Mar-26</v>
      </c>
    </row>
    <row r="312" spans="1:20">
      <c r="A312" t="s">
        <v>601</v>
      </c>
      <c r="B312" t="s">
        <v>22</v>
      </c>
      <c r="C312" t="s">
        <v>12</v>
      </c>
      <c r="D312">
        <v>288</v>
      </c>
      <c r="E312" s="4">
        <v>46125</v>
      </c>
      <c r="F312" s="4">
        <v>46136</v>
      </c>
      <c r="G312" s="4">
        <v>46136</v>
      </c>
      <c r="H312">
        <v>291</v>
      </c>
      <c r="I312" t="s">
        <v>524</v>
      </c>
      <c r="J312">
        <v>13</v>
      </c>
      <c r="K312" t="s">
        <v>1563</v>
      </c>
      <c r="L312" t="str">
        <f t="shared" si="36"/>
        <v>Y</v>
      </c>
      <c r="M312" t="str">
        <f t="shared" si="37"/>
        <v>Y</v>
      </c>
      <c r="N312" t="str">
        <f t="shared" si="38"/>
        <v>Y</v>
      </c>
      <c r="O312">
        <f t="shared" si="39"/>
        <v>11</v>
      </c>
      <c r="P312" s="6">
        <f t="shared" si="40"/>
        <v>1.0104166666666667</v>
      </c>
      <c r="Q312" s="6">
        <f t="shared" si="41"/>
        <v>4.4673539518900345E-2</v>
      </c>
      <c r="R312">
        <f t="shared" si="42"/>
        <v>1</v>
      </c>
      <c r="S312">
        <f t="shared" si="43"/>
        <v>0</v>
      </c>
      <c r="T312" t="str">
        <f t="shared" si="44"/>
        <v>Apr-26</v>
      </c>
    </row>
    <row r="313" spans="1:20">
      <c r="A313" t="s">
        <v>602</v>
      </c>
      <c r="B313" t="s">
        <v>32</v>
      </c>
      <c r="C313" t="s">
        <v>12</v>
      </c>
      <c r="D313">
        <v>204</v>
      </c>
      <c r="E313" s="4">
        <v>46158</v>
      </c>
      <c r="F313" s="4">
        <v>46166</v>
      </c>
      <c r="G313" s="4">
        <v>46165</v>
      </c>
      <c r="H313">
        <v>206</v>
      </c>
      <c r="I313" t="s">
        <v>603</v>
      </c>
      <c r="J313">
        <v>4</v>
      </c>
      <c r="K313" t="s">
        <v>1563</v>
      </c>
      <c r="L313" t="str">
        <f t="shared" si="36"/>
        <v>Y</v>
      </c>
      <c r="M313" t="str">
        <f t="shared" si="37"/>
        <v>Y</v>
      </c>
      <c r="N313" t="str">
        <f t="shared" si="38"/>
        <v>Y</v>
      </c>
      <c r="O313">
        <f t="shared" si="39"/>
        <v>7</v>
      </c>
      <c r="P313" s="6">
        <f t="shared" si="40"/>
        <v>1.0098039215686274</v>
      </c>
      <c r="Q313" s="6">
        <f t="shared" si="41"/>
        <v>1.9417475728155338E-2</v>
      </c>
      <c r="R313">
        <f t="shared" si="42"/>
        <v>1</v>
      </c>
      <c r="S313">
        <f t="shared" si="43"/>
        <v>0</v>
      </c>
      <c r="T313" t="str">
        <f t="shared" si="44"/>
        <v>May-26</v>
      </c>
    </row>
    <row r="314" spans="1:20">
      <c r="A314" t="s">
        <v>604</v>
      </c>
      <c r="B314" t="s">
        <v>11</v>
      </c>
      <c r="C314" t="s">
        <v>12</v>
      </c>
      <c r="D314">
        <v>262</v>
      </c>
      <c r="E314" s="4">
        <v>46101</v>
      </c>
      <c r="F314" s="4">
        <v>46106</v>
      </c>
      <c r="G314" s="4">
        <v>46106</v>
      </c>
      <c r="H314">
        <v>258</v>
      </c>
      <c r="I314" t="s">
        <v>605</v>
      </c>
      <c r="J314">
        <v>0</v>
      </c>
      <c r="K314" t="s">
        <v>1563</v>
      </c>
      <c r="L314" t="str">
        <f t="shared" si="36"/>
        <v>Y</v>
      </c>
      <c r="M314" t="str">
        <f t="shared" si="37"/>
        <v>Y</v>
      </c>
      <c r="N314" t="str">
        <f t="shared" si="38"/>
        <v>Y</v>
      </c>
      <c r="O314">
        <f t="shared" si="39"/>
        <v>5</v>
      </c>
      <c r="P314" s="6">
        <f t="shared" si="40"/>
        <v>0.98473282442748089</v>
      </c>
      <c r="Q314" s="6">
        <f t="shared" si="41"/>
        <v>0</v>
      </c>
      <c r="R314">
        <f t="shared" si="42"/>
        <v>1</v>
      </c>
      <c r="S314">
        <f t="shared" si="43"/>
        <v>0</v>
      </c>
      <c r="T314" t="str">
        <f t="shared" si="44"/>
        <v>Mar-26</v>
      </c>
    </row>
    <row r="315" spans="1:20">
      <c r="A315" t="s">
        <v>606</v>
      </c>
      <c r="B315" t="s">
        <v>54</v>
      </c>
      <c r="C315" t="s">
        <v>12</v>
      </c>
      <c r="D315">
        <v>321</v>
      </c>
      <c r="E315" s="4">
        <v>46123</v>
      </c>
      <c r="F315" s="4">
        <v>46137</v>
      </c>
      <c r="G315" s="4">
        <v>46145</v>
      </c>
      <c r="H315">
        <v>323</v>
      </c>
      <c r="I315" t="s">
        <v>55</v>
      </c>
      <c r="J315">
        <v>5</v>
      </c>
      <c r="K315" t="s">
        <v>1563</v>
      </c>
      <c r="L315" t="str">
        <f t="shared" si="36"/>
        <v>N</v>
      </c>
      <c r="M315" t="str">
        <f t="shared" si="37"/>
        <v>Y</v>
      </c>
      <c r="N315" t="str">
        <f t="shared" si="38"/>
        <v>N</v>
      </c>
      <c r="O315">
        <f t="shared" si="39"/>
        <v>22</v>
      </c>
      <c r="P315" s="6">
        <f t="shared" si="40"/>
        <v>1.0062305295950156</v>
      </c>
      <c r="Q315" s="6">
        <f t="shared" si="41"/>
        <v>1.5479876160990712E-2</v>
      </c>
      <c r="R315">
        <f t="shared" si="42"/>
        <v>0</v>
      </c>
      <c r="S315">
        <f t="shared" si="43"/>
        <v>8</v>
      </c>
      <c r="T315" t="str">
        <f t="shared" si="44"/>
        <v>May-26</v>
      </c>
    </row>
    <row r="316" spans="1:20">
      <c r="A316" t="s">
        <v>607</v>
      </c>
      <c r="B316" t="s">
        <v>19</v>
      </c>
      <c r="C316" t="s">
        <v>23</v>
      </c>
      <c r="D316">
        <v>160</v>
      </c>
      <c r="E316" s="4">
        <v>46066</v>
      </c>
      <c r="F316" s="4">
        <v>46072</v>
      </c>
      <c r="G316" s="4">
        <v>46072</v>
      </c>
      <c r="H316">
        <v>160</v>
      </c>
      <c r="I316" t="s">
        <v>608</v>
      </c>
      <c r="J316">
        <v>5</v>
      </c>
      <c r="K316" t="s">
        <v>1563</v>
      </c>
      <c r="L316" t="str">
        <f t="shared" si="36"/>
        <v>Y</v>
      </c>
      <c r="M316" t="str">
        <f t="shared" si="37"/>
        <v>Y</v>
      </c>
      <c r="N316" t="str">
        <f t="shared" si="38"/>
        <v>Y</v>
      </c>
      <c r="O316">
        <f t="shared" si="39"/>
        <v>6</v>
      </c>
      <c r="P316" s="6">
        <f t="shared" si="40"/>
        <v>1</v>
      </c>
      <c r="Q316" s="6">
        <f t="shared" si="41"/>
        <v>3.125E-2</v>
      </c>
      <c r="R316">
        <f t="shared" si="42"/>
        <v>1</v>
      </c>
      <c r="S316">
        <f t="shared" si="43"/>
        <v>0</v>
      </c>
      <c r="T316" t="str">
        <f t="shared" si="44"/>
        <v>Feb-26</v>
      </c>
    </row>
    <row r="317" spans="1:20">
      <c r="A317" t="s">
        <v>609</v>
      </c>
      <c r="B317" t="s">
        <v>40</v>
      </c>
      <c r="C317" t="s">
        <v>16</v>
      </c>
      <c r="D317">
        <v>551</v>
      </c>
      <c r="E317" s="4">
        <v>46156</v>
      </c>
      <c r="F317" s="4">
        <v>46161</v>
      </c>
      <c r="G317" s="4">
        <v>46169</v>
      </c>
      <c r="H317">
        <v>551</v>
      </c>
      <c r="I317" t="s">
        <v>610</v>
      </c>
      <c r="J317">
        <v>46</v>
      </c>
      <c r="K317" t="s">
        <v>1563</v>
      </c>
      <c r="L317" t="str">
        <f t="shared" si="36"/>
        <v>N</v>
      </c>
      <c r="M317" t="str">
        <f t="shared" si="37"/>
        <v>Y</v>
      </c>
      <c r="N317" t="str">
        <f t="shared" si="38"/>
        <v>N</v>
      </c>
      <c r="O317">
        <f t="shared" si="39"/>
        <v>13</v>
      </c>
      <c r="P317" s="6">
        <f t="shared" si="40"/>
        <v>1</v>
      </c>
      <c r="Q317" s="6">
        <f t="shared" si="41"/>
        <v>8.3484573502722328E-2</v>
      </c>
      <c r="R317">
        <f t="shared" si="42"/>
        <v>0</v>
      </c>
      <c r="S317">
        <f t="shared" si="43"/>
        <v>8</v>
      </c>
      <c r="T317" t="str">
        <f t="shared" si="44"/>
        <v>May-26</v>
      </c>
    </row>
    <row r="318" spans="1:20">
      <c r="A318" t="s">
        <v>611</v>
      </c>
      <c r="B318" t="s">
        <v>120</v>
      </c>
      <c r="C318" t="s">
        <v>12</v>
      </c>
      <c r="D318">
        <v>667</v>
      </c>
      <c r="E318" s="4">
        <v>46045</v>
      </c>
      <c r="F318" s="4">
        <v>46050</v>
      </c>
      <c r="G318" s="4">
        <v>46049</v>
      </c>
      <c r="H318">
        <v>675</v>
      </c>
      <c r="I318" t="s">
        <v>409</v>
      </c>
      <c r="J318">
        <v>36</v>
      </c>
      <c r="K318" t="s">
        <v>1563</v>
      </c>
      <c r="L318" t="str">
        <f t="shared" si="36"/>
        <v>Y</v>
      </c>
      <c r="M318" t="str">
        <f t="shared" si="37"/>
        <v>Y</v>
      </c>
      <c r="N318" t="str">
        <f t="shared" si="38"/>
        <v>Y</v>
      </c>
      <c r="O318">
        <f t="shared" si="39"/>
        <v>4</v>
      </c>
      <c r="P318" s="6">
        <f t="shared" si="40"/>
        <v>1.0119940029985008</v>
      </c>
      <c r="Q318" s="6">
        <f t="shared" si="41"/>
        <v>5.3333333333333337E-2</v>
      </c>
      <c r="R318">
        <f t="shared" si="42"/>
        <v>1</v>
      </c>
      <c r="S318">
        <f t="shared" si="43"/>
        <v>0</v>
      </c>
      <c r="T318" t="str">
        <f t="shared" si="44"/>
        <v>Jan-26</v>
      </c>
    </row>
    <row r="319" spans="1:20">
      <c r="A319" t="s">
        <v>612</v>
      </c>
      <c r="B319" t="s">
        <v>81</v>
      </c>
      <c r="C319" t="s">
        <v>12</v>
      </c>
      <c r="D319">
        <v>588</v>
      </c>
      <c r="E319" s="4">
        <v>46098</v>
      </c>
      <c r="F319" s="4">
        <v>46113</v>
      </c>
      <c r="G319" s="4">
        <v>46110</v>
      </c>
      <c r="H319">
        <v>589</v>
      </c>
      <c r="I319" t="s">
        <v>281</v>
      </c>
      <c r="J319">
        <v>7</v>
      </c>
      <c r="K319" t="s">
        <v>1563</v>
      </c>
      <c r="L319" t="str">
        <f t="shared" si="36"/>
        <v>Y</v>
      </c>
      <c r="M319" t="str">
        <f t="shared" si="37"/>
        <v>Y</v>
      </c>
      <c r="N319" t="str">
        <f t="shared" si="38"/>
        <v>Y</v>
      </c>
      <c r="O319">
        <f t="shared" si="39"/>
        <v>12</v>
      </c>
      <c r="P319" s="6">
        <f t="shared" si="40"/>
        <v>1.0017006802721089</v>
      </c>
      <c r="Q319" s="6">
        <f t="shared" si="41"/>
        <v>1.1884550084889643E-2</v>
      </c>
      <c r="R319">
        <f t="shared" si="42"/>
        <v>1</v>
      </c>
      <c r="S319">
        <f t="shared" si="43"/>
        <v>0</v>
      </c>
      <c r="T319" t="str">
        <f t="shared" si="44"/>
        <v>Mar-26</v>
      </c>
    </row>
    <row r="320" spans="1:20">
      <c r="A320" t="s">
        <v>613</v>
      </c>
      <c r="B320" t="s">
        <v>35</v>
      </c>
      <c r="C320" t="s">
        <v>12</v>
      </c>
      <c r="D320">
        <v>881</v>
      </c>
      <c r="E320" s="4">
        <v>46163</v>
      </c>
      <c r="F320" s="4">
        <v>46173</v>
      </c>
      <c r="G320" s="4">
        <v>46170</v>
      </c>
      <c r="H320">
        <v>883</v>
      </c>
      <c r="I320" t="s">
        <v>339</v>
      </c>
      <c r="J320">
        <v>38</v>
      </c>
      <c r="K320" t="s">
        <v>1563</v>
      </c>
      <c r="L320" t="str">
        <f t="shared" si="36"/>
        <v>Y</v>
      </c>
      <c r="M320" t="str">
        <f t="shared" si="37"/>
        <v>Y</v>
      </c>
      <c r="N320" t="str">
        <f t="shared" si="38"/>
        <v>Y</v>
      </c>
      <c r="O320">
        <f t="shared" si="39"/>
        <v>7</v>
      </c>
      <c r="P320" s="6">
        <f t="shared" si="40"/>
        <v>1.0022701475595914</v>
      </c>
      <c r="Q320" s="6">
        <f t="shared" si="41"/>
        <v>4.3035107587768968E-2</v>
      </c>
      <c r="R320">
        <f t="shared" si="42"/>
        <v>1</v>
      </c>
      <c r="S320">
        <f t="shared" si="43"/>
        <v>0</v>
      </c>
      <c r="T320" t="str">
        <f t="shared" si="44"/>
        <v>May-26</v>
      </c>
    </row>
    <row r="321" spans="1:20">
      <c r="A321" t="s">
        <v>615</v>
      </c>
      <c r="B321" t="s">
        <v>67</v>
      </c>
      <c r="C321" t="s">
        <v>23</v>
      </c>
      <c r="D321">
        <v>668</v>
      </c>
      <c r="E321" s="4">
        <v>46154</v>
      </c>
      <c r="F321" s="4">
        <v>46160</v>
      </c>
      <c r="G321" s="4">
        <v>46160</v>
      </c>
      <c r="H321">
        <v>661</v>
      </c>
      <c r="I321" t="s">
        <v>616</v>
      </c>
      <c r="J321">
        <v>24</v>
      </c>
      <c r="K321" t="s">
        <v>1563</v>
      </c>
      <c r="L321" t="str">
        <f t="shared" si="36"/>
        <v>Y</v>
      </c>
      <c r="M321" t="str">
        <f t="shared" si="37"/>
        <v>Y</v>
      </c>
      <c r="N321" t="str">
        <f t="shared" si="38"/>
        <v>Y</v>
      </c>
      <c r="O321">
        <f t="shared" si="39"/>
        <v>6</v>
      </c>
      <c r="P321" s="6">
        <f t="shared" si="40"/>
        <v>0.98952095808383234</v>
      </c>
      <c r="Q321" s="6">
        <f t="shared" si="41"/>
        <v>3.6308623298033284E-2</v>
      </c>
      <c r="R321">
        <f t="shared" si="42"/>
        <v>1</v>
      </c>
      <c r="S321">
        <f t="shared" si="43"/>
        <v>0</v>
      </c>
      <c r="T321" t="str">
        <f t="shared" si="44"/>
        <v>May-26</v>
      </c>
    </row>
    <row r="322" spans="1:20">
      <c r="A322" t="s">
        <v>617</v>
      </c>
      <c r="B322" t="s">
        <v>100</v>
      </c>
      <c r="C322" t="s">
        <v>12</v>
      </c>
      <c r="D322">
        <v>357</v>
      </c>
      <c r="E322" s="4">
        <v>46119</v>
      </c>
      <c r="F322" s="4">
        <v>46133</v>
      </c>
      <c r="G322" s="4">
        <v>46130</v>
      </c>
      <c r="H322">
        <v>355</v>
      </c>
      <c r="I322" t="s">
        <v>113</v>
      </c>
      <c r="J322">
        <v>7</v>
      </c>
      <c r="K322" t="s">
        <v>1563</v>
      </c>
      <c r="L322" t="str">
        <f t="shared" ref="L322:L385" si="45">IF(G322="","N/A",IF(G322&lt;=F322,"Y","N"))</f>
        <v>Y</v>
      </c>
      <c r="M322" t="str">
        <f t="shared" ref="M322:M385" si="46">IF(H322="","N/A",IF(H322&gt;=D322*0.98,"Y","N"))</f>
        <v>Y</v>
      </c>
      <c r="N322" t="str">
        <f t="shared" ref="N322:N385" si="47">IF(OR(L322="N/A",M322="N/A"),"N/A",IF(AND(L322="Y",M322="Y"),"Y","N"))</f>
        <v>Y</v>
      </c>
      <c r="O322">
        <f t="shared" ref="O322:O385" si="48">IF(G322="","N/A",G322-E322)</f>
        <v>11</v>
      </c>
      <c r="P322" s="6">
        <f t="shared" ref="P322:P385" si="49">IF(H322="","N/A",H322/D322)</f>
        <v>0.99439775910364148</v>
      </c>
      <c r="Q322" s="6">
        <f t="shared" ref="Q322:Q385" si="50">IF(H322="","N/A",IF(H322=0,0,J322/H322))</f>
        <v>1.9718309859154931E-2</v>
      </c>
      <c r="R322">
        <f t="shared" ref="R322:R385" si="51">IF(N322="Y",1,IF(N322="N",0,""))</f>
        <v>1</v>
      </c>
      <c r="S322">
        <f t="shared" ref="S322:S385" si="52">IF(G322="","N/A",MAX(G322-F322,0))</f>
        <v>0</v>
      </c>
      <c r="T322" t="str">
        <f t="shared" ref="T322:T385" si="53">IF(G322="","N/A",TEXT(G322,"mmm-yy"))</f>
        <v>Apr-26</v>
      </c>
    </row>
    <row r="323" spans="1:20">
      <c r="A323" t="s">
        <v>618</v>
      </c>
      <c r="B323" t="s">
        <v>52</v>
      </c>
      <c r="C323" t="s">
        <v>23</v>
      </c>
      <c r="D323">
        <v>122</v>
      </c>
      <c r="E323" s="4">
        <v>46156</v>
      </c>
      <c r="F323" s="4">
        <v>46169</v>
      </c>
      <c r="G323" s="4">
        <v>46174</v>
      </c>
      <c r="H323">
        <v>101</v>
      </c>
      <c r="I323" t="s">
        <v>619</v>
      </c>
      <c r="J323">
        <v>1</v>
      </c>
      <c r="K323" t="s">
        <v>1563</v>
      </c>
      <c r="L323" t="str">
        <f t="shared" si="45"/>
        <v>N</v>
      </c>
      <c r="M323" t="str">
        <f t="shared" si="46"/>
        <v>N</v>
      </c>
      <c r="N323" t="str">
        <f t="shared" si="47"/>
        <v>N</v>
      </c>
      <c r="O323">
        <f t="shared" si="48"/>
        <v>18</v>
      </c>
      <c r="P323" s="6">
        <f t="shared" si="49"/>
        <v>0.82786885245901642</v>
      </c>
      <c r="Q323" s="6">
        <f t="shared" si="50"/>
        <v>9.9009900990099011E-3</v>
      </c>
      <c r="R323">
        <f t="shared" si="51"/>
        <v>0</v>
      </c>
      <c r="S323">
        <f t="shared" si="52"/>
        <v>5</v>
      </c>
      <c r="T323" t="str">
        <f t="shared" si="53"/>
        <v>Jun-26</v>
      </c>
    </row>
    <row r="324" spans="1:20">
      <c r="A324" t="s">
        <v>620</v>
      </c>
      <c r="B324" t="s">
        <v>43</v>
      </c>
      <c r="C324" t="s">
        <v>12</v>
      </c>
      <c r="D324">
        <v>687</v>
      </c>
      <c r="E324" s="4">
        <v>46042</v>
      </c>
      <c r="F324" s="4">
        <v>46053</v>
      </c>
      <c r="G324" s="4">
        <v>46051</v>
      </c>
      <c r="H324">
        <v>686</v>
      </c>
      <c r="I324" t="s">
        <v>30</v>
      </c>
      <c r="J324">
        <v>41</v>
      </c>
      <c r="K324" t="s">
        <v>1563</v>
      </c>
      <c r="L324" t="str">
        <f t="shared" si="45"/>
        <v>Y</v>
      </c>
      <c r="M324" t="str">
        <f t="shared" si="46"/>
        <v>Y</v>
      </c>
      <c r="N324" t="str">
        <f t="shared" si="47"/>
        <v>Y</v>
      </c>
      <c r="O324">
        <f t="shared" si="48"/>
        <v>9</v>
      </c>
      <c r="P324" s="6">
        <f t="shared" si="49"/>
        <v>0.99854439592430855</v>
      </c>
      <c r="Q324" s="6">
        <f t="shared" si="50"/>
        <v>5.9766763848396499E-2</v>
      </c>
      <c r="R324">
        <f t="shared" si="51"/>
        <v>1</v>
      </c>
      <c r="S324">
        <f t="shared" si="52"/>
        <v>0</v>
      </c>
      <c r="T324" t="str">
        <f t="shared" si="53"/>
        <v>Jan-26</v>
      </c>
    </row>
    <row r="325" spans="1:20">
      <c r="A325" t="s">
        <v>621</v>
      </c>
      <c r="B325" t="s">
        <v>26</v>
      </c>
      <c r="C325" t="s">
        <v>12</v>
      </c>
      <c r="D325">
        <v>387</v>
      </c>
      <c r="E325" s="4">
        <v>46090</v>
      </c>
      <c r="F325" s="4">
        <v>46103</v>
      </c>
      <c r="G325" s="4">
        <v>46100</v>
      </c>
      <c r="H325">
        <v>316</v>
      </c>
      <c r="I325" t="s">
        <v>204</v>
      </c>
      <c r="J325">
        <v>6</v>
      </c>
      <c r="K325" t="s">
        <v>1563</v>
      </c>
      <c r="L325" t="str">
        <f t="shared" si="45"/>
        <v>Y</v>
      </c>
      <c r="M325" t="str">
        <f t="shared" si="46"/>
        <v>N</v>
      </c>
      <c r="N325" t="str">
        <f t="shared" si="47"/>
        <v>N</v>
      </c>
      <c r="O325">
        <f t="shared" si="48"/>
        <v>10</v>
      </c>
      <c r="P325" s="6">
        <f t="shared" si="49"/>
        <v>0.81653746770025837</v>
      </c>
      <c r="Q325" s="6">
        <f t="shared" si="50"/>
        <v>1.8987341772151899E-2</v>
      </c>
      <c r="R325">
        <f t="shared" si="51"/>
        <v>0</v>
      </c>
      <c r="S325">
        <f t="shared" si="52"/>
        <v>0</v>
      </c>
      <c r="T325" t="str">
        <f t="shared" si="53"/>
        <v>Mar-26</v>
      </c>
    </row>
    <row r="326" spans="1:20">
      <c r="A326" t="s">
        <v>622</v>
      </c>
      <c r="B326" t="s">
        <v>46</v>
      </c>
      <c r="C326" t="s">
        <v>16</v>
      </c>
      <c r="D326">
        <v>531</v>
      </c>
      <c r="E326" s="4">
        <v>46137</v>
      </c>
      <c r="F326" s="4">
        <v>46152</v>
      </c>
      <c r="G326" s="4">
        <v>46150</v>
      </c>
      <c r="H326">
        <v>541</v>
      </c>
      <c r="I326" t="s">
        <v>623</v>
      </c>
      <c r="J326">
        <v>37</v>
      </c>
      <c r="K326" t="s">
        <v>1563</v>
      </c>
      <c r="L326" t="str">
        <f t="shared" si="45"/>
        <v>Y</v>
      </c>
      <c r="M326" t="str">
        <f t="shared" si="46"/>
        <v>Y</v>
      </c>
      <c r="N326" t="str">
        <f t="shared" si="47"/>
        <v>Y</v>
      </c>
      <c r="O326">
        <f t="shared" si="48"/>
        <v>13</v>
      </c>
      <c r="P326" s="6">
        <f t="shared" si="49"/>
        <v>1.0188323917137476</v>
      </c>
      <c r="Q326" s="6">
        <f t="shared" si="50"/>
        <v>6.839186691312385E-2</v>
      </c>
      <c r="R326">
        <f t="shared" si="51"/>
        <v>1</v>
      </c>
      <c r="S326">
        <f t="shared" si="52"/>
        <v>0</v>
      </c>
      <c r="T326" t="str">
        <f t="shared" si="53"/>
        <v>May-26</v>
      </c>
    </row>
    <row r="327" spans="1:20">
      <c r="A327" t="s">
        <v>624</v>
      </c>
      <c r="B327" t="s">
        <v>49</v>
      </c>
      <c r="C327" t="s">
        <v>12</v>
      </c>
      <c r="D327">
        <v>683</v>
      </c>
      <c r="E327" s="4">
        <v>46102</v>
      </c>
      <c r="F327" s="4">
        <v>46111</v>
      </c>
      <c r="G327" s="4">
        <v>46111</v>
      </c>
      <c r="H327">
        <v>672</v>
      </c>
      <c r="I327" t="s">
        <v>625</v>
      </c>
      <c r="J327">
        <v>1</v>
      </c>
      <c r="K327" t="s">
        <v>1563</v>
      </c>
      <c r="L327" t="str">
        <f t="shared" si="45"/>
        <v>Y</v>
      </c>
      <c r="M327" t="str">
        <f t="shared" si="46"/>
        <v>Y</v>
      </c>
      <c r="N327" t="str">
        <f t="shared" si="47"/>
        <v>Y</v>
      </c>
      <c r="O327">
        <f t="shared" si="48"/>
        <v>9</v>
      </c>
      <c r="P327" s="6">
        <f t="shared" si="49"/>
        <v>0.98389458272327968</v>
      </c>
      <c r="Q327" s="6">
        <f t="shared" si="50"/>
        <v>1.488095238095238E-3</v>
      </c>
      <c r="R327">
        <f t="shared" si="51"/>
        <v>1</v>
      </c>
      <c r="S327">
        <f t="shared" si="52"/>
        <v>0</v>
      </c>
      <c r="T327" t="str">
        <f t="shared" si="53"/>
        <v>Mar-26</v>
      </c>
    </row>
    <row r="328" spans="1:20">
      <c r="A328" t="s">
        <v>626</v>
      </c>
      <c r="B328" t="s">
        <v>49</v>
      </c>
      <c r="C328" t="s">
        <v>16</v>
      </c>
      <c r="D328">
        <v>793</v>
      </c>
      <c r="E328" s="4">
        <v>46076</v>
      </c>
      <c r="F328" s="4">
        <v>46086</v>
      </c>
      <c r="G328" s="4">
        <v>46085</v>
      </c>
      <c r="H328">
        <v>798</v>
      </c>
      <c r="I328" t="s">
        <v>627</v>
      </c>
      <c r="J328">
        <v>2</v>
      </c>
      <c r="K328" t="s">
        <v>1563</v>
      </c>
      <c r="L328" t="str">
        <f t="shared" si="45"/>
        <v>Y</v>
      </c>
      <c r="M328" t="str">
        <f t="shared" si="46"/>
        <v>Y</v>
      </c>
      <c r="N328" t="str">
        <f t="shared" si="47"/>
        <v>Y</v>
      </c>
      <c r="O328">
        <f t="shared" si="48"/>
        <v>9</v>
      </c>
      <c r="P328" s="6">
        <f t="shared" si="49"/>
        <v>1.0063051702395964</v>
      </c>
      <c r="Q328" s="6">
        <f t="shared" si="50"/>
        <v>2.5062656641604009E-3</v>
      </c>
      <c r="R328">
        <f t="shared" si="51"/>
        <v>1</v>
      </c>
      <c r="S328">
        <f t="shared" si="52"/>
        <v>0</v>
      </c>
      <c r="T328" t="str">
        <f t="shared" si="53"/>
        <v>Mar-26</v>
      </c>
    </row>
    <row r="329" spans="1:20">
      <c r="A329" t="s">
        <v>628</v>
      </c>
      <c r="B329" t="s">
        <v>22</v>
      </c>
      <c r="C329" t="s">
        <v>23</v>
      </c>
      <c r="D329">
        <v>888</v>
      </c>
      <c r="E329" s="4">
        <v>46027</v>
      </c>
      <c r="F329" s="4">
        <v>46037</v>
      </c>
      <c r="G329" s="4">
        <v>46036</v>
      </c>
      <c r="H329">
        <v>906</v>
      </c>
      <c r="I329" t="s">
        <v>629</v>
      </c>
      <c r="J329">
        <v>73</v>
      </c>
      <c r="K329" t="s">
        <v>1563</v>
      </c>
      <c r="L329" t="str">
        <f t="shared" si="45"/>
        <v>Y</v>
      </c>
      <c r="M329" t="str">
        <f t="shared" si="46"/>
        <v>Y</v>
      </c>
      <c r="N329" t="str">
        <f t="shared" si="47"/>
        <v>Y</v>
      </c>
      <c r="O329">
        <f t="shared" si="48"/>
        <v>9</v>
      </c>
      <c r="P329" s="6">
        <f t="shared" si="49"/>
        <v>1.0202702702702702</v>
      </c>
      <c r="Q329" s="6">
        <f t="shared" si="50"/>
        <v>8.0573951434878582E-2</v>
      </c>
      <c r="R329">
        <f t="shared" si="51"/>
        <v>1</v>
      </c>
      <c r="S329">
        <f t="shared" si="52"/>
        <v>0</v>
      </c>
      <c r="T329" t="str">
        <f t="shared" si="53"/>
        <v>Jan-26</v>
      </c>
    </row>
    <row r="330" spans="1:20">
      <c r="A330" t="s">
        <v>630</v>
      </c>
      <c r="B330" t="s">
        <v>49</v>
      </c>
      <c r="C330" t="s">
        <v>23</v>
      </c>
      <c r="D330">
        <v>944</v>
      </c>
      <c r="E330" s="4">
        <v>46080</v>
      </c>
      <c r="F330" s="4">
        <v>46087</v>
      </c>
      <c r="G330" s="4">
        <v>46085</v>
      </c>
      <c r="H330">
        <v>835</v>
      </c>
      <c r="I330" t="s">
        <v>631</v>
      </c>
      <c r="J330">
        <v>1</v>
      </c>
      <c r="K330" t="s">
        <v>1563</v>
      </c>
      <c r="L330" t="str">
        <f t="shared" si="45"/>
        <v>Y</v>
      </c>
      <c r="M330" t="str">
        <f t="shared" si="46"/>
        <v>N</v>
      </c>
      <c r="N330" t="str">
        <f t="shared" si="47"/>
        <v>N</v>
      </c>
      <c r="O330">
        <f t="shared" si="48"/>
        <v>5</v>
      </c>
      <c r="P330" s="6">
        <f t="shared" si="49"/>
        <v>0.88453389830508478</v>
      </c>
      <c r="Q330" s="6">
        <f t="shared" si="50"/>
        <v>1.1976047904191617E-3</v>
      </c>
      <c r="R330">
        <f t="shared" si="51"/>
        <v>0</v>
      </c>
      <c r="S330">
        <f t="shared" si="52"/>
        <v>0</v>
      </c>
      <c r="T330" t="str">
        <f t="shared" si="53"/>
        <v>Mar-26</v>
      </c>
    </row>
    <row r="331" spans="1:20">
      <c r="A331" t="s">
        <v>632</v>
      </c>
      <c r="B331" t="s">
        <v>22</v>
      </c>
      <c r="C331" t="s">
        <v>16</v>
      </c>
      <c r="D331">
        <v>542</v>
      </c>
      <c r="E331" s="4">
        <v>46169</v>
      </c>
      <c r="F331" s="4">
        <v>46181</v>
      </c>
      <c r="G331" s="4">
        <v>46186</v>
      </c>
      <c r="H331">
        <v>520</v>
      </c>
      <c r="I331" t="s">
        <v>633</v>
      </c>
      <c r="J331">
        <v>43</v>
      </c>
      <c r="K331" t="s">
        <v>1563</v>
      </c>
      <c r="L331" t="str">
        <f t="shared" si="45"/>
        <v>N</v>
      </c>
      <c r="M331" t="str">
        <f t="shared" si="46"/>
        <v>N</v>
      </c>
      <c r="N331" t="str">
        <f t="shared" si="47"/>
        <v>N</v>
      </c>
      <c r="O331">
        <f t="shared" si="48"/>
        <v>17</v>
      </c>
      <c r="P331" s="6">
        <f t="shared" si="49"/>
        <v>0.95940959409594095</v>
      </c>
      <c r="Q331" s="6">
        <f t="shared" si="50"/>
        <v>8.269230769230769E-2</v>
      </c>
      <c r="R331">
        <f t="shared" si="51"/>
        <v>0</v>
      </c>
      <c r="S331">
        <f t="shared" si="52"/>
        <v>5</v>
      </c>
      <c r="T331" t="str">
        <f t="shared" si="53"/>
        <v>Jun-26</v>
      </c>
    </row>
    <row r="332" spans="1:20">
      <c r="A332" t="s">
        <v>634</v>
      </c>
      <c r="B332" t="s">
        <v>32</v>
      </c>
      <c r="C332" t="s">
        <v>23</v>
      </c>
      <c r="D332">
        <v>455</v>
      </c>
      <c r="E332" s="4">
        <v>46078</v>
      </c>
      <c r="F332" s="4">
        <v>46088</v>
      </c>
      <c r="G332" s="4"/>
      <c r="I332" t="s">
        <v>636</v>
      </c>
      <c r="K332" t="s">
        <v>1565</v>
      </c>
      <c r="L332" t="str">
        <f t="shared" si="45"/>
        <v>N/A</v>
      </c>
      <c r="M332" t="str">
        <f t="shared" si="46"/>
        <v>N/A</v>
      </c>
      <c r="N332" t="str">
        <f t="shared" si="47"/>
        <v>N/A</v>
      </c>
      <c r="O332" t="str">
        <f t="shared" si="48"/>
        <v>N/A</v>
      </c>
      <c r="P332" s="6" t="str">
        <f t="shared" si="49"/>
        <v>N/A</v>
      </c>
      <c r="Q332" s="6" t="str">
        <f t="shared" si="50"/>
        <v>N/A</v>
      </c>
      <c r="R332" t="str">
        <f t="shared" si="51"/>
        <v/>
      </c>
      <c r="S332" t="str">
        <f t="shared" si="52"/>
        <v>N/A</v>
      </c>
      <c r="T332" t="str">
        <f t="shared" si="53"/>
        <v>N/A</v>
      </c>
    </row>
    <row r="333" spans="1:20">
      <c r="A333" t="s">
        <v>637</v>
      </c>
      <c r="B333" t="s">
        <v>22</v>
      </c>
      <c r="C333" t="s">
        <v>16</v>
      </c>
      <c r="D333">
        <v>652</v>
      </c>
      <c r="E333" s="4">
        <v>46171</v>
      </c>
      <c r="F333" s="4">
        <v>46179</v>
      </c>
      <c r="G333" s="4">
        <v>46179</v>
      </c>
      <c r="H333">
        <v>550</v>
      </c>
      <c r="I333" t="s">
        <v>448</v>
      </c>
      <c r="J333">
        <v>36</v>
      </c>
      <c r="K333" t="s">
        <v>1563</v>
      </c>
      <c r="L333" t="str">
        <f t="shared" si="45"/>
        <v>Y</v>
      </c>
      <c r="M333" t="str">
        <f t="shared" si="46"/>
        <v>N</v>
      </c>
      <c r="N333" t="str">
        <f t="shared" si="47"/>
        <v>N</v>
      </c>
      <c r="O333">
        <f t="shared" si="48"/>
        <v>8</v>
      </c>
      <c r="P333" s="6">
        <f t="shared" si="49"/>
        <v>0.84355828220858897</v>
      </c>
      <c r="Q333" s="6">
        <f t="shared" si="50"/>
        <v>6.545454545454546E-2</v>
      </c>
      <c r="R333">
        <f t="shared" si="51"/>
        <v>0</v>
      </c>
      <c r="S333">
        <f t="shared" si="52"/>
        <v>0</v>
      </c>
      <c r="T333" t="str">
        <f t="shared" si="53"/>
        <v>Jun-26</v>
      </c>
    </row>
    <row r="334" spans="1:20">
      <c r="A334" t="s">
        <v>638</v>
      </c>
      <c r="B334" t="s">
        <v>49</v>
      </c>
      <c r="C334" t="s">
        <v>23</v>
      </c>
      <c r="D334">
        <v>133</v>
      </c>
      <c r="E334" s="4">
        <v>46114</v>
      </c>
      <c r="F334" s="4">
        <v>46129</v>
      </c>
      <c r="G334" s="4"/>
      <c r="I334" t="s">
        <v>639</v>
      </c>
      <c r="K334" t="s">
        <v>1565</v>
      </c>
      <c r="L334" t="str">
        <f t="shared" si="45"/>
        <v>N/A</v>
      </c>
      <c r="M334" t="str">
        <f t="shared" si="46"/>
        <v>N/A</v>
      </c>
      <c r="N334" t="str">
        <f t="shared" si="47"/>
        <v>N/A</v>
      </c>
      <c r="O334" t="str">
        <f t="shared" si="48"/>
        <v>N/A</v>
      </c>
      <c r="P334" s="6" t="str">
        <f t="shared" si="49"/>
        <v>N/A</v>
      </c>
      <c r="Q334" s="6" t="str">
        <f t="shared" si="50"/>
        <v>N/A</v>
      </c>
      <c r="R334" t="str">
        <f t="shared" si="51"/>
        <v/>
      </c>
      <c r="S334" t="str">
        <f t="shared" si="52"/>
        <v>N/A</v>
      </c>
      <c r="T334" t="str">
        <f t="shared" si="53"/>
        <v>N/A</v>
      </c>
    </row>
    <row r="335" spans="1:20">
      <c r="A335" t="s">
        <v>640</v>
      </c>
      <c r="B335" t="s">
        <v>177</v>
      </c>
      <c r="C335" t="s">
        <v>16</v>
      </c>
      <c r="D335">
        <v>596</v>
      </c>
      <c r="E335" s="4">
        <v>46100</v>
      </c>
      <c r="F335" s="4">
        <v>46109</v>
      </c>
      <c r="G335" s="4">
        <v>46109</v>
      </c>
      <c r="H335">
        <v>586</v>
      </c>
      <c r="I335" t="s">
        <v>255</v>
      </c>
      <c r="J335">
        <v>28</v>
      </c>
      <c r="K335" t="s">
        <v>1563</v>
      </c>
      <c r="L335" t="str">
        <f t="shared" si="45"/>
        <v>Y</v>
      </c>
      <c r="M335" t="str">
        <f t="shared" si="46"/>
        <v>Y</v>
      </c>
      <c r="N335" t="str">
        <f t="shared" si="47"/>
        <v>Y</v>
      </c>
      <c r="O335">
        <f t="shared" si="48"/>
        <v>9</v>
      </c>
      <c r="P335" s="6">
        <f t="shared" si="49"/>
        <v>0.98322147651006708</v>
      </c>
      <c r="Q335" s="6">
        <f t="shared" si="50"/>
        <v>4.778156996587031E-2</v>
      </c>
      <c r="R335">
        <f t="shared" si="51"/>
        <v>1</v>
      </c>
      <c r="S335">
        <f t="shared" si="52"/>
        <v>0</v>
      </c>
      <c r="T335" t="str">
        <f t="shared" si="53"/>
        <v>Mar-26</v>
      </c>
    </row>
    <row r="336" spans="1:20">
      <c r="A336" t="s">
        <v>641</v>
      </c>
      <c r="B336" t="s">
        <v>70</v>
      </c>
      <c r="C336" t="s">
        <v>16</v>
      </c>
      <c r="D336">
        <v>114</v>
      </c>
      <c r="E336" s="4">
        <v>46163</v>
      </c>
      <c r="F336" s="4">
        <v>46171</v>
      </c>
      <c r="G336" s="4">
        <v>46171</v>
      </c>
      <c r="H336">
        <v>112</v>
      </c>
      <c r="I336" t="s">
        <v>643</v>
      </c>
      <c r="J336">
        <v>2</v>
      </c>
      <c r="K336" t="s">
        <v>1563</v>
      </c>
      <c r="L336" t="str">
        <f t="shared" si="45"/>
        <v>Y</v>
      </c>
      <c r="M336" t="str">
        <f t="shared" si="46"/>
        <v>Y</v>
      </c>
      <c r="N336" t="str">
        <f t="shared" si="47"/>
        <v>Y</v>
      </c>
      <c r="O336">
        <f t="shared" si="48"/>
        <v>8</v>
      </c>
      <c r="P336" s="6">
        <f t="shared" si="49"/>
        <v>0.98245614035087714</v>
      </c>
      <c r="Q336" s="6">
        <f t="shared" si="50"/>
        <v>1.7857142857142856E-2</v>
      </c>
      <c r="R336">
        <f t="shared" si="51"/>
        <v>1</v>
      </c>
      <c r="S336">
        <f t="shared" si="52"/>
        <v>0</v>
      </c>
      <c r="T336" t="str">
        <f t="shared" si="53"/>
        <v>May-26</v>
      </c>
    </row>
    <row r="337" spans="1:20">
      <c r="A337" t="s">
        <v>644</v>
      </c>
      <c r="B337" t="s">
        <v>46</v>
      </c>
      <c r="C337" t="s">
        <v>12</v>
      </c>
      <c r="D337">
        <v>483</v>
      </c>
      <c r="E337" s="4">
        <v>46108</v>
      </c>
      <c r="F337" s="4">
        <v>46123</v>
      </c>
      <c r="G337" s="4">
        <v>46122</v>
      </c>
      <c r="H337">
        <v>474</v>
      </c>
      <c r="I337" t="s">
        <v>645</v>
      </c>
      <c r="J337">
        <v>12</v>
      </c>
      <c r="K337" t="s">
        <v>1563</v>
      </c>
      <c r="L337" t="str">
        <f t="shared" si="45"/>
        <v>Y</v>
      </c>
      <c r="M337" t="str">
        <f t="shared" si="46"/>
        <v>Y</v>
      </c>
      <c r="N337" t="str">
        <f t="shared" si="47"/>
        <v>Y</v>
      </c>
      <c r="O337">
        <f t="shared" si="48"/>
        <v>14</v>
      </c>
      <c r="P337" s="6">
        <f t="shared" si="49"/>
        <v>0.98136645962732916</v>
      </c>
      <c r="Q337" s="6">
        <f t="shared" si="50"/>
        <v>2.5316455696202531E-2</v>
      </c>
      <c r="R337">
        <f t="shared" si="51"/>
        <v>1</v>
      </c>
      <c r="S337">
        <f t="shared" si="52"/>
        <v>0</v>
      </c>
      <c r="T337" t="str">
        <f t="shared" si="53"/>
        <v>Apr-26</v>
      </c>
    </row>
    <row r="338" spans="1:20">
      <c r="A338" t="s">
        <v>646</v>
      </c>
      <c r="B338" t="s">
        <v>29</v>
      </c>
      <c r="C338" t="s">
        <v>12</v>
      </c>
      <c r="D338">
        <v>598</v>
      </c>
      <c r="E338" s="4">
        <v>46119</v>
      </c>
      <c r="F338" s="4">
        <v>46124</v>
      </c>
      <c r="G338" s="4">
        <v>46126</v>
      </c>
      <c r="H338">
        <v>508</v>
      </c>
      <c r="I338" t="s">
        <v>647</v>
      </c>
      <c r="J338">
        <v>2</v>
      </c>
      <c r="K338" t="s">
        <v>1563</v>
      </c>
      <c r="L338" t="str">
        <f t="shared" si="45"/>
        <v>N</v>
      </c>
      <c r="M338" t="str">
        <f t="shared" si="46"/>
        <v>N</v>
      </c>
      <c r="N338" t="str">
        <f t="shared" si="47"/>
        <v>N</v>
      </c>
      <c r="O338">
        <f t="shared" si="48"/>
        <v>7</v>
      </c>
      <c r="P338" s="6">
        <f t="shared" si="49"/>
        <v>0.84949832775919731</v>
      </c>
      <c r="Q338" s="6">
        <f t="shared" si="50"/>
        <v>3.937007874015748E-3</v>
      </c>
      <c r="R338">
        <f t="shared" si="51"/>
        <v>0</v>
      </c>
      <c r="S338">
        <f t="shared" si="52"/>
        <v>2</v>
      </c>
      <c r="T338" t="str">
        <f t="shared" si="53"/>
        <v>Apr-26</v>
      </c>
    </row>
    <row r="339" spans="1:20">
      <c r="A339" t="s">
        <v>648</v>
      </c>
      <c r="B339" t="s">
        <v>11</v>
      </c>
      <c r="C339" t="s">
        <v>12</v>
      </c>
      <c r="D339">
        <v>302</v>
      </c>
      <c r="E339" s="4">
        <v>46137</v>
      </c>
      <c r="F339" s="4">
        <v>46142</v>
      </c>
      <c r="G339" s="4">
        <v>46142</v>
      </c>
      <c r="H339">
        <v>301</v>
      </c>
      <c r="I339" t="s">
        <v>354</v>
      </c>
      <c r="J339">
        <v>3</v>
      </c>
      <c r="K339" t="s">
        <v>1563</v>
      </c>
      <c r="L339" t="str">
        <f t="shared" si="45"/>
        <v>Y</v>
      </c>
      <c r="M339" t="str">
        <f t="shared" si="46"/>
        <v>Y</v>
      </c>
      <c r="N339" t="str">
        <f t="shared" si="47"/>
        <v>Y</v>
      </c>
      <c r="O339">
        <f t="shared" si="48"/>
        <v>5</v>
      </c>
      <c r="P339" s="6">
        <f t="shared" si="49"/>
        <v>0.99668874172185429</v>
      </c>
      <c r="Q339" s="6">
        <f t="shared" si="50"/>
        <v>9.9667774086378731E-3</v>
      </c>
      <c r="R339">
        <f t="shared" si="51"/>
        <v>1</v>
      </c>
      <c r="S339">
        <f t="shared" si="52"/>
        <v>0</v>
      </c>
      <c r="T339" t="str">
        <f t="shared" si="53"/>
        <v>Apr-26</v>
      </c>
    </row>
    <row r="340" spans="1:20">
      <c r="A340" t="s">
        <v>649</v>
      </c>
      <c r="B340" t="s">
        <v>29</v>
      </c>
      <c r="C340" t="s">
        <v>16</v>
      </c>
      <c r="D340">
        <v>666</v>
      </c>
      <c r="E340" s="4">
        <v>46125</v>
      </c>
      <c r="F340" s="4">
        <v>46131</v>
      </c>
      <c r="G340" s="4">
        <v>46131</v>
      </c>
      <c r="H340">
        <v>663</v>
      </c>
      <c r="I340" t="s">
        <v>650</v>
      </c>
      <c r="J340">
        <v>0</v>
      </c>
      <c r="K340" t="s">
        <v>1563</v>
      </c>
      <c r="L340" t="str">
        <f t="shared" si="45"/>
        <v>Y</v>
      </c>
      <c r="M340" t="str">
        <f t="shared" si="46"/>
        <v>Y</v>
      </c>
      <c r="N340" t="str">
        <f t="shared" si="47"/>
        <v>Y</v>
      </c>
      <c r="O340">
        <f t="shared" si="48"/>
        <v>6</v>
      </c>
      <c r="P340" s="6">
        <f t="shared" si="49"/>
        <v>0.99549549549549554</v>
      </c>
      <c r="Q340" s="6">
        <f t="shared" si="50"/>
        <v>0</v>
      </c>
      <c r="R340">
        <f t="shared" si="51"/>
        <v>1</v>
      </c>
      <c r="S340">
        <f t="shared" si="52"/>
        <v>0</v>
      </c>
      <c r="T340" t="str">
        <f t="shared" si="53"/>
        <v>Apr-26</v>
      </c>
    </row>
    <row r="341" spans="1:20">
      <c r="A341" t="s">
        <v>651</v>
      </c>
      <c r="B341" t="s">
        <v>177</v>
      </c>
      <c r="C341" t="s">
        <v>23</v>
      </c>
      <c r="D341">
        <v>470</v>
      </c>
      <c r="E341" s="4">
        <v>46169</v>
      </c>
      <c r="F341" s="4">
        <v>46176</v>
      </c>
      <c r="G341" s="4">
        <v>46175</v>
      </c>
      <c r="H341">
        <v>462</v>
      </c>
      <c r="I341" t="s">
        <v>1564</v>
      </c>
      <c r="J341">
        <v>17</v>
      </c>
      <c r="K341" t="s">
        <v>1563</v>
      </c>
      <c r="L341" t="str">
        <f t="shared" si="45"/>
        <v>Y</v>
      </c>
      <c r="M341" t="str">
        <f t="shared" si="46"/>
        <v>Y</v>
      </c>
      <c r="N341" t="str">
        <f t="shared" si="47"/>
        <v>Y</v>
      </c>
      <c r="O341">
        <f t="shared" si="48"/>
        <v>6</v>
      </c>
      <c r="P341" s="6">
        <f t="shared" si="49"/>
        <v>0.98297872340425529</v>
      </c>
      <c r="Q341" s="6">
        <f t="shared" si="50"/>
        <v>3.67965367965368E-2</v>
      </c>
      <c r="R341">
        <f t="shared" si="51"/>
        <v>1</v>
      </c>
      <c r="S341">
        <f t="shared" si="52"/>
        <v>0</v>
      </c>
      <c r="T341" t="str">
        <f t="shared" si="53"/>
        <v>Jun-26</v>
      </c>
    </row>
    <row r="342" spans="1:20">
      <c r="A342" t="s">
        <v>652</v>
      </c>
      <c r="B342" t="s">
        <v>32</v>
      </c>
      <c r="C342" t="s">
        <v>12</v>
      </c>
      <c r="D342">
        <v>844</v>
      </c>
      <c r="E342" s="4">
        <v>46051</v>
      </c>
      <c r="F342" s="4">
        <v>46066</v>
      </c>
      <c r="G342" s="4">
        <v>46063</v>
      </c>
      <c r="H342">
        <v>850</v>
      </c>
      <c r="I342" t="s">
        <v>589</v>
      </c>
      <c r="J342">
        <v>16</v>
      </c>
      <c r="K342" t="s">
        <v>1563</v>
      </c>
      <c r="L342" t="str">
        <f t="shared" si="45"/>
        <v>Y</v>
      </c>
      <c r="M342" t="str">
        <f t="shared" si="46"/>
        <v>Y</v>
      </c>
      <c r="N342" t="str">
        <f t="shared" si="47"/>
        <v>Y</v>
      </c>
      <c r="O342">
        <f t="shared" si="48"/>
        <v>12</v>
      </c>
      <c r="P342" s="6">
        <f t="shared" si="49"/>
        <v>1.0071090047393365</v>
      </c>
      <c r="Q342" s="6">
        <f t="shared" si="50"/>
        <v>1.8823529411764704E-2</v>
      </c>
      <c r="R342">
        <f t="shared" si="51"/>
        <v>1</v>
      </c>
      <c r="S342">
        <f t="shared" si="52"/>
        <v>0</v>
      </c>
      <c r="T342" t="str">
        <f t="shared" si="53"/>
        <v>Feb-26</v>
      </c>
    </row>
    <row r="343" spans="1:20">
      <c r="A343" t="s">
        <v>653</v>
      </c>
      <c r="B343" t="s">
        <v>43</v>
      </c>
      <c r="C343" t="s">
        <v>12</v>
      </c>
      <c r="D343">
        <v>386</v>
      </c>
      <c r="E343" s="4">
        <v>46087</v>
      </c>
      <c r="F343" s="4">
        <v>46095</v>
      </c>
      <c r="G343" s="4">
        <v>46095</v>
      </c>
      <c r="H343">
        <v>393</v>
      </c>
      <c r="I343" t="s">
        <v>625</v>
      </c>
      <c r="J343">
        <v>11</v>
      </c>
      <c r="K343" t="s">
        <v>1563</v>
      </c>
      <c r="L343" t="str">
        <f t="shared" si="45"/>
        <v>Y</v>
      </c>
      <c r="M343" t="str">
        <f t="shared" si="46"/>
        <v>Y</v>
      </c>
      <c r="N343" t="str">
        <f t="shared" si="47"/>
        <v>Y</v>
      </c>
      <c r="O343">
        <f t="shared" si="48"/>
        <v>8</v>
      </c>
      <c r="P343" s="6">
        <f t="shared" si="49"/>
        <v>1.0181347150259068</v>
      </c>
      <c r="Q343" s="6">
        <f t="shared" si="50"/>
        <v>2.7989821882951654E-2</v>
      </c>
      <c r="R343">
        <f t="shared" si="51"/>
        <v>1</v>
      </c>
      <c r="S343">
        <f t="shared" si="52"/>
        <v>0</v>
      </c>
      <c r="T343" t="str">
        <f t="shared" si="53"/>
        <v>Mar-26</v>
      </c>
    </row>
    <row r="344" spans="1:20">
      <c r="A344" t="s">
        <v>654</v>
      </c>
      <c r="B344" t="s">
        <v>35</v>
      </c>
      <c r="C344" t="s">
        <v>12</v>
      </c>
      <c r="D344">
        <v>437</v>
      </c>
      <c r="E344" s="4">
        <v>46046</v>
      </c>
      <c r="F344" s="4">
        <v>46052</v>
      </c>
      <c r="G344" s="4">
        <v>46052</v>
      </c>
      <c r="H344">
        <v>431</v>
      </c>
      <c r="I344" t="s">
        <v>499</v>
      </c>
      <c r="J344">
        <v>27</v>
      </c>
      <c r="K344" t="s">
        <v>1563</v>
      </c>
      <c r="L344" t="str">
        <f t="shared" si="45"/>
        <v>Y</v>
      </c>
      <c r="M344" t="str">
        <f t="shared" si="46"/>
        <v>Y</v>
      </c>
      <c r="N344" t="str">
        <f t="shared" si="47"/>
        <v>Y</v>
      </c>
      <c r="O344">
        <f t="shared" si="48"/>
        <v>6</v>
      </c>
      <c r="P344" s="6">
        <f t="shared" si="49"/>
        <v>0.98627002288329524</v>
      </c>
      <c r="Q344" s="6">
        <f t="shared" si="50"/>
        <v>6.2645011600928072E-2</v>
      </c>
      <c r="R344">
        <f t="shared" si="51"/>
        <v>1</v>
      </c>
      <c r="S344">
        <f t="shared" si="52"/>
        <v>0</v>
      </c>
      <c r="T344" t="str">
        <f t="shared" si="53"/>
        <v>Jan-26</v>
      </c>
    </row>
    <row r="345" spans="1:20">
      <c r="A345" t="s">
        <v>655</v>
      </c>
      <c r="B345" t="s">
        <v>49</v>
      </c>
      <c r="C345" t="s">
        <v>16</v>
      </c>
      <c r="D345">
        <v>471</v>
      </c>
      <c r="E345" s="4">
        <v>46128</v>
      </c>
      <c r="F345" s="4">
        <v>46141</v>
      </c>
      <c r="G345" s="4">
        <v>46140</v>
      </c>
      <c r="H345">
        <v>396</v>
      </c>
      <c r="I345" t="s">
        <v>395</v>
      </c>
      <c r="J345">
        <v>6</v>
      </c>
      <c r="K345" t="s">
        <v>1563</v>
      </c>
      <c r="L345" t="str">
        <f t="shared" si="45"/>
        <v>Y</v>
      </c>
      <c r="M345" t="str">
        <f t="shared" si="46"/>
        <v>N</v>
      </c>
      <c r="N345" t="str">
        <f t="shared" si="47"/>
        <v>N</v>
      </c>
      <c r="O345">
        <f t="shared" si="48"/>
        <v>12</v>
      </c>
      <c r="P345" s="6">
        <f t="shared" si="49"/>
        <v>0.84076433121019112</v>
      </c>
      <c r="Q345" s="6">
        <f t="shared" si="50"/>
        <v>1.5151515151515152E-2</v>
      </c>
      <c r="R345">
        <f t="shared" si="51"/>
        <v>0</v>
      </c>
      <c r="S345">
        <f t="shared" si="52"/>
        <v>0</v>
      </c>
      <c r="T345" t="str">
        <f t="shared" si="53"/>
        <v>Apr-26</v>
      </c>
    </row>
    <row r="346" spans="1:20">
      <c r="A346" t="s">
        <v>656</v>
      </c>
      <c r="B346" t="s">
        <v>67</v>
      </c>
      <c r="C346" t="s">
        <v>12</v>
      </c>
      <c r="D346">
        <v>197</v>
      </c>
      <c r="E346" s="4">
        <v>46069</v>
      </c>
      <c r="F346" s="4">
        <v>46081</v>
      </c>
      <c r="G346" s="4">
        <v>46079</v>
      </c>
      <c r="H346">
        <v>197</v>
      </c>
      <c r="I346" t="s">
        <v>101</v>
      </c>
      <c r="J346">
        <v>4</v>
      </c>
      <c r="K346" t="s">
        <v>1563</v>
      </c>
      <c r="L346" t="str">
        <f t="shared" si="45"/>
        <v>Y</v>
      </c>
      <c r="M346" t="str">
        <f t="shared" si="46"/>
        <v>Y</v>
      </c>
      <c r="N346" t="str">
        <f t="shared" si="47"/>
        <v>Y</v>
      </c>
      <c r="O346">
        <f t="shared" si="48"/>
        <v>10</v>
      </c>
      <c r="P346" s="6">
        <f t="shared" si="49"/>
        <v>1</v>
      </c>
      <c r="Q346" s="6">
        <f t="shared" si="50"/>
        <v>2.030456852791878E-2</v>
      </c>
      <c r="R346">
        <f t="shared" si="51"/>
        <v>1</v>
      </c>
      <c r="S346">
        <f t="shared" si="52"/>
        <v>0</v>
      </c>
      <c r="T346" t="str">
        <f t="shared" si="53"/>
        <v>Feb-26</v>
      </c>
    </row>
    <row r="347" spans="1:20">
      <c r="A347" t="s">
        <v>657</v>
      </c>
      <c r="B347" t="s">
        <v>70</v>
      </c>
      <c r="C347" t="s">
        <v>12</v>
      </c>
      <c r="D347">
        <v>358</v>
      </c>
      <c r="E347" s="4">
        <v>46153</v>
      </c>
      <c r="F347" s="4">
        <v>46166</v>
      </c>
      <c r="G347" s="4">
        <v>46164</v>
      </c>
      <c r="H347">
        <v>361</v>
      </c>
      <c r="I347" t="s">
        <v>658</v>
      </c>
      <c r="J347">
        <v>4</v>
      </c>
      <c r="K347" t="s">
        <v>1563</v>
      </c>
      <c r="L347" t="str">
        <f t="shared" si="45"/>
        <v>Y</v>
      </c>
      <c r="M347" t="str">
        <f t="shared" si="46"/>
        <v>Y</v>
      </c>
      <c r="N347" t="str">
        <f t="shared" si="47"/>
        <v>Y</v>
      </c>
      <c r="O347">
        <f t="shared" si="48"/>
        <v>11</v>
      </c>
      <c r="P347" s="6">
        <f t="shared" si="49"/>
        <v>1.0083798882681565</v>
      </c>
      <c r="Q347" s="6">
        <f t="shared" si="50"/>
        <v>1.1080332409972299E-2</v>
      </c>
      <c r="R347">
        <f t="shared" si="51"/>
        <v>1</v>
      </c>
      <c r="S347">
        <f t="shared" si="52"/>
        <v>0</v>
      </c>
      <c r="T347" t="str">
        <f t="shared" si="53"/>
        <v>May-26</v>
      </c>
    </row>
    <row r="348" spans="1:20">
      <c r="A348" t="s">
        <v>659</v>
      </c>
      <c r="B348" t="s">
        <v>46</v>
      </c>
      <c r="C348" t="s">
        <v>23</v>
      </c>
      <c r="D348">
        <v>812</v>
      </c>
      <c r="E348" s="4">
        <v>46078</v>
      </c>
      <c r="F348" s="4">
        <v>46088</v>
      </c>
      <c r="G348" s="4">
        <v>46089</v>
      </c>
      <c r="H348">
        <v>815</v>
      </c>
      <c r="I348" t="s">
        <v>660</v>
      </c>
      <c r="J348">
        <v>51</v>
      </c>
      <c r="K348" t="s">
        <v>1563</v>
      </c>
      <c r="L348" t="str">
        <f t="shared" si="45"/>
        <v>N</v>
      </c>
      <c r="M348" t="str">
        <f t="shared" si="46"/>
        <v>Y</v>
      </c>
      <c r="N348" t="str">
        <f t="shared" si="47"/>
        <v>N</v>
      </c>
      <c r="O348">
        <f t="shared" si="48"/>
        <v>11</v>
      </c>
      <c r="P348" s="6">
        <f t="shared" si="49"/>
        <v>1.0036945812807883</v>
      </c>
      <c r="Q348" s="6">
        <f t="shared" si="50"/>
        <v>6.2576687116564417E-2</v>
      </c>
      <c r="R348">
        <f t="shared" si="51"/>
        <v>0</v>
      </c>
      <c r="S348">
        <f t="shared" si="52"/>
        <v>1</v>
      </c>
      <c r="T348" t="str">
        <f t="shared" si="53"/>
        <v>Mar-26</v>
      </c>
    </row>
    <row r="349" spans="1:20">
      <c r="A349" t="s">
        <v>661</v>
      </c>
      <c r="B349" t="s">
        <v>32</v>
      </c>
      <c r="C349" t="s">
        <v>12</v>
      </c>
      <c r="D349">
        <v>954</v>
      </c>
      <c r="E349" s="4">
        <v>46088</v>
      </c>
      <c r="F349" s="4">
        <v>46094</v>
      </c>
      <c r="G349" s="4">
        <v>46092</v>
      </c>
      <c r="H349">
        <v>961</v>
      </c>
      <c r="I349" t="s">
        <v>391</v>
      </c>
      <c r="J349">
        <v>12</v>
      </c>
      <c r="K349" t="s">
        <v>1563</v>
      </c>
      <c r="L349" t="str">
        <f t="shared" si="45"/>
        <v>Y</v>
      </c>
      <c r="M349" t="str">
        <f t="shared" si="46"/>
        <v>Y</v>
      </c>
      <c r="N349" t="str">
        <f t="shared" si="47"/>
        <v>Y</v>
      </c>
      <c r="O349">
        <f t="shared" si="48"/>
        <v>4</v>
      </c>
      <c r="P349" s="6">
        <f t="shared" si="49"/>
        <v>1.0073375262054507</v>
      </c>
      <c r="Q349" s="6">
        <f t="shared" si="50"/>
        <v>1.2486992715920915E-2</v>
      </c>
      <c r="R349">
        <f t="shared" si="51"/>
        <v>1</v>
      </c>
      <c r="S349">
        <f t="shared" si="52"/>
        <v>0</v>
      </c>
      <c r="T349" t="str">
        <f t="shared" si="53"/>
        <v>Mar-26</v>
      </c>
    </row>
    <row r="350" spans="1:20">
      <c r="A350" t="s">
        <v>662</v>
      </c>
      <c r="B350" t="s">
        <v>11</v>
      </c>
      <c r="C350" t="s">
        <v>12</v>
      </c>
      <c r="D350">
        <v>965</v>
      </c>
      <c r="E350" s="4">
        <v>46127</v>
      </c>
      <c r="F350" s="4">
        <v>46135</v>
      </c>
      <c r="G350" s="4">
        <v>46135</v>
      </c>
      <c r="H350">
        <v>969</v>
      </c>
      <c r="I350" t="s">
        <v>664</v>
      </c>
      <c r="J350">
        <v>15</v>
      </c>
      <c r="K350" t="s">
        <v>1563</v>
      </c>
      <c r="L350" t="str">
        <f t="shared" si="45"/>
        <v>Y</v>
      </c>
      <c r="M350" t="str">
        <f t="shared" si="46"/>
        <v>Y</v>
      </c>
      <c r="N350" t="str">
        <f t="shared" si="47"/>
        <v>Y</v>
      </c>
      <c r="O350">
        <f t="shared" si="48"/>
        <v>8</v>
      </c>
      <c r="P350" s="6">
        <f t="shared" si="49"/>
        <v>1.0041450777202072</v>
      </c>
      <c r="Q350" s="6">
        <f t="shared" si="50"/>
        <v>1.5479876160990712E-2</v>
      </c>
      <c r="R350">
        <f t="shared" si="51"/>
        <v>1</v>
      </c>
      <c r="S350">
        <f t="shared" si="52"/>
        <v>0</v>
      </c>
      <c r="T350" t="str">
        <f t="shared" si="53"/>
        <v>Apr-26</v>
      </c>
    </row>
    <row r="351" spans="1:20">
      <c r="A351" t="s">
        <v>665</v>
      </c>
      <c r="B351" t="s">
        <v>22</v>
      </c>
      <c r="C351" t="s">
        <v>16</v>
      </c>
      <c r="D351">
        <v>92</v>
      </c>
      <c r="E351" s="4">
        <v>46164</v>
      </c>
      <c r="F351" s="4">
        <v>46170</v>
      </c>
      <c r="G351" s="4">
        <v>46170</v>
      </c>
      <c r="H351">
        <v>84</v>
      </c>
      <c r="I351" t="s">
        <v>666</v>
      </c>
      <c r="J351">
        <v>6</v>
      </c>
      <c r="K351" t="s">
        <v>1563</v>
      </c>
      <c r="L351" t="str">
        <f t="shared" si="45"/>
        <v>Y</v>
      </c>
      <c r="M351" t="str">
        <f t="shared" si="46"/>
        <v>N</v>
      </c>
      <c r="N351" t="str">
        <f t="shared" si="47"/>
        <v>N</v>
      </c>
      <c r="O351">
        <f t="shared" si="48"/>
        <v>6</v>
      </c>
      <c r="P351" s="6">
        <f t="shared" si="49"/>
        <v>0.91304347826086951</v>
      </c>
      <c r="Q351" s="6">
        <f t="shared" si="50"/>
        <v>7.1428571428571425E-2</v>
      </c>
      <c r="R351">
        <f t="shared" si="51"/>
        <v>0</v>
      </c>
      <c r="S351">
        <f t="shared" si="52"/>
        <v>0</v>
      </c>
      <c r="T351" t="str">
        <f t="shared" si="53"/>
        <v>May-26</v>
      </c>
    </row>
    <row r="352" spans="1:20">
      <c r="A352" t="s">
        <v>667</v>
      </c>
      <c r="B352" t="s">
        <v>19</v>
      </c>
      <c r="C352" t="s">
        <v>12</v>
      </c>
      <c r="D352">
        <v>124</v>
      </c>
      <c r="E352" s="4">
        <v>46029</v>
      </c>
      <c r="F352" s="4">
        <v>46035</v>
      </c>
      <c r="G352" s="4">
        <v>46034</v>
      </c>
      <c r="H352">
        <v>125</v>
      </c>
      <c r="I352" t="s">
        <v>668</v>
      </c>
      <c r="J352">
        <v>1</v>
      </c>
      <c r="K352" t="s">
        <v>1563</v>
      </c>
      <c r="L352" t="str">
        <f t="shared" si="45"/>
        <v>Y</v>
      </c>
      <c r="M352" t="str">
        <f t="shared" si="46"/>
        <v>Y</v>
      </c>
      <c r="N352" t="str">
        <f t="shared" si="47"/>
        <v>Y</v>
      </c>
      <c r="O352">
        <f t="shared" si="48"/>
        <v>5</v>
      </c>
      <c r="P352" s="6">
        <f t="shared" si="49"/>
        <v>1.0080645161290323</v>
      </c>
      <c r="Q352" s="6">
        <f t="shared" si="50"/>
        <v>8.0000000000000002E-3</v>
      </c>
      <c r="R352">
        <f t="shared" si="51"/>
        <v>1</v>
      </c>
      <c r="S352">
        <f t="shared" si="52"/>
        <v>0</v>
      </c>
      <c r="T352" t="str">
        <f t="shared" si="53"/>
        <v>Jan-26</v>
      </c>
    </row>
    <row r="353" spans="1:20">
      <c r="A353" t="s">
        <v>669</v>
      </c>
      <c r="B353" t="s">
        <v>49</v>
      </c>
      <c r="C353" t="s">
        <v>12</v>
      </c>
      <c r="D353">
        <v>836</v>
      </c>
      <c r="E353" s="4">
        <v>46145</v>
      </c>
      <c r="F353" s="4">
        <v>46150</v>
      </c>
      <c r="G353" s="4">
        <v>46148</v>
      </c>
      <c r="H353">
        <v>829</v>
      </c>
      <c r="I353" t="s">
        <v>670</v>
      </c>
      <c r="J353">
        <v>8</v>
      </c>
      <c r="K353" t="s">
        <v>1563</v>
      </c>
      <c r="L353" t="str">
        <f t="shared" si="45"/>
        <v>Y</v>
      </c>
      <c r="M353" t="str">
        <f t="shared" si="46"/>
        <v>Y</v>
      </c>
      <c r="N353" t="str">
        <f t="shared" si="47"/>
        <v>Y</v>
      </c>
      <c r="O353">
        <f t="shared" si="48"/>
        <v>3</v>
      </c>
      <c r="P353" s="6">
        <f t="shared" si="49"/>
        <v>0.99162679425837319</v>
      </c>
      <c r="Q353" s="6">
        <f t="shared" si="50"/>
        <v>9.6501809408926411E-3</v>
      </c>
      <c r="R353">
        <f t="shared" si="51"/>
        <v>1</v>
      </c>
      <c r="S353">
        <f t="shared" si="52"/>
        <v>0</v>
      </c>
      <c r="T353" t="str">
        <f t="shared" si="53"/>
        <v>May-26</v>
      </c>
    </row>
    <row r="354" spans="1:20">
      <c r="A354" t="s">
        <v>671</v>
      </c>
      <c r="B354" t="s">
        <v>19</v>
      </c>
      <c r="C354" t="s">
        <v>23</v>
      </c>
      <c r="D354">
        <v>748</v>
      </c>
      <c r="E354" s="4">
        <v>46065</v>
      </c>
      <c r="F354" s="4">
        <v>46080</v>
      </c>
      <c r="G354" s="4">
        <v>46080</v>
      </c>
      <c r="H354">
        <v>736</v>
      </c>
      <c r="I354" t="s">
        <v>672</v>
      </c>
      <c r="J354">
        <v>25</v>
      </c>
      <c r="K354" t="s">
        <v>1563</v>
      </c>
      <c r="L354" t="str">
        <f t="shared" si="45"/>
        <v>Y</v>
      </c>
      <c r="M354" t="str">
        <f t="shared" si="46"/>
        <v>Y</v>
      </c>
      <c r="N354" t="str">
        <f t="shared" si="47"/>
        <v>Y</v>
      </c>
      <c r="O354">
        <f t="shared" si="48"/>
        <v>15</v>
      </c>
      <c r="P354" s="6">
        <f t="shared" si="49"/>
        <v>0.98395721925133695</v>
      </c>
      <c r="Q354" s="6">
        <f t="shared" si="50"/>
        <v>3.3967391304347824E-2</v>
      </c>
      <c r="R354">
        <f t="shared" si="51"/>
        <v>1</v>
      </c>
      <c r="S354">
        <f t="shared" si="52"/>
        <v>0</v>
      </c>
      <c r="T354" t="str">
        <f t="shared" si="53"/>
        <v>Feb-26</v>
      </c>
    </row>
    <row r="355" spans="1:20">
      <c r="A355" t="s">
        <v>673</v>
      </c>
      <c r="B355" t="s">
        <v>120</v>
      </c>
      <c r="C355" t="s">
        <v>23</v>
      </c>
      <c r="D355">
        <v>408</v>
      </c>
      <c r="E355" s="4">
        <v>46146</v>
      </c>
      <c r="F355" s="4">
        <v>46159</v>
      </c>
      <c r="G355" s="4">
        <v>46156</v>
      </c>
      <c r="H355">
        <v>387</v>
      </c>
      <c r="I355" t="s">
        <v>674</v>
      </c>
      <c r="J355">
        <v>7</v>
      </c>
      <c r="K355" t="s">
        <v>1563</v>
      </c>
      <c r="L355" t="str">
        <f t="shared" si="45"/>
        <v>Y</v>
      </c>
      <c r="M355" t="str">
        <f t="shared" si="46"/>
        <v>N</v>
      </c>
      <c r="N355" t="str">
        <f t="shared" si="47"/>
        <v>N</v>
      </c>
      <c r="O355">
        <f t="shared" si="48"/>
        <v>10</v>
      </c>
      <c r="P355" s="6">
        <f t="shared" si="49"/>
        <v>0.94852941176470584</v>
      </c>
      <c r="Q355" s="6">
        <f t="shared" si="50"/>
        <v>1.8087855297157621E-2</v>
      </c>
      <c r="R355">
        <f t="shared" si="51"/>
        <v>0</v>
      </c>
      <c r="S355">
        <f t="shared" si="52"/>
        <v>0</v>
      </c>
      <c r="T355" t="str">
        <f t="shared" si="53"/>
        <v>May-26</v>
      </c>
    </row>
    <row r="356" spans="1:20">
      <c r="A356" t="s">
        <v>675</v>
      </c>
      <c r="B356" t="s">
        <v>70</v>
      </c>
      <c r="C356" t="s">
        <v>12</v>
      </c>
      <c r="D356">
        <v>959</v>
      </c>
      <c r="E356" s="4">
        <v>46059</v>
      </c>
      <c r="F356" s="4">
        <v>46065</v>
      </c>
      <c r="G356" s="4">
        <v>46071</v>
      </c>
      <c r="H356">
        <v>942</v>
      </c>
      <c r="I356" t="s">
        <v>101</v>
      </c>
      <c r="J356">
        <v>9</v>
      </c>
      <c r="K356" t="s">
        <v>1563</v>
      </c>
      <c r="L356" t="str">
        <f t="shared" si="45"/>
        <v>N</v>
      </c>
      <c r="M356" t="str">
        <f t="shared" si="46"/>
        <v>Y</v>
      </c>
      <c r="N356" t="str">
        <f t="shared" si="47"/>
        <v>N</v>
      </c>
      <c r="O356">
        <f t="shared" si="48"/>
        <v>12</v>
      </c>
      <c r="P356" s="6">
        <f t="shared" si="49"/>
        <v>0.98227320125130346</v>
      </c>
      <c r="Q356" s="6">
        <f t="shared" si="50"/>
        <v>9.5541401273885346E-3</v>
      </c>
      <c r="R356">
        <f t="shared" si="51"/>
        <v>0</v>
      </c>
      <c r="S356">
        <f t="shared" si="52"/>
        <v>6</v>
      </c>
      <c r="T356" t="str">
        <f t="shared" si="53"/>
        <v>Feb-26</v>
      </c>
    </row>
    <row r="357" spans="1:20">
      <c r="A357" t="s">
        <v>676</v>
      </c>
      <c r="B357" t="s">
        <v>70</v>
      </c>
      <c r="C357" t="s">
        <v>16</v>
      </c>
      <c r="D357">
        <v>648</v>
      </c>
      <c r="E357" s="4">
        <v>46146</v>
      </c>
      <c r="F357" s="4">
        <v>46151</v>
      </c>
      <c r="G357" s="4">
        <v>46148</v>
      </c>
      <c r="H357">
        <v>637</v>
      </c>
      <c r="I357" t="s">
        <v>677</v>
      </c>
      <c r="J357">
        <v>2</v>
      </c>
      <c r="K357" t="s">
        <v>1563</v>
      </c>
      <c r="L357" t="str">
        <f t="shared" si="45"/>
        <v>Y</v>
      </c>
      <c r="M357" t="str">
        <f t="shared" si="46"/>
        <v>Y</v>
      </c>
      <c r="N357" t="str">
        <f t="shared" si="47"/>
        <v>Y</v>
      </c>
      <c r="O357">
        <f t="shared" si="48"/>
        <v>2</v>
      </c>
      <c r="P357" s="6">
        <f t="shared" si="49"/>
        <v>0.98302469135802473</v>
      </c>
      <c r="Q357" s="6">
        <f t="shared" si="50"/>
        <v>3.1397174254317113E-3</v>
      </c>
      <c r="R357">
        <f t="shared" si="51"/>
        <v>1</v>
      </c>
      <c r="S357">
        <f t="shared" si="52"/>
        <v>0</v>
      </c>
      <c r="T357" t="str">
        <f t="shared" si="53"/>
        <v>May-26</v>
      </c>
    </row>
    <row r="358" spans="1:20">
      <c r="A358" t="s">
        <v>678</v>
      </c>
      <c r="B358" t="s">
        <v>35</v>
      </c>
      <c r="C358" t="s">
        <v>16</v>
      </c>
      <c r="D358">
        <v>953</v>
      </c>
      <c r="E358" s="4">
        <v>46136</v>
      </c>
      <c r="F358" s="4">
        <v>46142</v>
      </c>
      <c r="G358" s="4">
        <v>46139</v>
      </c>
      <c r="H358">
        <v>957</v>
      </c>
      <c r="I358" t="s">
        <v>1564</v>
      </c>
      <c r="J358">
        <v>10</v>
      </c>
      <c r="K358" t="s">
        <v>1563</v>
      </c>
      <c r="L358" t="str">
        <f t="shared" si="45"/>
        <v>Y</v>
      </c>
      <c r="M358" t="str">
        <f t="shared" si="46"/>
        <v>Y</v>
      </c>
      <c r="N358" t="str">
        <f t="shared" si="47"/>
        <v>Y</v>
      </c>
      <c r="O358">
        <f t="shared" si="48"/>
        <v>3</v>
      </c>
      <c r="P358" s="6">
        <f t="shared" si="49"/>
        <v>1.0041972717733474</v>
      </c>
      <c r="Q358" s="6">
        <f t="shared" si="50"/>
        <v>1.0449320794148381E-2</v>
      </c>
      <c r="R358">
        <f t="shared" si="51"/>
        <v>1</v>
      </c>
      <c r="S358">
        <f t="shared" si="52"/>
        <v>0</v>
      </c>
      <c r="T358" t="str">
        <f t="shared" si="53"/>
        <v>Apr-26</v>
      </c>
    </row>
    <row r="359" spans="1:20">
      <c r="A359" t="s">
        <v>679</v>
      </c>
      <c r="B359" t="s">
        <v>67</v>
      </c>
      <c r="C359" t="s">
        <v>12</v>
      </c>
      <c r="D359">
        <v>730</v>
      </c>
      <c r="E359" s="4">
        <v>46110</v>
      </c>
      <c r="F359" s="4">
        <v>46118</v>
      </c>
      <c r="G359" s="4">
        <v>46127</v>
      </c>
      <c r="H359">
        <v>724</v>
      </c>
      <c r="I359" t="s">
        <v>680</v>
      </c>
      <c r="J359">
        <v>30</v>
      </c>
      <c r="K359" t="s">
        <v>1563</v>
      </c>
      <c r="L359" t="str">
        <f t="shared" si="45"/>
        <v>N</v>
      </c>
      <c r="M359" t="str">
        <f t="shared" si="46"/>
        <v>Y</v>
      </c>
      <c r="N359" t="str">
        <f t="shared" si="47"/>
        <v>N</v>
      </c>
      <c r="O359">
        <f t="shared" si="48"/>
        <v>17</v>
      </c>
      <c r="P359" s="6">
        <f t="shared" si="49"/>
        <v>0.99178082191780825</v>
      </c>
      <c r="Q359" s="6">
        <f t="shared" si="50"/>
        <v>4.1436464088397788E-2</v>
      </c>
      <c r="R359">
        <f t="shared" si="51"/>
        <v>0</v>
      </c>
      <c r="S359">
        <f t="shared" si="52"/>
        <v>9</v>
      </c>
      <c r="T359" t="str">
        <f t="shared" si="53"/>
        <v>Apr-26</v>
      </c>
    </row>
    <row r="360" spans="1:20">
      <c r="A360" t="s">
        <v>681</v>
      </c>
      <c r="B360" t="s">
        <v>49</v>
      </c>
      <c r="C360" t="s">
        <v>12</v>
      </c>
      <c r="D360">
        <v>443</v>
      </c>
      <c r="E360" s="4">
        <v>46116</v>
      </c>
      <c r="F360" s="4">
        <v>46126</v>
      </c>
      <c r="G360" s="4">
        <v>46130</v>
      </c>
      <c r="H360">
        <v>444</v>
      </c>
      <c r="I360" t="s">
        <v>682</v>
      </c>
      <c r="J360">
        <v>2</v>
      </c>
      <c r="K360" t="s">
        <v>1563</v>
      </c>
      <c r="L360" t="str">
        <f t="shared" si="45"/>
        <v>N</v>
      </c>
      <c r="M360" t="str">
        <f t="shared" si="46"/>
        <v>Y</v>
      </c>
      <c r="N360" t="str">
        <f t="shared" si="47"/>
        <v>N</v>
      </c>
      <c r="O360">
        <f t="shared" si="48"/>
        <v>14</v>
      </c>
      <c r="P360" s="6">
        <f t="shared" si="49"/>
        <v>1.0022573363431151</v>
      </c>
      <c r="Q360" s="6">
        <f t="shared" si="50"/>
        <v>4.5045045045045045E-3</v>
      </c>
      <c r="R360">
        <f t="shared" si="51"/>
        <v>0</v>
      </c>
      <c r="S360">
        <f t="shared" si="52"/>
        <v>4</v>
      </c>
      <c r="T360" t="str">
        <f t="shared" si="53"/>
        <v>Apr-26</v>
      </c>
    </row>
    <row r="361" spans="1:20">
      <c r="A361" t="s">
        <v>683</v>
      </c>
      <c r="B361" t="s">
        <v>43</v>
      </c>
      <c r="C361" t="s">
        <v>12</v>
      </c>
      <c r="D361">
        <v>388</v>
      </c>
      <c r="E361" s="4">
        <v>46172</v>
      </c>
      <c r="F361" s="4">
        <v>46184</v>
      </c>
      <c r="G361" s="4"/>
      <c r="I361" t="s">
        <v>684</v>
      </c>
      <c r="K361" t="s">
        <v>1565</v>
      </c>
      <c r="L361" t="str">
        <f t="shared" si="45"/>
        <v>N/A</v>
      </c>
      <c r="M361" t="str">
        <f t="shared" si="46"/>
        <v>N/A</v>
      </c>
      <c r="N361" t="str">
        <f t="shared" si="47"/>
        <v>N/A</v>
      </c>
      <c r="O361" t="str">
        <f t="shared" si="48"/>
        <v>N/A</v>
      </c>
      <c r="P361" s="6" t="str">
        <f t="shared" si="49"/>
        <v>N/A</v>
      </c>
      <c r="Q361" s="6" t="str">
        <f t="shared" si="50"/>
        <v>N/A</v>
      </c>
      <c r="R361" t="str">
        <f t="shared" si="51"/>
        <v/>
      </c>
      <c r="S361" t="str">
        <f t="shared" si="52"/>
        <v>N/A</v>
      </c>
      <c r="T361" t="str">
        <f t="shared" si="53"/>
        <v>N/A</v>
      </c>
    </row>
    <row r="362" spans="1:20">
      <c r="A362" t="s">
        <v>685</v>
      </c>
      <c r="B362" t="s">
        <v>19</v>
      </c>
      <c r="C362" t="s">
        <v>12</v>
      </c>
      <c r="D362">
        <v>967</v>
      </c>
      <c r="E362" s="4">
        <v>46052</v>
      </c>
      <c r="F362" s="4">
        <v>46057</v>
      </c>
      <c r="G362" s="4">
        <v>46054</v>
      </c>
      <c r="H362">
        <v>958</v>
      </c>
      <c r="I362" t="s">
        <v>687</v>
      </c>
      <c r="J362">
        <v>50</v>
      </c>
      <c r="K362" t="s">
        <v>1563</v>
      </c>
      <c r="L362" t="str">
        <f t="shared" si="45"/>
        <v>Y</v>
      </c>
      <c r="M362" t="str">
        <f t="shared" si="46"/>
        <v>Y</v>
      </c>
      <c r="N362" t="str">
        <f t="shared" si="47"/>
        <v>Y</v>
      </c>
      <c r="O362">
        <f t="shared" si="48"/>
        <v>2</v>
      </c>
      <c r="P362" s="6">
        <f t="shared" si="49"/>
        <v>0.99069286452947258</v>
      </c>
      <c r="Q362" s="6">
        <f t="shared" si="50"/>
        <v>5.2192066805845511E-2</v>
      </c>
      <c r="R362">
        <f t="shared" si="51"/>
        <v>1</v>
      </c>
      <c r="S362">
        <f t="shared" si="52"/>
        <v>0</v>
      </c>
      <c r="T362" t="str">
        <f t="shared" si="53"/>
        <v>Feb-26</v>
      </c>
    </row>
    <row r="363" spans="1:20">
      <c r="A363" t="s">
        <v>688</v>
      </c>
      <c r="B363" t="s">
        <v>43</v>
      </c>
      <c r="C363" t="s">
        <v>12</v>
      </c>
      <c r="D363">
        <v>956</v>
      </c>
      <c r="E363" s="4">
        <v>46078</v>
      </c>
      <c r="F363" s="4">
        <v>46087</v>
      </c>
      <c r="G363" s="4">
        <v>46086</v>
      </c>
      <c r="H363">
        <v>958</v>
      </c>
      <c r="I363" t="s">
        <v>690</v>
      </c>
      <c r="J363">
        <v>36</v>
      </c>
      <c r="K363" t="s">
        <v>1563</v>
      </c>
      <c r="L363" t="str">
        <f t="shared" si="45"/>
        <v>Y</v>
      </c>
      <c r="M363" t="str">
        <f t="shared" si="46"/>
        <v>Y</v>
      </c>
      <c r="N363" t="str">
        <f t="shared" si="47"/>
        <v>Y</v>
      </c>
      <c r="O363">
        <f t="shared" si="48"/>
        <v>8</v>
      </c>
      <c r="P363" s="6">
        <f t="shared" si="49"/>
        <v>1.002092050209205</v>
      </c>
      <c r="Q363" s="6">
        <f t="shared" si="50"/>
        <v>3.7578288100208766E-2</v>
      </c>
      <c r="R363">
        <f t="shared" si="51"/>
        <v>1</v>
      </c>
      <c r="S363">
        <f t="shared" si="52"/>
        <v>0</v>
      </c>
      <c r="T363" t="str">
        <f t="shared" si="53"/>
        <v>Mar-26</v>
      </c>
    </row>
    <row r="364" spans="1:20">
      <c r="A364" t="s">
        <v>691</v>
      </c>
      <c r="B364" t="s">
        <v>32</v>
      </c>
      <c r="C364" t="s">
        <v>16</v>
      </c>
      <c r="D364">
        <v>863</v>
      </c>
      <c r="E364" s="4">
        <v>46158</v>
      </c>
      <c r="F364" s="4">
        <v>46169</v>
      </c>
      <c r="G364" s="4">
        <v>46174</v>
      </c>
      <c r="H364">
        <v>834</v>
      </c>
      <c r="I364" t="s">
        <v>181</v>
      </c>
      <c r="J364">
        <v>7</v>
      </c>
      <c r="K364" t="s">
        <v>1563</v>
      </c>
      <c r="L364" t="str">
        <f t="shared" si="45"/>
        <v>N</v>
      </c>
      <c r="M364" t="str">
        <f t="shared" si="46"/>
        <v>N</v>
      </c>
      <c r="N364" t="str">
        <f t="shared" si="47"/>
        <v>N</v>
      </c>
      <c r="O364">
        <f t="shared" si="48"/>
        <v>16</v>
      </c>
      <c r="P364" s="6">
        <f t="shared" si="49"/>
        <v>0.96639629200463495</v>
      </c>
      <c r="Q364" s="6">
        <f t="shared" si="50"/>
        <v>8.3932853717026377E-3</v>
      </c>
      <c r="R364">
        <f t="shared" si="51"/>
        <v>0</v>
      </c>
      <c r="S364">
        <f t="shared" si="52"/>
        <v>5</v>
      </c>
      <c r="T364" t="str">
        <f t="shared" si="53"/>
        <v>Jun-26</v>
      </c>
    </row>
    <row r="365" spans="1:20">
      <c r="A365" t="s">
        <v>692</v>
      </c>
      <c r="B365" t="s">
        <v>35</v>
      </c>
      <c r="C365" t="s">
        <v>23</v>
      </c>
      <c r="D365">
        <v>523</v>
      </c>
      <c r="E365" s="4">
        <v>46036</v>
      </c>
      <c r="F365" s="4">
        <v>46046</v>
      </c>
      <c r="G365" s="4">
        <v>46043</v>
      </c>
      <c r="H365">
        <v>482</v>
      </c>
      <c r="I365" t="s">
        <v>693</v>
      </c>
      <c r="J365">
        <v>9</v>
      </c>
      <c r="K365" t="s">
        <v>1563</v>
      </c>
      <c r="L365" t="str">
        <f t="shared" si="45"/>
        <v>Y</v>
      </c>
      <c r="M365" t="str">
        <f t="shared" si="46"/>
        <v>N</v>
      </c>
      <c r="N365" t="str">
        <f t="shared" si="47"/>
        <v>N</v>
      </c>
      <c r="O365">
        <f t="shared" si="48"/>
        <v>7</v>
      </c>
      <c r="P365" s="6">
        <f t="shared" si="49"/>
        <v>0.92160611854684515</v>
      </c>
      <c r="Q365" s="6">
        <f t="shared" si="50"/>
        <v>1.8672199170124481E-2</v>
      </c>
      <c r="R365">
        <f t="shared" si="51"/>
        <v>0</v>
      </c>
      <c r="S365">
        <f t="shared" si="52"/>
        <v>0</v>
      </c>
      <c r="T365" t="str">
        <f t="shared" si="53"/>
        <v>Jan-26</v>
      </c>
    </row>
    <row r="366" spans="1:20">
      <c r="A366" t="s">
        <v>694</v>
      </c>
      <c r="B366" t="s">
        <v>49</v>
      </c>
      <c r="C366" t="s">
        <v>16</v>
      </c>
      <c r="D366">
        <v>758</v>
      </c>
      <c r="E366" s="4">
        <v>46171</v>
      </c>
      <c r="F366" s="4">
        <v>46177</v>
      </c>
      <c r="G366" s="4">
        <v>46175</v>
      </c>
      <c r="H366">
        <v>769</v>
      </c>
      <c r="I366" t="s">
        <v>695</v>
      </c>
      <c r="J366">
        <v>12</v>
      </c>
      <c r="K366" t="s">
        <v>1563</v>
      </c>
      <c r="L366" t="str">
        <f t="shared" si="45"/>
        <v>Y</v>
      </c>
      <c r="M366" t="str">
        <f t="shared" si="46"/>
        <v>Y</v>
      </c>
      <c r="N366" t="str">
        <f t="shared" si="47"/>
        <v>Y</v>
      </c>
      <c r="O366">
        <f t="shared" si="48"/>
        <v>4</v>
      </c>
      <c r="P366" s="6">
        <f t="shared" si="49"/>
        <v>1.0145118733509235</v>
      </c>
      <c r="Q366" s="6">
        <f t="shared" si="50"/>
        <v>1.5604681404421327E-2</v>
      </c>
      <c r="R366">
        <f t="shared" si="51"/>
        <v>1</v>
      </c>
      <c r="S366">
        <f t="shared" si="52"/>
        <v>0</v>
      </c>
      <c r="T366" t="str">
        <f t="shared" si="53"/>
        <v>Jun-26</v>
      </c>
    </row>
    <row r="367" spans="1:20">
      <c r="A367" t="s">
        <v>696</v>
      </c>
      <c r="B367" t="s">
        <v>35</v>
      </c>
      <c r="C367" t="s">
        <v>12</v>
      </c>
      <c r="D367">
        <v>296</v>
      </c>
      <c r="E367" s="4">
        <v>46172</v>
      </c>
      <c r="F367" s="4">
        <v>46177</v>
      </c>
      <c r="G367" s="4">
        <v>46182</v>
      </c>
      <c r="H367">
        <v>297</v>
      </c>
      <c r="I367" t="s">
        <v>493</v>
      </c>
      <c r="J367">
        <v>13</v>
      </c>
      <c r="K367" t="s">
        <v>1563</v>
      </c>
      <c r="L367" t="str">
        <f t="shared" si="45"/>
        <v>N</v>
      </c>
      <c r="M367" t="str">
        <f t="shared" si="46"/>
        <v>Y</v>
      </c>
      <c r="N367" t="str">
        <f t="shared" si="47"/>
        <v>N</v>
      </c>
      <c r="O367">
        <f t="shared" si="48"/>
        <v>10</v>
      </c>
      <c r="P367" s="6">
        <f t="shared" si="49"/>
        <v>1.0033783783783783</v>
      </c>
      <c r="Q367" s="6">
        <f t="shared" si="50"/>
        <v>4.3771043771043773E-2</v>
      </c>
      <c r="R367">
        <f t="shared" si="51"/>
        <v>0</v>
      </c>
      <c r="S367">
        <f t="shared" si="52"/>
        <v>5</v>
      </c>
      <c r="T367" t="str">
        <f t="shared" si="53"/>
        <v>Jun-26</v>
      </c>
    </row>
    <row r="368" spans="1:20">
      <c r="A368" t="s">
        <v>697</v>
      </c>
      <c r="B368" t="s">
        <v>46</v>
      </c>
      <c r="C368" t="s">
        <v>16</v>
      </c>
      <c r="D368">
        <v>373</v>
      </c>
      <c r="E368" s="4">
        <v>46044</v>
      </c>
      <c r="F368" s="4">
        <v>46054</v>
      </c>
      <c r="G368" s="4">
        <v>46054</v>
      </c>
      <c r="H368">
        <v>366</v>
      </c>
      <c r="I368" t="s">
        <v>698</v>
      </c>
      <c r="J368">
        <v>9</v>
      </c>
      <c r="K368" t="s">
        <v>1563</v>
      </c>
      <c r="L368" t="str">
        <f t="shared" si="45"/>
        <v>Y</v>
      </c>
      <c r="M368" t="str">
        <f t="shared" si="46"/>
        <v>Y</v>
      </c>
      <c r="N368" t="str">
        <f t="shared" si="47"/>
        <v>Y</v>
      </c>
      <c r="O368">
        <f t="shared" si="48"/>
        <v>10</v>
      </c>
      <c r="P368" s="6">
        <f t="shared" si="49"/>
        <v>0.98123324396782841</v>
      </c>
      <c r="Q368" s="6">
        <f t="shared" si="50"/>
        <v>2.4590163934426229E-2</v>
      </c>
      <c r="R368">
        <f t="shared" si="51"/>
        <v>1</v>
      </c>
      <c r="S368">
        <f t="shared" si="52"/>
        <v>0</v>
      </c>
      <c r="T368" t="str">
        <f t="shared" si="53"/>
        <v>Feb-26</v>
      </c>
    </row>
    <row r="369" spans="1:20">
      <c r="A369" t="s">
        <v>699</v>
      </c>
      <c r="B369" t="s">
        <v>40</v>
      </c>
      <c r="C369" t="s">
        <v>12</v>
      </c>
      <c r="D369">
        <v>226</v>
      </c>
      <c r="E369" s="4">
        <v>46147</v>
      </c>
      <c r="F369" s="4">
        <v>46155</v>
      </c>
      <c r="G369" s="4">
        <v>46152</v>
      </c>
      <c r="H369">
        <v>228</v>
      </c>
      <c r="I369" t="s">
        <v>700</v>
      </c>
      <c r="J369">
        <v>5</v>
      </c>
      <c r="K369" t="s">
        <v>1563</v>
      </c>
      <c r="L369" t="str">
        <f t="shared" si="45"/>
        <v>Y</v>
      </c>
      <c r="M369" t="str">
        <f t="shared" si="46"/>
        <v>Y</v>
      </c>
      <c r="N369" t="str">
        <f t="shared" si="47"/>
        <v>Y</v>
      </c>
      <c r="O369">
        <f t="shared" si="48"/>
        <v>5</v>
      </c>
      <c r="P369" s="6">
        <f t="shared" si="49"/>
        <v>1.0088495575221239</v>
      </c>
      <c r="Q369" s="6">
        <f t="shared" si="50"/>
        <v>2.1929824561403508E-2</v>
      </c>
      <c r="R369">
        <f t="shared" si="51"/>
        <v>1</v>
      </c>
      <c r="S369">
        <f t="shared" si="52"/>
        <v>0</v>
      </c>
      <c r="T369" t="str">
        <f t="shared" si="53"/>
        <v>May-26</v>
      </c>
    </row>
    <row r="370" spans="1:20">
      <c r="A370" t="s">
        <v>701</v>
      </c>
      <c r="B370" t="s">
        <v>19</v>
      </c>
      <c r="C370" t="s">
        <v>23</v>
      </c>
      <c r="D370">
        <v>989</v>
      </c>
      <c r="E370" s="4">
        <v>46052</v>
      </c>
      <c r="F370" s="4">
        <v>46065</v>
      </c>
      <c r="G370" s="4">
        <v>46064</v>
      </c>
      <c r="H370">
        <v>998</v>
      </c>
      <c r="I370" t="s">
        <v>702</v>
      </c>
      <c r="J370">
        <v>18</v>
      </c>
      <c r="K370" t="s">
        <v>1563</v>
      </c>
      <c r="L370" t="str">
        <f t="shared" si="45"/>
        <v>Y</v>
      </c>
      <c r="M370" t="str">
        <f t="shared" si="46"/>
        <v>Y</v>
      </c>
      <c r="N370" t="str">
        <f t="shared" si="47"/>
        <v>Y</v>
      </c>
      <c r="O370">
        <f t="shared" si="48"/>
        <v>12</v>
      </c>
      <c r="P370" s="6">
        <f t="shared" si="49"/>
        <v>1.0091001011122345</v>
      </c>
      <c r="Q370" s="6">
        <f t="shared" si="50"/>
        <v>1.8036072144288578E-2</v>
      </c>
      <c r="R370">
        <f t="shared" si="51"/>
        <v>1</v>
      </c>
      <c r="S370">
        <f t="shared" si="52"/>
        <v>0</v>
      </c>
      <c r="T370" t="str">
        <f t="shared" si="53"/>
        <v>Feb-26</v>
      </c>
    </row>
    <row r="371" spans="1:20">
      <c r="A371" t="s">
        <v>703</v>
      </c>
      <c r="B371" t="s">
        <v>52</v>
      </c>
      <c r="C371" t="s">
        <v>23</v>
      </c>
      <c r="D371">
        <v>112</v>
      </c>
      <c r="E371" s="4">
        <v>46038</v>
      </c>
      <c r="F371" s="4">
        <v>46044</v>
      </c>
      <c r="G371" s="4">
        <v>46051</v>
      </c>
      <c r="H371">
        <v>113</v>
      </c>
      <c r="I371" t="s">
        <v>636</v>
      </c>
      <c r="J371">
        <v>2</v>
      </c>
      <c r="K371" t="s">
        <v>1563</v>
      </c>
      <c r="L371" t="str">
        <f t="shared" si="45"/>
        <v>N</v>
      </c>
      <c r="M371" t="str">
        <f t="shared" si="46"/>
        <v>Y</v>
      </c>
      <c r="N371" t="str">
        <f t="shared" si="47"/>
        <v>N</v>
      </c>
      <c r="O371">
        <f t="shared" si="48"/>
        <v>13</v>
      </c>
      <c r="P371" s="6">
        <f t="shared" si="49"/>
        <v>1.0089285714285714</v>
      </c>
      <c r="Q371" s="6">
        <f t="shared" si="50"/>
        <v>1.7699115044247787E-2</v>
      </c>
      <c r="R371">
        <f t="shared" si="51"/>
        <v>0</v>
      </c>
      <c r="S371">
        <f t="shared" si="52"/>
        <v>7</v>
      </c>
      <c r="T371" t="str">
        <f t="shared" si="53"/>
        <v>Jan-26</v>
      </c>
    </row>
    <row r="372" spans="1:20">
      <c r="A372" t="s">
        <v>704</v>
      </c>
      <c r="B372" t="s">
        <v>64</v>
      </c>
      <c r="C372" t="s">
        <v>12</v>
      </c>
      <c r="D372">
        <v>386</v>
      </c>
      <c r="E372" s="4">
        <v>46060</v>
      </c>
      <c r="F372" s="4">
        <v>46073</v>
      </c>
      <c r="G372" s="4">
        <v>46082</v>
      </c>
      <c r="H372">
        <v>347</v>
      </c>
      <c r="I372" t="s">
        <v>705</v>
      </c>
      <c r="J372">
        <v>21</v>
      </c>
      <c r="K372" t="s">
        <v>1563</v>
      </c>
      <c r="L372" t="str">
        <f t="shared" si="45"/>
        <v>N</v>
      </c>
      <c r="M372" t="str">
        <f t="shared" si="46"/>
        <v>N</v>
      </c>
      <c r="N372" t="str">
        <f t="shared" si="47"/>
        <v>N</v>
      </c>
      <c r="O372">
        <f t="shared" si="48"/>
        <v>22</v>
      </c>
      <c r="P372" s="6">
        <f t="shared" si="49"/>
        <v>0.89896373056994816</v>
      </c>
      <c r="Q372" s="6">
        <f t="shared" si="50"/>
        <v>6.0518731988472622E-2</v>
      </c>
      <c r="R372">
        <f t="shared" si="51"/>
        <v>0</v>
      </c>
      <c r="S372">
        <f t="shared" si="52"/>
        <v>9</v>
      </c>
      <c r="T372" t="str">
        <f t="shared" si="53"/>
        <v>Mar-26</v>
      </c>
    </row>
    <row r="373" spans="1:20">
      <c r="A373" t="s">
        <v>706</v>
      </c>
      <c r="B373" t="s">
        <v>49</v>
      </c>
      <c r="C373" t="s">
        <v>23</v>
      </c>
      <c r="D373">
        <v>569</v>
      </c>
      <c r="E373" s="4">
        <v>46038</v>
      </c>
      <c r="F373" s="4">
        <v>46045</v>
      </c>
      <c r="G373" s="4">
        <v>46043</v>
      </c>
      <c r="H373">
        <v>573</v>
      </c>
      <c r="I373" t="s">
        <v>707</v>
      </c>
      <c r="J373">
        <v>5</v>
      </c>
      <c r="K373" t="s">
        <v>1563</v>
      </c>
      <c r="L373" t="str">
        <f t="shared" si="45"/>
        <v>Y</v>
      </c>
      <c r="M373" t="str">
        <f t="shared" si="46"/>
        <v>Y</v>
      </c>
      <c r="N373" t="str">
        <f t="shared" si="47"/>
        <v>Y</v>
      </c>
      <c r="O373">
        <f t="shared" si="48"/>
        <v>5</v>
      </c>
      <c r="P373" s="6">
        <f t="shared" si="49"/>
        <v>1.0070298769771528</v>
      </c>
      <c r="Q373" s="6">
        <f t="shared" si="50"/>
        <v>8.7260034904013961E-3</v>
      </c>
      <c r="R373">
        <f t="shared" si="51"/>
        <v>1</v>
      </c>
      <c r="S373">
        <f t="shared" si="52"/>
        <v>0</v>
      </c>
      <c r="T373" t="str">
        <f t="shared" si="53"/>
        <v>Jan-26</v>
      </c>
    </row>
    <row r="374" spans="1:20">
      <c r="A374" t="s">
        <v>708</v>
      </c>
      <c r="B374" t="s">
        <v>19</v>
      </c>
      <c r="C374" t="s">
        <v>16</v>
      </c>
      <c r="D374">
        <v>582</v>
      </c>
      <c r="E374" s="4">
        <v>46135</v>
      </c>
      <c r="F374" s="4">
        <v>46146</v>
      </c>
      <c r="G374" s="4">
        <v>46146</v>
      </c>
      <c r="H374">
        <v>572</v>
      </c>
      <c r="I374" t="s">
        <v>594</v>
      </c>
      <c r="J374">
        <v>19</v>
      </c>
      <c r="K374" t="s">
        <v>1563</v>
      </c>
      <c r="L374" t="str">
        <f t="shared" si="45"/>
        <v>Y</v>
      </c>
      <c r="M374" t="str">
        <f t="shared" si="46"/>
        <v>Y</v>
      </c>
      <c r="N374" t="str">
        <f t="shared" si="47"/>
        <v>Y</v>
      </c>
      <c r="O374">
        <f t="shared" si="48"/>
        <v>11</v>
      </c>
      <c r="P374" s="6">
        <f t="shared" si="49"/>
        <v>0.98281786941580751</v>
      </c>
      <c r="Q374" s="6">
        <f t="shared" si="50"/>
        <v>3.3216783216783216E-2</v>
      </c>
      <c r="R374">
        <f t="shared" si="51"/>
        <v>1</v>
      </c>
      <c r="S374">
        <f t="shared" si="52"/>
        <v>0</v>
      </c>
      <c r="T374" t="str">
        <f t="shared" si="53"/>
        <v>May-26</v>
      </c>
    </row>
    <row r="375" spans="1:20">
      <c r="A375" t="s">
        <v>709</v>
      </c>
      <c r="B375" t="s">
        <v>19</v>
      </c>
      <c r="C375" t="s">
        <v>12</v>
      </c>
      <c r="D375">
        <v>686</v>
      </c>
      <c r="E375" s="4">
        <v>46134</v>
      </c>
      <c r="F375" s="4">
        <v>46149</v>
      </c>
      <c r="G375" s="4">
        <v>46149</v>
      </c>
      <c r="H375">
        <v>680</v>
      </c>
      <c r="I375" t="s">
        <v>403</v>
      </c>
      <c r="J375">
        <v>20</v>
      </c>
      <c r="K375" t="s">
        <v>1563</v>
      </c>
      <c r="L375" t="str">
        <f t="shared" si="45"/>
        <v>Y</v>
      </c>
      <c r="M375" t="str">
        <f t="shared" si="46"/>
        <v>Y</v>
      </c>
      <c r="N375" t="str">
        <f t="shared" si="47"/>
        <v>Y</v>
      </c>
      <c r="O375">
        <f t="shared" si="48"/>
        <v>15</v>
      </c>
      <c r="P375" s="6">
        <f t="shared" si="49"/>
        <v>0.99125364431486884</v>
      </c>
      <c r="Q375" s="6">
        <f t="shared" si="50"/>
        <v>2.9411764705882353E-2</v>
      </c>
      <c r="R375">
        <f t="shared" si="51"/>
        <v>1</v>
      </c>
      <c r="S375">
        <f t="shared" si="52"/>
        <v>0</v>
      </c>
      <c r="T375" t="str">
        <f t="shared" si="53"/>
        <v>May-26</v>
      </c>
    </row>
    <row r="376" spans="1:20">
      <c r="A376" t="s">
        <v>710</v>
      </c>
      <c r="B376" t="s">
        <v>81</v>
      </c>
      <c r="C376" t="s">
        <v>12</v>
      </c>
      <c r="D376">
        <v>150</v>
      </c>
      <c r="E376" s="4">
        <v>46110</v>
      </c>
      <c r="F376" s="4">
        <v>46122</v>
      </c>
      <c r="G376" s="4">
        <v>46122</v>
      </c>
      <c r="H376">
        <v>149</v>
      </c>
      <c r="I376" t="s">
        <v>711</v>
      </c>
      <c r="J376">
        <v>2</v>
      </c>
      <c r="K376" t="s">
        <v>1563</v>
      </c>
      <c r="L376" t="str">
        <f t="shared" si="45"/>
        <v>Y</v>
      </c>
      <c r="M376" t="str">
        <f t="shared" si="46"/>
        <v>Y</v>
      </c>
      <c r="N376" t="str">
        <f t="shared" si="47"/>
        <v>Y</v>
      </c>
      <c r="O376">
        <f t="shared" si="48"/>
        <v>12</v>
      </c>
      <c r="P376" s="6">
        <f t="shared" si="49"/>
        <v>0.99333333333333329</v>
      </c>
      <c r="Q376" s="6">
        <f t="shared" si="50"/>
        <v>1.3422818791946308E-2</v>
      </c>
      <c r="R376">
        <f t="shared" si="51"/>
        <v>1</v>
      </c>
      <c r="S376">
        <f t="shared" si="52"/>
        <v>0</v>
      </c>
      <c r="T376" t="str">
        <f t="shared" si="53"/>
        <v>Apr-26</v>
      </c>
    </row>
    <row r="377" spans="1:20">
      <c r="A377" t="s">
        <v>712</v>
      </c>
      <c r="B377" t="s">
        <v>120</v>
      </c>
      <c r="C377" t="s">
        <v>12</v>
      </c>
      <c r="D377">
        <v>187</v>
      </c>
      <c r="E377" s="4">
        <v>46049</v>
      </c>
      <c r="F377" s="4">
        <v>46060</v>
      </c>
      <c r="G377" s="4">
        <v>46060</v>
      </c>
      <c r="H377">
        <v>184</v>
      </c>
      <c r="I377" t="s">
        <v>714</v>
      </c>
      <c r="J377">
        <v>7</v>
      </c>
      <c r="K377" t="s">
        <v>1563</v>
      </c>
      <c r="L377" t="str">
        <f t="shared" si="45"/>
        <v>Y</v>
      </c>
      <c r="M377" t="str">
        <f t="shared" si="46"/>
        <v>Y</v>
      </c>
      <c r="N377" t="str">
        <f t="shared" si="47"/>
        <v>Y</v>
      </c>
      <c r="O377">
        <f t="shared" si="48"/>
        <v>11</v>
      </c>
      <c r="P377" s="6">
        <f t="shared" si="49"/>
        <v>0.98395721925133695</v>
      </c>
      <c r="Q377" s="6">
        <f t="shared" si="50"/>
        <v>3.8043478260869568E-2</v>
      </c>
      <c r="R377">
        <f t="shared" si="51"/>
        <v>1</v>
      </c>
      <c r="S377">
        <f t="shared" si="52"/>
        <v>0</v>
      </c>
      <c r="T377" t="str">
        <f t="shared" si="53"/>
        <v>Feb-26</v>
      </c>
    </row>
    <row r="378" spans="1:20">
      <c r="A378" t="s">
        <v>715</v>
      </c>
      <c r="B378" t="s">
        <v>35</v>
      </c>
      <c r="C378" t="s">
        <v>16</v>
      </c>
      <c r="D378">
        <v>805</v>
      </c>
      <c r="E378" s="4">
        <v>46130</v>
      </c>
      <c r="F378" s="4">
        <v>46140</v>
      </c>
      <c r="G378" s="4">
        <v>46137</v>
      </c>
      <c r="H378">
        <v>794</v>
      </c>
      <c r="I378" t="s">
        <v>716</v>
      </c>
      <c r="J378">
        <v>1</v>
      </c>
      <c r="K378" t="s">
        <v>1563</v>
      </c>
      <c r="L378" t="str">
        <f t="shared" si="45"/>
        <v>Y</v>
      </c>
      <c r="M378" t="str">
        <f t="shared" si="46"/>
        <v>Y</v>
      </c>
      <c r="N378" t="str">
        <f t="shared" si="47"/>
        <v>Y</v>
      </c>
      <c r="O378">
        <f t="shared" si="48"/>
        <v>7</v>
      </c>
      <c r="P378" s="6">
        <f t="shared" si="49"/>
        <v>0.98633540372670803</v>
      </c>
      <c r="Q378" s="6">
        <f t="shared" si="50"/>
        <v>1.2594458438287153E-3</v>
      </c>
      <c r="R378">
        <f t="shared" si="51"/>
        <v>1</v>
      </c>
      <c r="S378">
        <f t="shared" si="52"/>
        <v>0</v>
      </c>
      <c r="T378" t="str">
        <f t="shared" si="53"/>
        <v>Apr-26</v>
      </c>
    </row>
    <row r="379" spans="1:20">
      <c r="A379" t="s">
        <v>717</v>
      </c>
      <c r="B379" t="s">
        <v>26</v>
      </c>
      <c r="C379" t="s">
        <v>12</v>
      </c>
      <c r="D379">
        <v>894</v>
      </c>
      <c r="E379" s="4">
        <v>46088</v>
      </c>
      <c r="F379" s="4">
        <v>46097</v>
      </c>
      <c r="G379" s="4">
        <v>46094</v>
      </c>
      <c r="H379">
        <v>881</v>
      </c>
      <c r="I379" t="s">
        <v>379</v>
      </c>
      <c r="J379">
        <v>4</v>
      </c>
      <c r="K379" t="s">
        <v>1563</v>
      </c>
      <c r="L379" t="str">
        <f t="shared" si="45"/>
        <v>Y</v>
      </c>
      <c r="M379" t="str">
        <f t="shared" si="46"/>
        <v>Y</v>
      </c>
      <c r="N379" t="str">
        <f t="shared" si="47"/>
        <v>Y</v>
      </c>
      <c r="O379">
        <f t="shared" si="48"/>
        <v>6</v>
      </c>
      <c r="P379" s="6">
        <f t="shared" si="49"/>
        <v>0.9854586129753915</v>
      </c>
      <c r="Q379" s="6">
        <f t="shared" si="50"/>
        <v>4.5402951191827468E-3</v>
      </c>
      <c r="R379">
        <f t="shared" si="51"/>
        <v>1</v>
      </c>
      <c r="S379">
        <f t="shared" si="52"/>
        <v>0</v>
      </c>
      <c r="T379" t="str">
        <f t="shared" si="53"/>
        <v>Mar-26</v>
      </c>
    </row>
    <row r="380" spans="1:20">
      <c r="A380" t="s">
        <v>718</v>
      </c>
      <c r="B380" t="s">
        <v>29</v>
      </c>
      <c r="C380" t="s">
        <v>16</v>
      </c>
      <c r="D380">
        <v>340</v>
      </c>
      <c r="E380" s="4">
        <v>46122</v>
      </c>
      <c r="F380" s="4">
        <v>46136</v>
      </c>
      <c r="G380" s="4">
        <v>46136</v>
      </c>
      <c r="H380">
        <v>313</v>
      </c>
      <c r="I380" t="s">
        <v>268</v>
      </c>
      <c r="J380">
        <v>2</v>
      </c>
      <c r="K380" t="s">
        <v>1563</v>
      </c>
      <c r="L380" t="str">
        <f t="shared" si="45"/>
        <v>Y</v>
      </c>
      <c r="M380" t="str">
        <f t="shared" si="46"/>
        <v>N</v>
      </c>
      <c r="N380" t="str">
        <f t="shared" si="47"/>
        <v>N</v>
      </c>
      <c r="O380">
        <f t="shared" si="48"/>
        <v>14</v>
      </c>
      <c r="P380" s="6">
        <f t="shared" si="49"/>
        <v>0.9205882352941176</v>
      </c>
      <c r="Q380" s="6">
        <f t="shared" si="50"/>
        <v>6.3897763578274758E-3</v>
      </c>
      <c r="R380">
        <f t="shared" si="51"/>
        <v>0</v>
      </c>
      <c r="S380">
        <f t="shared" si="52"/>
        <v>0</v>
      </c>
      <c r="T380" t="str">
        <f t="shared" si="53"/>
        <v>Apr-26</v>
      </c>
    </row>
    <row r="381" spans="1:20">
      <c r="A381" t="s">
        <v>719</v>
      </c>
      <c r="B381" t="s">
        <v>54</v>
      </c>
      <c r="C381" t="s">
        <v>12</v>
      </c>
      <c r="D381">
        <v>820</v>
      </c>
      <c r="E381" s="4">
        <v>46135</v>
      </c>
      <c r="F381" s="4">
        <v>46145</v>
      </c>
      <c r="G381" s="4">
        <v>46142</v>
      </c>
      <c r="H381">
        <v>677</v>
      </c>
      <c r="I381" t="s">
        <v>101</v>
      </c>
      <c r="J381">
        <v>4</v>
      </c>
      <c r="K381" t="s">
        <v>1563</v>
      </c>
      <c r="L381" t="str">
        <f t="shared" si="45"/>
        <v>Y</v>
      </c>
      <c r="M381" t="str">
        <f t="shared" si="46"/>
        <v>N</v>
      </c>
      <c r="N381" t="str">
        <f t="shared" si="47"/>
        <v>N</v>
      </c>
      <c r="O381">
        <f t="shared" si="48"/>
        <v>7</v>
      </c>
      <c r="P381" s="6">
        <f t="shared" si="49"/>
        <v>0.82560975609756093</v>
      </c>
      <c r="Q381" s="6">
        <f t="shared" si="50"/>
        <v>5.9084194977843431E-3</v>
      </c>
      <c r="R381">
        <f t="shared" si="51"/>
        <v>0</v>
      </c>
      <c r="S381">
        <f t="shared" si="52"/>
        <v>0</v>
      </c>
      <c r="T381" t="str">
        <f t="shared" si="53"/>
        <v>Apr-26</v>
      </c>
    </row>
    <row r="382" spans="1:20">
      <c r="A382" t="s">
        <v>720</v>
      </c>
      <c r="B382" t="s">
        <v>64</v>
      </c>
      <c r="C382" t="s">
        <v>12</v>
      </c>
      <c r="D382">
        <v>767</v>
      </c>
      <c r="E382" s="4">
        <v>46105</v>
      </c>
      <c r="F382" s="4">
        <v>46118</v>
      </c>
      <c r="G382" s="4">
        <v>46127</v>
      </c>
      <c r="H382">
        <v>776</v>
      </c>
      <c r="I382" t="s">
        <v>664</v>
      </c>
      <c r="J382">
        <v>17</v>
      </c>
      <c r="K382" t="s">
        <v>1563</v>
      </c>
      <c r="L382" t="str">
        <f t="shared" si="45"/>
        <v>N</v>
      </c>
      <c r="M382" t="str">
        <f t="shared" si="46"/>
        <v>Y</v>
      </c>
      <c r="N382" t="str">
        <f t="shared" si="47"/>
        <v>N</v>
      </c>
      <c r="O382">
        <f t="shared" si="48"/>
        <v>22</v>
      </c>
      <c r="P382" s="6">
        <f t="shared" si="49"/>
        <v>1.0117340286831813</v>
      </c>
      <c r="Q382" s="6">
        <f t="shared" si="50"/>
        <v>2.1907216494845359E-2</v>
      </c>
      <c r="R382">
        <f t="shared" si="51"/>
        <v>0</v>
      </c>
      <c r="S382">
        <f t="shared" si="52"/>
        <v>9</v>
      </c>
      <c r="T382" t="str">
        <f t="shared" si="53"/>
        <v>Apr-26</v>
      </c>
    </row>
    <row r="383" spans="1:20">
      <c r="A383" t="s">
        <v>721</v>
      </c>
      <c r="B383" t="s">
        <v>49</v>
      </c>
      <c r="C383" t="s">
        <v>16</v>
      </c>
      <c r="D383">
        <v>571</v>
      </c>
      <c r="E383" s="4">
        <v>46035</v>
      </c>
      <c r="F383" s="4">
        <v>46049</v>
      </c>
      <c r="G383" s="4">
        <v>46047</v>
      </c>
      <c r="H383">
        <v>525</v>
      </c>
      <c r="I383" t="s">
        <v>722</v>
      </c>
      <c r="J383">
        <v>1</v>
      </c>
      <c r="K383" t="s">
        <v>1563</v>
      </c>
      <c r="L383" t="str">
        <f t="shared" si="45"/>
        <v>Y</v>
      </c>
      <c r="M383" t="str">
        <f t="shared" si="46"/>
        <v>N</v>
      </c>
      <c r="N383" t="str">
        <f t="shared" si="47"/>
        <v>N</v>
      </c>
      <c r="O383">
        <f t="shared" si="48"/>
        <v>12</v>
      </c>
      <c r="P383" s="6">
        <f t="shared" si="49"/>
        <v>0.91943957968476353</v>
      </c>
      <c r="Q383" s="6">
        <f t="shared" si="50"/>
        <v>1.9047619047619048E-3</v>
      </c>
      <c r="R383">
        <f t="shared" si="51"/>
        <v>0</v>
      </c>
      <c r="S383">
        <f t="shared" si="52"/>
        <v>0</v>
      </c>
      <c r="T383" t="str">
        <f t="shared" si="53"/>
        <v>Jan-26</v>
      </c>
    </row>
    <row r="384" spans="1:20">
      <c r="A384" t="s">
        <v>723</v>
      </c>
      <c r="B384" t="s">
        <v>49</v>
      </c>
      <c r="C384" t="s">
        <v>16</v>
      </c>
      <c r="D384">
        <v>411</v>
      </c>
      <c r="E384" s="4">
        <v>46056</v>
      </c>
      <c r="F384" s="4">
        <v>46071</v>
      </c>
      <c r="G384" s="4">
        <v>46070</v>
      </c>
      <c r="H384">
        <v>414</v>
      </c>
      <c r="I384" t="s">
        <v>395</v>
      </c>
      <c r="J384">
        <v>6</v>
      </c>
      <c r="K384" t="s">
        <v>1563</v>
      </c>
      <c r="L384" t="str">
        <f t="shared" si="45"/>
        <v>Y</v>
      </c>
      <c r="M384" t="str">
        <f t="shared" si="46"/>
        <v>Y</v>
      </c>
      <c r="N384" t="str">
        <f t="shared" si="47"/>
        <v>Y</v>
      </c>
      <c r="O384">
        <f t="shared" si="48"/>
        <v>14</v>
      </c>
      <c r="P384" s="6">
        <f t="shared" si="49"/>
        <v>1.0072992700729928</v>
      </c>
      <c r="Q384" s="6">
        <f t="shared" si="50"/>
        <v>1.4492753623188406E-2</v>
      </c>
      <c r="R384">
        <f t="shared" si="51"/>
        <v>1</v>
      </c>
      <c r="S384">
        <f t="shared" si="52"/>
        <v>0</v>
      </c>
      <c r="T384" t="str">
        <f t="shared" si="53"/>
        <v>Feb-26</v>
      </c>
    </row>
    <row r="385" spans="1:20">
      <c r="A385" t="s">
        <v>724</v>
      </c>
      <c r="B385" t="s">
        <v>26</v>
      </c>
      <c r="C385" t="s">
        <v>12</v>
      </c>
      <c r="D385">
        <v>233</v>
      </c>
      <c r="E385" s="4">
        <v>46035</v>
      </c>
      <c r="F385" s="4">
        <v>46048</v>
      </c>
      <c r="G385" s="4">
        <v>46048</v>
      </c>
      <c r="H385">
        <v>208</v>
      </c>
      <c r="I385" t="s">
        <v>670</v>
      </c>
      <c r="J385">
        <v>5</v>
      </c>
      <c r="K385" t="s">
        <v>1563</v>
      </c>
      <c r="L385" t="str">
        <f t="shared" si="45"/>
        <v>Y</v>
      </c>
      <c r="M385" t="str">
        <f t="shared" si="46"/>
        <v>N</v>
      </c>
      <c r="N385" t="str">
        <f t="shared" si="47"/>
        <v>N</v>
      </c>
      <c r="O385">
        <f t="shared" si="48"/>
        <v>13</v>
      </c>
      <c r="P385" s="6">
        <f t="shared" si="49"/>
        <v>0.89270386266094426</v>
      </c>
      <c r="Q385" s="6">
        <f t="shared" si="50"/>
        <v>2.403846153846154E-2</v>
      </c>
      <c r="R385">
        <f t="shared" si="51"/>
        <v>0</v>
      </c>
      <c r="S385">
        <f t="shared" si="52"/>
        <v>0</v>
      </c>
      <c r="T385" t="str">
        <f t="shared" si="53"/>
        <v>Jan-26</v>
      </c>
    </row>
    <row r="386" spans="1:20">
      <c r="A386" t="s">
        <v>725</v>
      </c>
      <c r="B386" t="s">
        <v>67</v>
      </c>
      <c r="C386" t="s">
        <v>23</v>
      </c>
      <c r="D386">
        <v>93</v>
      </c>
      <c r="E386" s="4">
        <v>46145</v>
      </c>
      <c r="F386" s="4">
        <v>46159</v>
      </c>
      <c r="G386" s="4">
        <v>46159</v>
      </c>
      <c r="H386">
        <v>93</v>
      </c>
      <c r="I386" t="s">
        <v>726</v>
      </c>
      <c r="J386">
        <v>0</v>
      </c>
      <c r="K386" t="s">
        <v>1563</v>
      </c>
      <c r="L386" t="str">
        <f t="shared" ref="L386:L449" si="54">IF(G386="","N/A",IF(G386&lt;=F386,"Y","N"))</f>
        <v>Y</v>
      </c>
      <c r="M386" t="str">
        <f t="shared" ref="M386:M449" si="55">IF(H386="","N/A",IF(H386&gt;=D386*0.98,"Y","N"))</f>
        <v>Y</v>
      </c>
      <c r="N386" t="str">
        <f t="shared" ref="N386:N449" si="56">IF(OR(L386="N/A",M386="N/A"),"N/A",IF(AND(L386="Y",M386="Y"),"Y","N"))</f>
        <v>Y</v>
      </c>
      <c r="O386">
        <f t="shared" ref="O386:O449" si="57">IF(G386="","N/A",G386-E386)</f>
        <v>14</v>
      </c>
      <c r="P386" s="6">
        <f t="shared" ref="P386:P449" si="58">IF(H386="","N/A",H386/D386)</f>
        <v>1</v>
      </c>
      <c r="Q386" s="6">
        <f t="shared" ref="Q386:Q449" si="59">IF(H386="","N/A",IF(H386=0,0,J386/H386))</f>
        <v>0</v>
      </c>
      <c r="R386">
        <f t="shared" ref="R386:R449" si="60">IF(N386="Y",1,IF(N386="N",0,""))</f>
        <v>1</v>
      </c>
      <c r="S386">
        <f t="shared" ref="S386:S449" si="61">IF(G386="","N/A",MAX(G386-F386,0))</f>
        <v>0</v>
      </c>
      <c r="T386" t="str">
        <f t="shared" ref="T386:T449" si="62">IF(G386="","N/A",TEXT(G386,"mmm-yy"))</f>
        <v>May-26</v>
      </c>
    </row>
    <row r="387" spans="1:20">
      <c r="A387" t="s">
        <v>727</v>
      </c>
      <c r="B387" t="s">
        <v>40</v>
      </c>
      <c r="C387" t="s">
        <v>23</v>
      </c>
      <c r="D387">
        <v>961</v>
      </c>
      <c r="E387" s="4">
        <v>46060</v>
      </c>
      <c r="F387" s="4">
        <v>46071</v>
      </c>
      <c r="G387" s="4">
        <v>46079</v>
      </c>
      <c r="H387">
        <v>945</v>
      </c>
      <c r="I387" t="s">
        <v>728</v>
      </c>
      <c r="J387">
        <v>42</v>
      </c>
      <c r="K387" t="s">
        <v>1563</v>
      </c>
      <c r="L387" t="str">
        <f t="shared" si="54"/>
        <v>N</v>
      </c>
      <c r="M387" t="str">
        <f t="shared" si="55"/>
        <v>Y</v>
      </c>
      <c r="N387" t="str">
        <f t="shared" si="56"/>
        <v>N</v>
      </c>
      <c r="O387">
        <f t="shared" si="57"/>
        <v>19</v>
      </c>
      <c r="P387" s="6">
        <f t="shared" si="58"/>
        <v>0.98335067637877216</v>
      </c>
      <c r="Q387" s="6">
        <f t="shared" si="59"/>
        <v>4.4444444444444446E-2</v>
      </c>
      <c r="R387">
        <f t="shared" si="60"/>
        <v>0</v>
      </c>
      <c r="S387">
        <f t="shared" si="61"/>
        <v>8</v>
      </c>
      <c r="T387" t="str">
        <f t="shared" si="62"/>
        <v>Feb-26</v>
      </c>
    </row>
    <row r="388" spans="1:20">
      <c r="A388" t="s">
        <v>729</v>
      </c>
      <c r="B388" t="s">
        <v>177</v>
      </c>
      <c r="C388" t="s">
        <v>16</v>
      </c>
      <c r="D388">
        <v>125</v>
      </c>
      <c r="E388" s="4">
        <v>46052</v>
      </c>
      <c r="F388" s="4">
        <v>46064</v>
      </c>
      <c r="G388" s="4">
        <v>46062</v>
      </c>
      <c r="H388">
        <v>127</v>
      </c>
      <c r="I388" t="s">
        <v>235</v>
      </c>
      <c r="J388">
        <v>1</v>
      </c>
      <c r="K388" t="s">
        <v>1563</v>
      </c>
      <c r="L388" t="str">
        <f t="shared" si="54"/>
        <v>Y</v>
      </c>
      <c r="M388" t="str">
        <f t="shared" si="55"/>
        <v>Y</v>
      </c>
      <c r="N388" t="str">
        <f t="shared" si="56"/>
        <v>Y</v>
      </c>
      <c r="O388">
        <f t="shared" si="57"/>
        <v>10</v>
      </c>
      <c r="P388" s="6">
        <f t="shared" si="58"/>
        <v>1.016</v>
      </c>
      <c r="Q388" s="6">
        <f t="shared" si="59"/>
        <v>7.874015748031496E-3</v>
      </c>
      <c r="R388">
        <f t="shared" si="60"/>
        <v>1</v>
      </c>
      <c r="S388">
        <f t="shared" si="61"/>
        <v>0</v>
      </c>
      <c r="T388" t="str">
        <f t="shared" si="62"/>
        <v>Feb-26</v>
      </c>
    </row>
    <row r="389" spans="1:20">
      <c r="A389" t="s">
        <v>730</v>
      </c>
      <c r="B389" t="s">
        <v>46</v>
      </c>
      <c r="C389" t="s">
        <v>12</v>
      </c>
      <c r="D389">
        <v>653</v>
      </c>
      <c r="E389" s="4">
        <v>46084</v>
      </c>
      <c r="F389" s="4">
        <v>46097</v>
      </c>
      <c r="G389" s="4">
        <v>46094</v>
      </c>
      <c r="H389">
        <v>652</v>
      </c>
      <c r="I389" t="s">
        <v>731</v>
      </c>
      <c r="J389">
        <v>18</v>
      </c>
      <c r="K389" t="s">
        <v>1563</v>
      </c>
      <c r="L389" t="str">
        <f t="shared" si="54"/>
        <v>Y</v>
      </c>
      <c r="M389" t="str">
        <f t="shared" si="55"/>
        <v>Y</v>
      </c>
      <c r="N389" t="str">
        <f t="shared" si="56"/>
        <v>Y</v>
      </c>
      <c r="O389">
        <f t="shared" si="57"/>
        <v>10</v>
      </c>
      <c r="P389" s="6">
        <f t="shared" si="58"/>
        <v>0.99846860643185298</v>
      </c>
      <c r="Q389" s="6">
        <f t="shared" si="59"/>
        <v>2.7607361963190184E-2</v>
      </c>
      <c r="R389">
        <f t="shared" si="60"/>
        <v>1</v>
      </c>
      <c r="S389">
        <f t="shared" si="61"/>
        <v>0</v>
      </c>
      <c r="T389" t="str">
        <f t="shared" si="62"/>
        <v>Mar-26</v>
      </c>
    </row>
    <row r="390" spans="1:20">
      <c r="A390" t="s">
        <v>732</v>
      </c>
      <c r="B390" t="s">
        <v>54</v>
      </c>
      <c r="C390" t="s">
        <v>16</v>
      </c>
      <c r="D390">
        <v>529</v>
      </c>
      <c r="E390" s="4">
        <v>46128</v>
      </c>
      <c r="F390" s="4">
        <v>46134</v>
      </c>
      <c r="G390" s="4">
        <v>46134</v>
      </c>
      <c r="H390">
        <v>523</v>
      </c>
      <c r="I390" t="s">
        <v>79</v>
      </c>
      <c r="J390">
        <v>4</v>
      </c>
      <c r="K390" t="s">
        <v>1563</v>
      </c>
      <c r="L390" t="str">
        <f t="shared" si="54"/>
        <v>Y</v>
      </c>
      <c r="M390" t="str">
        <f t="shared" si="55"/>
        <v>Y</v>
      </c>
      <c r="N390" t="str">
        <f t="shared" si="56"/>
        <v>Y</v>
      </c>
      <c r="O390">
        <f t="shared" si="57"/>
        <v>6</v>
      </c>
      <c r="P390" s="6">
        <f t="shared" si="58"/>
        <v>0.98865784499054821</v>
      </c>
      <c r="Q390" s="6">
        <f t="shared" si="59"/>
        <v>7.6481835564053535E-3</v>
      </c>
      <c r="R390">
        <f t="shared" si="60"/>
        <v>1</v>
      </c>
      <c r="S390">
        <f t="shared" si="61"/>
        <v>0</v>
      </c>
      <c r="T390" t="str">
        <f t="shared" si="62"/>
        <v>Apr-26</v>
      </c>
    </row>
    <row r="391" spans="1:20">
      <c r="A391" t="s">
        <v>733</v>
      </c>
      <c r="B391" t="s">
        <v>19</v>
      </c>
      <c r="C391" t="s">
        <v>12</v>
      </c>
      <c r="D391">
        <v>513</v>
      </c>
      <c r="E391" s="4">
        <v>46086</v>
      </c>
      <c r="F391" s="4">
        <v>46097</v>
      </c>
      <c r="G391" s="4">
        <v>46096</v>
      </c>
      <c r="H391">
        <v>504</v>
      </c>
      <c r="I391" t="s">
        <v>734</v>
      </c>
      <c r="J391">
        <v>18</v>
      </c>
      <c r="K391" t="s">
        <v>1563</v>
      </c>
      <c r="L391" t="str">
        <f t="shared" si="54"/>
        <v>Y</v>
      </c>
      <c r="M391" t="str">
        <f t="shared" si="55"/>
        <v>Y</v>
      </c>
      <c r="N391" t="str">
        <f t="shared" si="56"/>
        <v>Y</v>
      </c>
      <c r="O391">
        <f t="shared" si="57"/>
        <v>10</v>
      </c>
      <c r="P391" s="6">
        <f t="shared" si="58"/>
        <v>0.98245614035087714</v>
      </c>
      <c r="Q391" s="6">
        <f t="shared" si="59"/>
        <v>3.5714285714285712E-2</v>
      </c>
      <c r="R391">
        <f t="shared" si="60"/>
        <v>1</v>
      </c>
      <c r="S391">
        <f t="shared" si="61"/>
        <v>0</v>
      </c>
      <c r="T391" t="str">
        <f t="shared" si="62"/>
        <v>Mar-26</v>
      </c>
    </row>
    <row r="392" spans="1:20">
      <c r="A392" t="s">
        <v>735</v>
      </c>
      <c r="B392" t="s">
        <v>67</v>
      </c>
      <c r="C392" t="s">
        <v>16</v>
      </c>
      <c r="D392">
        <v>187</v>
      </c>
      <c r="E392" s="4">
        <v>46057</v>
      </c>
      <c r="F392" s="4">
        <v>46067</v>
      </c>
      <c r="G392" s="4">
        <v>46065</v>
      </c>
      <c r="H392">
        <v>189</v>
      </c>
      <c r="I392" t="s">
        <v>737</v>
      </c>
      <c r="J392">
        <v>1</v>
      </c>
      <c r="K392" t="s">
        <v>1563</v>
      </c>
      <c r="L392" t="str">
        <f t="shared" si="54"/>
        <v>Y</v>
      </c>
      <c r="M392" t="str">
        <f t="shared" si="55"/>
        <v>Y</v>
      </c>
      <c r="N392" t="str">
        <f t="shared" si="56"/>
        <v>Y</v>
      </c>
      <c r="O392">
        <f t="shared" si="57"/>
        <v>8</v>
      </c>
      <c r="P392" s="6">
        <f t="shared" si="58"/>
        <v>1.0106951871657754</v>
      </c>
      <c r="Q392" s="6">
        <f t="shared" si="59"/>
        <v>5.2910052910052907E-3</v>
      </c>
      <c r="R392">
        <f t="shared" si="60"/>
        <v>1</v>
      </c>
      <c r="S392">
        <f t="shared" si="61"/>
        <v>0</v>
      </c>
      <c r="T392" t="str">
        <f t="shared" si="62"/>
        <v>Feb-26</v>
      </c>
    </row>
    <row r="393" spans="1:20">
      <c r="A393" t="s">
        <v>738</v>
      </c>
      <c r="B393" t="s">
        <v>52</v>
      </c>
      <c r="C393" t="s">
        <v>23</v>
      </c>
      <c r="D393">
        <v>309</v>
      </c>
      <c r="E393" s="4">
        <v>46036</v>
      </c>
      <c r="F393" s="4">
        <v>46042</v>
      </c>
      <c r="G393" s="4">
        <v>46048</v>
      </c>
      <c r="H393">
        <v>306</v>
      </c>
      <c r="I393" t="s">
        <v>739</v>
      </c>
      <c r="J393">
        <v>4</v>
      </c>
      <c r="K393" t="s">
        <v>1563</v>
      </c>
      <c r="L393" t="str">
        <f t="shared" si="54"/>
        <v>N</v>
      </c>
      <c r="M393" t="str">
        <f t="shared" si="55"/>
        <v>Y</v>
      </c>
      <c r="N393" t="str">
        <f t="shared" si="56"/>
        <v>N</v>
      </c>
      <c r="O393">
        <f t="shared" si="57"/>
        <v>12</v>
      </c>
      <c r="P393" s="6">
        <f t="shared" si="58"/>
        <v>0.99029126213592233</v>
      </c>
      <c r="Q393" s="6">
        <f t="shared" si="59"/>
        <v>1.3071895424836602E-2</v>
      </c>
      <c r="R393">
        <f t="shared" si="60"/>
        <v>0</v>
      </c>
      <c r="S393">
        <f t="shared" si="61"/>
        <v>6</v>
      </c>
      <c r="T393" t="str">
        <f t="shared" si="62"/>
        <v>Jan-26</v>
      </c>
    </row>
    <row r="394" spans="1:20">
      <c r="A394" t="s">
        <v>740</v>
      </c>
      <c r="B394" t="s">
        <v>54</v>
      </c>
      <c r="C394" t="s">
        <v>12</v>
      </c>
      <c r="D394">
        <v>461</v>
      </c>
      <c r="E394" s="4">
        <v>46173</v>
      </c>
      <c r="F394" s="4">
        <v>46188</v>
      </c>
      <c r="G394" s="4">
        <v>46188</v>
      </c>
      <c r="H394">
        <v>465</v>
      </c>
      <c r="I394" t="s">
        <v>30</v>
      </c>
      <c r="J394">
        <v>1</v>
      </c>
      <c r="K394" t="s">
        <v>1563</v>
      </c>
      <c r="L394" t="str">
        <f t="shared" si="54"/>
        <v>Y</v>
      </c>
      <c r="M394" t="str">
        <f t="shared" si="55"/>
        <v>Y</v>
      </c>
      <c r="N394" t="str">
        <f t="shared" si="56"/>
        <v>Y</v>
      </c>
      <c r="O394">
        <f t="shared" si="57"/>
        <v>15</v>
      </c>
      <c r="P394" s="6">
        <f t="shared" si="58"/>
        <v>1.0086767895878526</v>
      </c>
      <c r="Q394" s="6">
        <f t="shared" si="59"/>
        <v>2.1505376344086021E-3</v>
      </c>
      <c r="R394">
        <f t="shared" si="60"/>
        <v>1</v>
      </c>
      <c r="S394">
        <f t="shared" si="61"/>
        <v>0</v>
      </c>
      <c r="T394" t="str">
        <f t="shared" si="62"/>
        <v>Jun-26</v>
      </c>
    </row>
    <row r="395" spans="1:20">
      <c r="A395" t="s">
        <v>741</v>
      </c>
      <c r="B395" t="s">
        <v>19</v>
      </c>
      <c r="C395" t="s">
        <v>23</v>
      </c>
      <c r="D395">
        <v>927</v>
      </c>
      <c r="E395" s="4">
        <v>46160</v>
      </c>
      <c r="F395" s="4">
        <v>46167</v>
      </c>
      <c r="G395" s="4">
        <v>46165</v>
      </c>
      <c r="H395">
        <v>805</v>
      </c>
      <c r="I395" t="s">
        <v>742</v>
      </c>
      <c r="J395">
        <v>8</v>
      </c>
      <c r="K395" t="s">
        <v>1563</v>
      </c>
      <c r="L395" t="str">
        <f t="shared" si="54"/>
        <v>Y</v>
      </c>
      <c r="M395" t="str">
        <f t="shared" si="55"/>
        <v>N</v>
      </c>
      <c r="N395" t="str">
        <f t="shared" si="56"/>
        <v>N</v>
      </c>
      <c r="O395">
        <f t="shared" si="57"/>
        <v>5</v>
      </c>
      <c r="P395" s="6">
        <f t="shared" si="58"/>
        <v>0.86839266450916941</v>
      </c>
      <c r="Q395" s="6">
        <f t="shared" si="59"/>
        <v>9.9378881987577643E-3</v>
      </c>
      <c r="R395">
        <f t="shared" si="60"/>
        <v>0</v>
      </c>
      <c r="S395">
        <f t="shared" si="61"/>
        <v>0</v>
      </c>
      <c r="T395" t="str">
        <f t="shared" si="62"/>
        <v>May-26</v>
      </c>
    </row>
    <row r="396" spans="1:20">
      <c r="A396" t="s">
        <v>743</v>
      </c>
      <c r="B396" t="s">
        <v>32</v>
      </c>
      <c r="C396" t="s">
        <v>16</v>
      </c>
      <c r="D396">
        <v>833</v>
      </c>
      <c r="E396" s="4">
        <v>46110</v>
      </c>
      <c r="F396" s="4">
        <v>46122</v>
      </c>
      <c r="G396" s="4">
        <v>46120</v>
      </c>
      <c r="H396">
        <v>844</v>
      </c>
      <c r="I396" t="s">
        <v>169</v>
      </c>
      <c r="J396">
        <v>50</v>
      </c>
      <c r="K396" t="s">
        <v>1563</v>
      </c>
      <c r="L396" t="str">
        <f t="shared" si="54"/>
        <v>Y</v>
      </c>
      <c r="M396" t="str">
        <f t="shared" si="55"/>
        <v>Y</v>
      </c>
      <c r="N396" t="str">
        <f t="shared" si="56"/>
        <v>Y</v>
      </c>
      <c r="O396">
        <f t="shared" si="57"/>
        <v>10</v>
      </c>
      <c r="P396" s="6">
        <f t="shared" si="58"/>
        <v>1.0132052821128452</v>
      </c>
      <c r="Q396" s="6">
        <f t="shared" si="59"/>
        <v>5.9241706161137442E-2</v>
      </c>
      <c r="R396">
        <f t="shared" si="60"/>
        <v>1</v>
      </c>
      <c r="S396">
        <f t="shared" si="61"/>
        <v>0</v>
      </c>
      <c r="T396" t="str">
        <f t="shared" si="62"/>
        <v>Apr-26</v>
      </c>
    </row>
    <row r="397" spans="1:20">
      <c r="A397" t="s">
        <v>744</v>
      </c>
      <c r="B397" t="s">
        <v>19</v>
      </c>
      <c r="C397" t="s">
        <v>23</v>
      </c>
      <c r="D397">
        <v>461</v>
      </c>
      <c r="E397" s="4">
        <v>46166</v>
      </c>
      <c r="F397" s="4">
        <v>46181</v>
      </c>
      <c r="G397" s="4">
        <v>46185</v>
      </c>
      <c r="H397">
        <v>467</v>
      </c>
      <c r="I397" t="s">
        <v>745</v>
      </c>
      <c r="J397">
        <v>5</v>
      </c>
      <c r="K397" t="s">
        <v>1563</v>
      </c>
      <c r="L397" t="str">
        <f t="shared" si="54"/>
        <v>N</v>
      </c>
      <c r="M397" t="str">
        <f t="shared" si="55"/>
        <v>Y</v>
      </c>
      <c r="N397" t="str">
        <f t="shared" si="56"/>
        <v>N</v>
      </c>
      <c r="O397">
        <f t="shared" si="57"/>
        <v>19</v>
      </c>
      <c r="P397" s="6">
        <f t="shared" si="58"/>
        <v>1.0130151843817787</v>
      </c>
      <c r="Q397" s="6">
        <f t="shared" si="59"/>
        <v>1.0706638115631691E-2</v>
      </c>
      <c r="R397">
        <f t="shared" si="60"/>
        <v>0</v>
      </c>
      <c r="S397">
        <f t="shared" si="61"/>
        <v>4</v>
      </c>
      <c r="T397" t="str">
        <f t="shared" si="62"/>
        <v>Jun-26</v>
      </c>
    </row>
    <row r="398" spans="1:20">
      <c r="A398" t="s">
        <v>746</v>
      </c>
      <c r="B398" t="s">
        <v>177</v>
      </c>
      <c r="C398" t="s">
        <v>16</v>
      </c>
      <c r="D398">
        <v>666</v>
      </c>
      <c r="E398" s="4">
        <v>46147</v>
      </c>
      <c r="F398" s="4">
        <v>46155</v>
      </c>
      <c r="G398" s="4">
        <v>46154</v>
      </c>
      <c r="H398">
        <v>676</v>
      </c>
      <c r="I398" t="s">
        <v>158</v>
      </c>
      <c r="J398">
        <v>37</v>
      </c>
      <c r="K398" t="s">
        <v>1563</v>
      </c>
      <c r="L398" t="str">
        <f t="shared" si="54"/>
        <v>Y</v>
      </c>
      <c r="M398" t="str">
        <f t="shared" si="55"/>
        <v>Y</v>
      </c>
      <c r="N398" t="str">
        <f t="shared" si="56"/>
        <v>Y</v>
      </c>
      <c r="O398">
        <f t="shared" si="57"/>
        <v>7</v>
      </c>
      <c r="P398" s="6">
        <f t="shared" si="58"/>
        <v>1.015015015015015</v>
      </c>
      <c r="Q398" s="6">
        <f t="shared" si="59"/>
        <v>5.473372781065089E-2</v>
      </c>
      <c r="R398">
        <f t="shared" si="60"/>
        <v>1</v>
      </c>
      <c r="S398">
        <f t="shared" si="61"/>
        <v>0</v>
      </c>
      <c r="T398" t="str">
        <f t="shared" si="62"/>
        <v>May-26</v>
      </c>
    </row>
    <row r="399" spans="1:20">
      <c r="A399" t="s">
        <v>747</v>
      </c>
      <c r="B399" t="s">
        <v>81</v>
      </c>
      <c r="C399" t="s">
        <v>23</v>
      </c>
      <c r="D399">
        <v>516</v>
      </c>
      <c r="E399" s="4">
        <v>46146</v>
      </c>
      <c r="F399" s="4">
        <v>46156</v>
      </c>
      <c r="G399" s="4">
        <v>46156</v>
      </c>
      <c r="H399">
        <v>417</v>
      </c>
      <c r="I399" t="s">
        <v>748</v>
      </c>
      <c r="J399">
        <v>4</v>
      </c>
      <c r="K399" t="s">
        <v>1563</v>
      </c>
      <c r="L399" t="str">
        <f t="shared" si="54"/>
        <v>Y</v>
      </c>
      <c r="M399" t="str">
        <f t="shared" si="55"/>
        <v>N</v>
      </c>
      <c r="N399" t="str">
        <f t="shared" si="56"/>
        <v>N</v>
      </c>
      <c r="O399">
        <f t="shared" si="57"/>
        <v>10</v>
      </c>
      <c r="P399" s="6">
        <f t="shared" si="58"/>
        <v>0.80813953488372092</v>
      </c>
      <c r="Q399" s="6">
        <f t="shared" si="59"/>
        <v>9.5923261390887284E-3</v>
      </c>
      <c r="R399">
        <f t="shared" si="60"/>
        <v>0</v>
      </c>
      <c r="S399">
        <f t="shared" si="61"/>
        <v>0</v>
      </c>
      <c r="T399" t="str">
        <f t="shared" si="62"/>
        <v>May-26</v>
      </c>
    </row>
    <row r="400" spans="1:20">
      <c r="A400" t="s">
        <v>749</v>
      </c>
      <c r="B400" t="s">
        <v>32</v>
      </c>
      <c r="C400" t="s">
        <v>12</v>
      </c>
      <c r="D400">
        <v>240</v>
      </c>
      <c r="E400" s="4">
        <v>46085</v>
      </c>
      <c r="F400" s="4">
        <v>46094</v>
      </c>
      <c r="G400" s="4">
        <v>46092</v>
      </c>
      <c r="H400">
        <v>239</v>
      </c>
      <c r="I400" t="s">
        <v>750</v>
      </c>
      <c r="J400">
        <v>9</v>
      </c>
      <c r="K400" t="s">
        <v>1563</v>
      </c>
      <c r="L400" t="str">
        <f t="shared" si="54"/>
        <v>Y</v>
      </c>
      <c r="M400" t="str">
        <f t="shared" si="55"/>
        <v>Y</v>
      </c>
      <c r="N400" t="str">
        <f t="shared" si="56"/>
        <v>Y</v>
      </c>
      <c r="O400">
        <f t="shared" si="57"/>
        <v>7</v>
      </c>
      <c r="P400" s="6">
        <f t="shared" si="58"/>
        <v>0.99583333333333335</v>
      </c>
      <c r="Q400" s="6">
        <f t="shared" si="59"/>
        <v>3.7656903765690378E-2</v>
      </c>
      <c r="R400">
        <f t="shared" si="60"/>
        <v>1</v>
      </c>
      <c r="S400">
        <f t="shared" si="61"/>
        <v>0</v>
      </c>
      <c r="T400" t="str">
        <f t="shared" si="62"/>
        <v>Mar-26</v>
      </c>
    </row>
    <row r="401" spans="1:20">
      <c r="A401" t="s">
        <v>751</v>
      </c>
      <c r="B401" t="s">
        <v>32</v>
      </c>
      <c r="C401" t="s">
        <v>16</v>
      </c>
      <c r="D401">
        <v>107</v>
      </c>
      <c r="E401" s="4">
        <v>46087</v>
      </c>
      <c r="F401" s="4">
        <v>46093</v>
      </c>
      <c r="G401" s="4">
        <v>46090</v>
      </c>
      <c r="H401">
        <v>107</v>
      </c>
      <c r="I401" t="s">
        <v>556</v>
      </c>
      <c r="J401">
        <v>5</v>
      </c>
      <c r="K401" t="s">
        <v>1563</v>
      </c>
      <c r="L401" t="str">
        <f t="shared" si="54"/>
        <v>Y</v>
      </c>
      <c r="M401" t="str">
        <f t="shared" si="55"/>
        <v>Y</v>
      </c>
      <c r="N401" t="str">
        <f t="shared" si="56"/>
        <v>Y</v>
      </c>
      <c r="O401">
        <f t="shared" si="57"/>
        <v>3</v>
      </c>
      <c r="P401" s="6">
        <f t="shared" si="58"/>
        <v>1</v>
      </c>
      <c r="Q401" s="6">
        <f t="shared" si="59"/>
        <v>4.6728971962616821E-2</v>
      </c>
      <c r="R401">
        <f t="shared" si="60"/>
        <v>1</v>
      </c>
      <c r="S401">
        <f t="shared" si="61"/>
        <v>0</v>
      </c>
      <c r="T401" t="str">
        <f t="shared" si="62"/>
        <v>Mar-26</v>
      </c>
    </row>
    <row r="402" spans="1:20">
      <c r="A402" t="s">
        <v>752</v>
      </c>
      <c r="B402" t="s">
        <v>177</v>
      </c>
      <c r="C402" t="s">
        <v>12</v>
      </c>
      <c r="D402">
        <v>630</v>
      </c>
      <c r="E402" s="4">
        <v>46037</v>
      </c>
      <c r="F402" s="4">
        <v>46051</v>
      </c>
      <c r="G402" s="4">
        <v>46051</v>
      </c>
      <c r="H402">
        <v>634</v>
      </c>
      <c r="I402" t="s">
        <v>753</v>
      </c>
      <c r="J402">
        <v>18</v>
      </c>
      <c r="K402" t="s">
        <v>1563</v>
      </c>
      <c r="L402" t="str">
        <f t="shared" si="54"/>
        <v>Y</v>
      </c>
      <c r="M402" t="str">
        <f t="shared" si="55"/>
        <v>Y</v>
      </c>
      <c r="N402" t="str">
        <f t="shared" si="56"/>
        <v>Y</v>
      </c>
      <c r="O402">
        <f t="shared" si="57"/>
        <v>14</v>
      </c>
      <c r="P402" s="6">
        <f t="shared" si="58"/>
        <v>1.0063492063492063</v>
      </c>
      <c r="Q402" s="6">
        <f t="shared" si="59"/>
        <v>2.8391167192429023E-2</v>
      </c>
      <c r="R402">
        <f t="shared" si="60"/>
        <v>1</v>
      </c>
      <c r="S402">
        <f t="shared" si="61"/>
        <v>0</v>
      </c>
      <c r="T402" t="str">
        <f t="shared" si="62"/>
        <v>Jan-26</v>
      </c>
    </row>
    <row r="403" spans="1:20">
      <c r="A403" t="s">
        <v>754</v>
      </c>
      <c r="B403" t="s">
        <v>11</v>
      </c>
      <c r="C403" t="s">
        <v>16</v>
      </c>
      <c r="D403">
        <v>476</v>
      </c>
      <c r="E403" s="4">
        <v>46058</v>
      </c>
      <c r="F403" s="4">
        <v>46067</v>
      </c>
      <c r="G403" s="4">
        <v>46065</v>
      </c>
      <c r="H403">
        <v>472</v>
      </c>
      <c r="I403" t="s">
        <v>253</v>
      </c>
      <c r="J403">
        <v>6</v>
      </c>
      <c r="K403" t="s">
        <v>1563</v>
      </c>
      <c r="L403" t="str">
        <f t="shared" si="54"/>
        <v>Y</v>
      </c>
      <c r="M403" t="str">
        <f t="shared" si="55"/>
        <v>Y</v>
      </c>
      <c r="N403" t="str">
        <f t="shared" si="56"/>
        <v>Y</v>
      </c>
      <c r="O403">
        <f t="shared" si="57"/>
        <v>7</v>
      </c>
      <c r="P403" s="6">
        <f t="shared" si="58"/>
        <v>0.99159663865546221</v>
      </c>
      <c r="Q403" s="6">
        <f t="shared" si="59"/>
        <v>1.2711864406779662E-2</v>
      </c>
      <c r="R403">
        <f t="shared" si="60"/>
        <v>1</v>
      </c>
      <c r="S403">
        <f t="shared" si="61"/>
        <v>0</v>
      </c>
      <c r="T403" t="str">
        <f t="shared" si="62"/>
        <v>Feb-26</v>
      </c>
    </row>
    <row r="404" spans="1:20">
      <c r="A404" t="s">
        <v>755</v>
      </c>
      <c r="B404" t="s">
        <v>81</v>
      </c>
      <c r="C404" t="s">
        <v>12</v>
      </c>
      <c r="D404">
        <v>436</v>
      </c>
      <c r="E404" s="4">
        <v>46135</v>
      </c>
      <c r="F404" s="4">
        <v>46143</v>
      </c>
      <c r="G404" s="4">
        <v>46147</v>
      </c>
      <c r="H404">
        <v>366</v>
      </c>
      <c r="I404" t="s">
        <v>191</v>
      </c>
      <c r="J404">
        <v>1</v>
      </c>
      <c r="K404" t="s">
        <v>1563</v>
      </c>
      <c r="L404" t="str">
        <f t="shared" si="54"/>
        <v>N</v>
      </c>
      <c r="M404" t="str">
        <f t="shared" si="55"/>
        <v>N</v>
      </c>
      <c r="N404" t="str">
        <f t="shared" si="56"/>
        <v>N</v>
      </c>
      <c r="O404">
        <f t="shared" si="57"/>
        <v>12</v>
      </c>
      <c r="P404" s="6">
        <f t="shared" si="58"/>
        <v>0.83944954128440363</v>
      </c>
      <c r="Q404" s="6">
        <f t="shared" si="59"/>
        <v>2.7322404371584699E-3</v>
      </c>
      <c r="R404">
        <f t="shared" si="60"/>
        <v>0</v>
      </c>
      <c r="S404">
        <f t="shared" si="61"/>
        <v>4</v>
      </c>
      <c r="T404" t="str">
        <f t="shared" si="62"/>
        <v>May-26</v>
      </c>
    </row>
    <row r="405" spans="1:20">
      <c r="A405" t="s">
        <v>756</v>
      </c>
      <c r="B405" t="s">
        <v>120</v>
      </c>
      <c r="C405" t="s">
        <v>16</v>
      </c>
      <c r="D405">
        <v>548</v>
      </c>
      <c r="E405" s="4">
        <v>46102</v>
      </c>
      <c r="F405" s="4">
        <v>46113</v>
      </c>
      <c r="G405" s="4">
        <v>46112</v>
      </c>
      <c r="H405">
        <v>538</v>
      </c>
      <c r="I405" t="s">
        <v>757</v>
      </c>
      <c r="J405">
        <v>15</v>
      </c>
      <c r="K405" t="s">
        <v>1563</v>
      </c>
      <c r="L405" t="str">
        <f t="shared" si="54"/>
        <v>Y</v>
      </c>
      <c r="M405" t="str">
        <f t="shared" si="55"/>
        <v>Y</v>
      </c>
      <c r="N405" t="str">
        <f t="shared" si="56"/>
        <v>Y</v>
      </c>
      <c r="O405">
        <f t="shared" si="57"/>
        <v>10</v>
      </c>
      <c r="P405" s="6">
        <f t="shared" si="58"/>
        <v>0.98175182481751821</v>
      </c>
      <c r="Q405" s="6">
        <f t="shared" si="59"/>
        <v>2.7881040892193308E-2</v>
      </c>
      <c r="R405">
        <f t="shared" si="60"/>
        <v>1</v>
      </c>
      <c r="S405">
        <f t="shared" si="61"/>
        <v>0</v>
      </c>
      <c r="T405" t="str">
        <f t="shared" si="62"/>
        <v>Mar-26</v>
      </c>
    </row>
    <row r="406" spans="1:20">
      <c r="A406" t="s">
        <v>758</v>
      </c>
      <c r="B406" t="s">
        <v>64</v>
      </c>
      <c r="C406" t="s">
        <v>16</v>
      </c>
      <c r="D406">
        <v>839</v>
      </c>
      <c r="E406" s="4">
        <v>46035</v>
      </c>
      <c r="F406" s="4">
        <v>46045</v>
      </c>
      <c r="G406" s="4">
        <v>46043</v>
      </c>
      <c r="H406">
        <v>824</v>
      </c>
      <c r="I406" t="s">
        <v>759</v>
      </c>
      <c r="J406">
        <v>52</v>
      </c>
      <c r="K406" t="s">
        <v>1563</v>
      </c>
      <c r="L406" t="str">
        <f t="shared" si="54"/>
        <v>Y</v>
      </c>
      <c r="M406" t="str">
        <f t="shared" si="55"/>
        <v>Y</v>
      </c>
      <c r="N406" t="str">
        <f t="shared" si="56"/>
        <v>Y</v>
      </c>
      <c r="O406">
        <f t="shared" si="57"/>
        <v>8</v>
      </c>
      <c r="P406" s="6">
        <f t="shared" si="58"/>
        <v>0.98212157330154948</v>
      </c>
      <c r="Q406" s="6">
        <f t="shared" si="59"/>
        <v>6.3106796116504854E-2</v>
      </c>
      <c r="R406">
        <f t="shared" si="60"/>
        <v>1</v>
      </c>
      <c r="S406">
        <f t="shared" si="61"/>
        <v>0</v>
      </c>
      <c r="T406" t="str">
        <f t="shared" si="62"/>
        <v>Jan-26</v>
      </c>
    </row>
    <row r="407" spans="1:20">
      <c r="A407" t="s">
        <v>760</v>
      </c>
      <c r="B407" t="s">
        <v>11</v>
      </c>
      <c r="C407" t="s">
        <v>16</v>
      </c>
      <c r="D407">
        <v>313</v>
      </c>
      <c r="E407" s="4">
        <v>46164</v>
      </c>
      <c r="F407" s="4">
        <v>46173</v>
      </c>
      <c r="G407" s="4">
        <v>46172</v>
      </c>
      <c r="H407">
        <v>314</v>
      </c>
      <c r="I407" t="s">
        <v>92</v>
      </c>
      <c r="J407">
        <v>6</v>
      </c>
      <c r="K407" t="s">
        <v>1563</v>
      </c>
      <c r="L407" t="str">
        <f t="shared" si="54"/>
        <v>Y</v>
      </c>
      <c r="M407" t="str">
        <f t="shared" si="55"/>
        <v>Y</v>
      </c>
      <c r="N407" t="str">
        <f t="shared" si="56"/>
        <v>Y</v>
      </c>
      <c r="O407">
        <f t="shared" si="57"/>
        <v>8</v>
      </c>
      <c r="P407" s="6">
        <f t="shared" si="58"/>
        <v>1.0031948881789137</v>
      </c>
      <c r="Q407" s="6">
        <f t="shared" si="59"/>
        <v>1.9108280254777069E-2</v>
      </c>
      <c r="R407">
        <f t="shared" si="60"/>
        <v>1</v>
      </c>
      <c r="S407">
        <f t="shared" si="61"/>
        <v>0</v>
      </c>
      <c r="T407" t="str">
        <f t="shared" si="62"/>
        <v>May-26</v>
      </c>
    </row>
    <row r="408" spans="1:20">
      <c r="A408" t="s">
        <v>761</v>
      </c>
      <c r="B408" t="s">
        <v>29</v>
      </c>
      <c r="C408" t="s">
        <v>23</v>
      </c>
      <c r="D408">
        <v>736</v>
      </c>
      <c r="E408" s="4">
        <v>46039</v>
      </c>
      <c r="F408" s="4">
        <v>46050</v>
      </c>
      <c r="G408" s="4">
        <v>46050</v>
      </c>
      <c r="H408">
        <v>751</v>
      </c>
      <c r="I408" t="s">
        <v>763</v>
      </c>
      <c r="J408">
        <v>4</v>
      </c>
      <c r="K408" t="s">
        <v>1563</v>
      </c>
      <c r="L408" t="str">
        <f t="shared" si="54"/>
        <v>Y</v>
      </c>
      <c r="M408" t="str">
        <f t="shared" si="55"/>
        <v>Y</v>
      </c>
      <c r="N408" t="str">
        <f t="shared" si="56"/>
        <v>Y</v>
      </c>
      <c r="O408">
        <f t="shared" si="57"/>
        <v>11</v>
      </c>
      <c r="P408" s="6">
        <f t="shared" si="58"/>
        <v>1.0203804347826086</v>
      </c>
      <c r="Q408" s="6">
        <f t="shared" si="59"/>
        <v>5.3262316910785623E-3</v>
      </c>
      <c r="R408">
        <f t="shared" si="60"/>
        <v>1</v>
      </c>
      <c r="S408">
        <f t="shared" si="61"/>
        <v>0</v>
      </c>
      <c r="T408" t="str">
        <f t="shared" si="62"/>
        <v>Jan-26</v>
      </c>
    </row>
    <row r="409" spans="1:20">
      <c r="A409" t="s">
        <v>764</v>
      </c>
      <c r="B409" t="s">
        <v>54</v>
      </c>
      <c r="C409" t="s">
        <v>23</v>
      </c>
      <c r="D409">
        <v>523</v>
      </c>
      <c r="E409" s="4">
        <v>46127</v>
      </c>
      <c r="F409" s="4">
        <v>46137</v>
      </c>
      <c r="G409" s="4">
        <v>46135</v>
      </c>
      <c r="H409">
        <v>530</v>
      </c>
      <c r="I409" t="s">
        <v>765</v>
      </c>
      <c r="J409">
        <v>7</v>
      </c>
      <c r="K409" t="s">
        <v>1563</v>
      </c>
      <c r="L409" t="str">
        <f t="shared" si="54"/>
        <v>Y</v>
      </c>
      <c r="M409" t="str">
        <f t="shared" si="55"/>
        <v>Y</v>
      </c>
      <c r="N409" t="str">
        <f t="shared" si="56"/>
        <v>Y</v>
      </c>
      <c r="O409">
        <f t="shared" si="57"/>
        <v>8</v>
      </c>
      <c r="P409" s="6">
        <f t="shared" si="58"/>
        <v>1.0133843212237095</v>
      </c>
      <c r="Q409" s="6">
        <f t="shared" si="59"/>
        <v>1.3207547169811321E-2</v>
      </c>
      <c r="R409">
        <f t="shared" si="60"/>
        <v>1</v>
      </c>
      <c r="S409">
        <f t="shared" si="61"/>
        <v>0</v>
      </c>
      <c r="T409" t="str">
        <f t="shared" si="62"/>
        <v>Apr-26</v>
      </c>
    </row>
    <row r="410" spans="1:20">
      <c r="A410" t="s">
        <v>766</v>
      </c>
      <c r="B410" t="s">
        <v>70</v>
      </c>
      <c r="C410" t="s">
        <v>16</v>
      </c>
      <c r="D410">
        <v>372</v>
      </c>
      <c r="E410" s="4">
        <v>46124</v>
      </c>
      <c r="F410" s="4">
        <v>46136</v>
      </c>
      <c r="G410" s="4">
        <v>46133</v>
      </c>
      <c r="H410">
        <v>368</v>
      </c>
      <c r="I410" t="s">
        <v>767</v>
      </c>
      <c r="J410">
        <v>2</v>
      </c>
      <c r="K410" t="s">
        <v>1563</v>
      </c>
      <c r="L410" t="str">
        <f t="shared" si="54"/>
        <v>Y</v>
      </c>
      <c r="M410" t="str">
        <f t="shared" si="55"/>
        <v>Y</v>
      </c>
      <c r="N410" t="str">
        <f t="shared" si="56"/>
        <v>Y</v>
      </c>
      <c r="O410">
        <f t="shared" si="57"/>
        <v>9</v>
      </c>
      <c r="P410" s="6">
        <f t="shared" si="58"/>
        <v>0.989247311827957</v>
      </c>
      <c r="Q410" s="6">
        <f t="shared" si="59"/>
        <v>5.434782608695652E-3</v>
      </c>
      <c r="R410">
        <f t="shared" si="60"/>
        <v>1</v>
      </c>
      <c r="S410">
        <f t="shared" si="61"/>
        <v>0</v>
      </c>
      <c r="T410" t="str">
        <f t="shared" si="62"/>
        <v>Apr-26</v>
      </c>
    </row>
    <row r="411" spans="1:20">
      <c r="A411" t="s">
        <v>768</v>
      </c>
      <c r="B411" t="s">
        <v>35</v>
      </c>
      <c r="C411" t="s">
        <v>16</v>
      </c>
      <c r="D411">
        <v>705</v>
      </c>
      <c r="E411" s="4">
        <v>46039</v>
      </c>
      <c r="F411" s="4">
        <v>46053</v>
      </c>
      <c r="G411" s="4">
        <v>46057</v>
      </c>
      <c r="H411">
        <v>695</v>
      </c>
      <c r="I411" t="s">
        <v>769</v>
      </c>
      <c r="J411">
        <v>21</v>
      </c>
      <c r="K411" t="s">
        <v>1563</v>
      </c>
      <c r="L411" t="str">
        <f t="shared" si="54"/>
        <v>N</v>
      </c>
      <c r="M411" t="str">
        <f t="shared" si="55"/>
        <v>Y</v>
      </c>
      <c r="N411" t="str">
        <f t="shared" si="56"/>
        <v>N</v>
      </c>
      <c r="O411">
        <f t="shared" si="57"/>
        <v>18</v>
      </c>
      <c r="P411" s="6">
        <f t="shared" si="58"/>
        <v>0.98581560283687941</v>
      </c>
      <c r="Q411" s="6">
        <f t="shared" si="59"/>
        <v>3.0215827338129497E-2</v>
      </c>
      <c r="R411">
        <f t="shared" si="60"/>
        <v>0</v>
      </c>
      <c r="S411">
        <f t="shared" si="61"/>
        <v>4</v>
      </c>
      <c r="T411" t="str">
        <f t="shared" si="62"/>
        <v>Feb-26</v>
      </c>
    </row>
    <row r="412" spans="1:20">
      <c r="A412" t="s">
        <v>770</v>
      </c>
      <c r="B412" t="s">
        <v>22</v>
      </c>
      <c r="C412" t="s">
        <v>23</v>
      </c>
      <c r="D412">
        <v>548</v>
      </c>
      <c r="E412" s="4">
        <v>46075</v>
      </c>
      <c r="F412" s="4">
        <v>46086</v>
      </c>
      <c r="G412" s="4">
        <v>46093</v>
      </c>
      <c r="H412">
        <v>444</v>
      </c>
      <c r="I412" t="s">
        <v>771</v>
      </c>
      <c r="J412">
        <v>33</v>
      </c>
      <c r="K412" t="s">
        <v>1563</v>
      </c>
      <c r="L412" t="str">
        <f t="shared" si="54"/>
        <v>N</v>
      </c>
      <c r="M412" t="str">
        <f t="shared" si="55"/>
        <v>N</v>
      </c>
      <c r="N412" t="str">
        <f t="shared" si="56"/>
        <v>N</v>
      </c>
      <c r="O412">
        <f t="shared" si="57"/>
        <v>18</v>
      </c>
      <c r="P412" s="6">
        <f t="shared" si="58"/>
        <v>0.81021897810218979</v>
      </c>
      <c r="Q412" s="6">
        <f t="shared" si="59"/>
        <v>7.4324324324324328E-2</v>
      </c>
      <c r="R412">
        <f t="shared" si="60"/>
        <v>0</v>
      </c>
      <c r="S412">
        <f t="shared" si="61"/>
        <v>7</v>
      </c>
      <c r="T412" t="str">
        <f t="shared" si="62"/>
        <v>Mar-26</v>
      </c>
    </row>
    <row r="413" spans="1:20">
      <c r="A413" t="s">
        <v>772</v>
      </c>
      <c r="B413" t="s">
        <v>120</v>
      </c>
      <c r="C413" t="s">
        <v>23</v>
      </c>
      <c r="D413">
        <v>781</v>
      </c>
      <c r="E413" s="4">
        <v>46085</v>
      </c>
      <c r="F413" s="4">
        <v>46094</v>
      </c>
      <c r="G413" s="4">
        <v>46093</v>
      </c>
      <c r="H413">
        <v>654</v>
      </c>
      <c r="I413" t="s">
        <v>773</v>
      </c>
      <c r="J413">
        <v>37</v>
      </c>
      <c r="K413" t="s">
        <v>1563</v>
      </c>
      <c r="L413" t="str">
        <f t="shared" si="54"/>
        <v>Y</v>
      </c>
      <c r="M413" t="str">
        <f t="shared" si="55"/>
        <v>N</v>
      </c>
      <c r="N413" t="str">
        <f t="shared" si="56"/>
        <v>N</v>
      </c>
      <c r="O413">
        <f t="shared" si="57"/>
        <v>8</v>
      </c>
      <c r="P413" s="6">
        <f t="shared" si="58"/>
        <v>0.83738796414852756</v>
      </c>
      <c r="Q413" s="6">
        <f t="shared" si="59"/>
        <v>5.657492354740061E-2</v>
      </c>
      <c r="R413">
        <f t="shared" si="60"/>
        <v>0</v>
      </c>
      <c r="S413">
        <f t="shared" si="61"/>
        <v>0</v>
      </c>
      <c r="T413" t="str">
        <f t="shared" si="62"/>
        <v>Mar-26</v>
      </c>
    </row>
    <row r="414" spans="1:20">
      <c r="A414" t="s">
        <v>774</v>
      </c>
      <c r="B414" t="s">
        <v>81</v>
      </c>
      <c r="C414" t="s">
        <v>16</v>
      </c>
      <c r="D414">
        <v>476</v>
      </c>
      <c r="E414" s="4">
        <v>46030</v>
      </c>
      <c r="F414" s="4">
        <v>46044</v>
      </c>
      <c r="G414" s="4">
        <v>46041</v>
      </c>
      <c r="H414">
        <v>485</v>
      </c>
      <c r="I414" t="s">
        <v>775</v>
      </c>
      <c r="J414">
        <v>6</v>
      </c>
      <c r="K414" t="s">
        <v>1563</v>
      </c>
      <c r="L414" t="str">
        <f t="shared" si="54"/>
        <v>Y</v>
      </c>
      <c r="M414" t="str">
        <f t="shared" si="55"/>
        <v>Y</v>
      </c>
      <c r="N414" t="str">
        <f t="shared" si="56"/>
        <v>Y</v>
      </c>
      <c r="O414">
        <f t="shared" si="57"/>
        <v>11</v>
      </c>
      <c r="P414" s="6">
        <f t="shared" si="58"/>
        <v>1.01890756302521</v>
      </c>
      <c r="Q414" s="6">
        <f t="shared" si="59"/>
        <v>1.2371134020618556E-2</v>
      </c>
      <c r="R414">
        <f t="shared" si="60"/>
        <v>1</v>
      </c>
      <c r="S414">
        <f t="shared" si="61"/>
        <v>0</v>
      </c>
      <c r="T414" t="str">
        <f t="shared" si="62"/>
        <v>Jan-26</v>
      </c>
    </row>
    <row r="415" spans="1:20">
      <c r="A415" t="s">
        <v>776</v>
      </c>
      <c r="B415" t="s">
        <v>35</v>
      </c>
      <c r="C415" t="s">
        <v>12</v>
      </c>
      <c r="D415">
        <v>81</v>
      </c>
      <c r="E415" s="4">
        <v>46042</v>
      </c>
      <c r="F415" s="4">
        <v>46053</v>
      </c>
      <c r="G415" s="4">
        <v>46052</v>
      </c>
      <c r="H415">
        <v>83</v>
      </c>
      <c r="I415" t="s">
        <v>212</v>
      </c>
      <c r="J415">
        <v>4</v>
      </c>
      <c r="K415" t="s">
        <v>1563</v>
      </c>
      <c r="L415" t="str">
        <f t="shared" si="54"/>
        <v>Y</v>
      </c>
      <c r="M415" t="str">
        <f t="shared" si="55"/>
        <v>Y</v>
      </c>
      <c r="N415" t="str">
        <f t="shared" si="56"/>
        <v>Y</v>
      </c>
      <c r="O415">
        <f t="shared" si="57"/>
        <v>10</v>
      </c>
      <c r="P415" s="6">
        <f t="shared" si="58"/>
        <v>1.0246913580246915</v>
      </c>
      <c r="Q415" s="6">
        <f t="shared" si="59"/>
        <v>4.8192771084337352E-2</v>
      </c>
      <c r="R415">
        <f t="shared" si="60"/>
        <v>1</v>
      </c>
      <c r="S415">
        <f t="shared" si="61"/>
        <v>0</v>
      </c>
      <c r="T415" t="str">
        <f t="shared" si="62"/>
        <v>Jan-26</v>
      </c>
    </row>
    <row r="416" spans="1:20">
      <c r="A416" t="s">
        <v>777</v>
      </c>
      <c r="B416" t="s">
        <v>70</v>
      </c>
      <c r="C416" t="s">
        <v>16</v>
      </c>
      <c r="D416">
        <v>632</v>
      </c>
      <c r="E416" s="4">
        <v>46133</v>
      </c>
      <c r="F416" s="4">
        <v>46148</v>
      </c>
      <c r="G416" s="4">
        <v>46148</v>
      </c>
      <c r="H416">
        <v>643</v>
      </c>
      <c r="I416" t="s">
        <v>426</v>
      </c>
      <c r="J416">
        <v>6</v>
      </c>
      <c r="K416" t="s">
        <v>1563</v>
      </c>
      <c r="L416" t="str">
        <f t="shared" si="54"/>
        <v>Y</v>
      </c>
      <c r="M416" t="str">
        <f t="shared" si="55"/>
        <v>Y</v>
      </c>
      <c r="N416" t="str">
        <f t="shared" si="56"/>
        <v>Y</v>
      </c>
      <c r="O416">
        <f t="shared" si="57"/>
        <v>15</v>
      </c>
      <c r="P416" s="6">
        <f t="shared" si="58"/>
        <v>1.0174050632911393</v>
      </c>
      <c r="Q416" s="6">
        <f t="shared" si="59"/>
        <v>9.3312597200622092E-3</v>
      </c>
      <c r="R416">
        <f t="shared" si="60"/>
        <v>1</v>
      </c>
      <c r="S416">
        <f t="shared" si="61"/>
        <v>0</v>
      </c>
      <c r="T416" t="str">
        <f t="shared" si="62"/>
        <v>May-26</v>
      </c>
    </row>
    <row r="417" spans="1:20">
      <c r="A417" t="s">
        <v>778</v>
      </c>
      <c r="B417" t="s">
        <v>81</v>
      </c>
      <c r="C417" t="s">
        <v>23</v>
      </c>
      <c r="D417">
        <v>218</v>
      </c>
      <c r="E417" s="4">
        <v>46041</v>
      </c>
      <c r="F417" s="4">
        <v>46048</v>
      </c>
      <c r="G417" s="4">
        <v>46057</v>
      </c>
      <c r="H417">
        <v>222</v>
      </c>
      <c r="I417" t="s">
        <v>779</v>
      </c>
      <c r="J417">
        <v>1</v>
      </c>
      <c r="K417" t="s">
        <v>1563</v>
      </c>
      <c r="L417" t="str">
        <f t="shared" si="54"/>
        <v>N</v>
      </c>
      <c r="M417" t="str">
        <f t="shared" si="55"/>
        <v>Y</v>
      </c>
      <c r="N417" t="str">
        <f t="shared" si="56"/>
        <v>N</v>
      </c>
      <c r="O417">
        <f t="shared" si="57"/>
        <v>16</v>
      </c>
      <c r="P417" s="6">
        <f t="shared" si="58"/>
        <v>1.0183486238532109</v>
      </c>
      <c r="Q417" s="6">
        <f t="shared" si="59"/>
        <v>4.5045045045045045E-3</v>
      </c>
      <c r="R417">
        <f t="shared" si="60"/>
        <v>0</v>
      </c>
      <c r="S417">
        <f t="shared" si="61"/>
        <v>9</v>
      </c>
      <c r="T417" t="str">
        <f t="shared" si="62"/>
        <v>Feb-26</v>
      </c>
    </row>
    <row r="418" spans="1:20">
      <c r="A418" t="s">
        <v>780</v>
      </c>
      <c r="B418" t="s">
        <v>46</v>
      </c>
      <c r="C418" t="s">
        <v>12</v>
      </c>
      <c r="D418">
        <v>248</v>
      </c>
      <c r="E418" s="4">
        <v>46104</v>
      </c>
      <c r="F418" s="4">
        <v>46117</v>
      </c>
      <c r="G418" s="4">
        <v>46116</v>
      </c>
      <c r="H418">
        <v>239</v>
      </c>
      <c r="I418" t="s">
        <v>183</v>
      </c>
      <c r="J418">
        <v>19</v>
      </c>
      <c r="K418" t="s">
        <v>1563</v>
      </c>
      <c r="L418" t="str">
        <f t="shared" si="54"/>
        <v>Y</v>
      </c>
      <c r="M418" t="str">
        <f t="shared" si="55"/>
        <v>N</v>
      </c>
      <c r="N418" t="str">
        <f t="shared" si="56"/>
        <v>N</v>
      </c>
      <c r="O418">
        <f t="shared" si="57"/>
        <v>12</v>
      </c>
      <c r="P418" s="6">
        <f t="shared" si="58"/>
        <v>0.96370967741935487</v>
      </c>
      <c r="Q418" s="6">
        <f t="shared" si="59"/>
        <v>7.9497907949790794E-2</v>
      </c>
      <c r="R418">
        <f t="shared" si="60"/>
        <v>0</v>
      </c>
      <c r="S418">
        <f t="shared" si="61"/>
        <v>0</v>
      </c>
      <c r="T418" t="str">
        <f t="shared" si="62"/>
        <v>Apr-26</v>
      </c>
    </row>
    <row r="419" spans="1:20">
      <c r="A419" t="s">
        <v>782</v>
      </c>
      <c r="B419" t="s">
        <v>67</v>
      </c>
      <c r="C419" t="s">
        <v>16</v>
      </c>
      <c r="D419">
        <v>354</v>
      </c>
      <c r="E419" s="4">
        <v>46157</v>
      </c>
      <c r="F419" s="4">
        <v>46171</v>
      </c>
      <c r="G419" s="4">
        <v>46171</v>
      </c>
      <c r="H419">
        <v>356</v>
      </c>
      <c r="I419" t="s">
        <v>783</v>
      </c>
      <c r="J419">
        <v>11</v>
      </c>
      <c r="K419" t="s">
        <v>1563</v>
      </c>
      <c r="L419" t="str">
        <f t="shared" si="54"/>
        <v>Y</v>
      </c>
      <c r="M419" t="str">
        <f t="shared" si="55"/>
        <v>Y</v>
      </c>
      <c r="N419" t="str">
        <f t="shared" si="56"/>
        <v>Y</v>
      </c>
      <c r="O419">
        <f t="shared" si="57"/>
        <v>14</v>
      </c>
      <c r="P419" s="6">
        <f t="shared" si="58"/>
        <v>1.0056497175141244</v>
      </c>
      <c r="Q419" s="6">
        <f t="shared" si="59"/>
        <v>3.0898876404494381E-2</v>
      </c>
      <c r="R419">
        <f t="shared" si="60"/>
        <v>1</v>
      </c>
      <c r="S419">
        <f t="shared" si="61"/>
        <v>0</v>
      </c>
      <c r="T419" t="str">
        <f t="shared" si="62"/>
        <v>May-26</v>
      </c>
    </row>
    <row r="420" spans="1:20">
      <c r="A420" t="s">
        <v>784</v>
      </c>
      <c r="B420" t="s">
        <v>19</v>
      </c>
      <c r="C420" t="s">
        <v>23</v>
      </c>
      <c r="D420">
        <v>916</v>
      </c>
      <c r="E420" s="4">
        <v>46048</v>
      </c>
      <c r="F420" s="4">
        <v>46054</v>
      </c>
      <c r="G420" s="4">
        <v>46051</v>
      </c>
      <c r="H420">
        <v>915</v>
      </c>
      <c r="I420" t="s">
        <v>785</v>
      </c>
      <c r="J420">
        <v>7</v>
      </c>
      <c r="K420" t="s">
        <v>1563</v>
      </c>
      <c r="L420" t="str">
        <f t="shared" si="54"/>
        <v>Y</v>
      </c>
      <c r="M420" t="str">
        <f t="shared" si="55"/>
        <v>Y</v>
      </c>
      <c r="N420" t="str">
        <f t="shared" si="56"/>
        <v>Y</v>
      </c>
      <c r="O420">
        <f t="shared" si="57"/>
        <v>3</v>
      </c>
      <c r="P420" s="6">
        <f t="shared" si="58"/>
        <v>0.99890829694323147</v>
      </c>
      <c r="Q420" s="6">
        <f t="shared" si="59"/>
        <v>7.6502732240437158E-3</v>
      </c>
      <c r="R420">
        <f t="shared" si="60"/>
        <v>1</v>
      </c>
      <c r="S420">
        <f t="shared" si="61"/>
        <v>0</v>
      </c>
      <c r="T420" t="str">
        <f t="shared" si="62"/>
        <v>Jan-26</v>
      </c>
    </row>
    <row r="421" spans="1:20">
      <c r="A421" t="s">
        <v>786</v>
      </c>
      <c r="B421" t="s">
        <v>22</v>
      </c>
      <c r="C421" t="s">
        <v>12</v>
      </c>
      <c r="D421">
        <v>813</v>
      </c>
      <c r="E421" s="4">
        <v>46113</v>
      </c>
      <c r="F421" s="4">
        <v>46118</v>
      </c>
      <c r="G421" s="4">
        <v>46116</v>
      </c>
      <c r="H421">
        <v>808</v>
      </c>
      <c r="I421" t="s">
        <v>204</v>
      </c>
      <c r="J421">
        <v>44</v>
      </c>
      <c r="K421" t="s">
        <v>1563</v>
      </c>
      <c r="L421" t="str">
        <f t="shared" si="54"/>
        <v>Y</v>
      </c>
      <c r="M421" t="str">
        <f t="shared" si="55"/>
        <v>Y</v>
      </c>
      <c r="N421" t="str">
        <f t="shared" si="56"/>
        <v>Y</v>
      </c>
      <c r="O421">
        <f t="shared" si="57"/>
        <v>3</v>
      </c>
      <c r="P421" s="6">
        <f t="shared" si="58"/>
        <v>0.99384993849938497</v>
      </c>
      <c r="Q421" s="6">
        <f t="shared" si="59"/>
        <v>5.4455445544554455E-2</v>
      </c>
      <c r="R421">
        <f t="shared" si="60"/>
        <v>1</v>
      </c>
      <c r="S421">
        <f t="shared" si="61"/>
        <v>0</v>
      </c>
      <c r="T421" t="str">
        <f t="shared" si="62"/>
        <v>Apr-26</v>
      </c>
    </row>
    <row r="422" spans="1:20">
      <c r="A422" t="s">
        <v>787</v>
      </c>
      <c r="B422" t="s">
        <v>19</v>
      </c>
      <c r="C422" t="s">
        <v>16</v>
      </c>
      <c r="D422">
        <v>185</v>
      </c>
      <c r="E422" s="4">
        <v>46056</v>
      </c>
      <c r="F422" s="4">
        <v>46067</v>
      </c>
      <c r="G422" s="4">
        <v>46064</v>
      </c>
      <c r="H422">
        <v>185</v>
      </c>
      <c r="I422" t="s">
        <v>788</v>
      </c>
      <c r="J422">
        <v>9</v>
      </c>
      <c r="K422" t="s">
        <v>1563</v>
      </c>
      <c r="L422" t="str">
        <f t="shared" si="54"/>
        <v>Y</v>
      </c>
      <c r="M422" t="str">
        <f t="shared" si="55"/>
        <v>Y</v>
      </c>
      <c r="N422" t="str">
        <f t="shared" si="56"/>
        <v>Y</v>
      </c>
      <c r="O422">
        <f t="shared" si="57"/>
        <v>8</v>
      </c>
      <c r="P422" s="6">
        <f t="shared" si="58"/>
        <v>1</v>
      </c>
      <c r="Q422" s="6">
        <f t="shared" si="59"/>
        <v>4.8648648648648651E-2</v>
      </c>
      <c r="R422">
        <f t="shared" si="60"/>
        <v>1</v>
      </c>
      <c r="S422">
        <f t="shared" si="61"/>
        <v>0</v>
      </c>
      <c r="T422" t="str">
        <f t="shared" si="62"/>
        <v>Feb-26</v>
      </c>
    </row>
    <row r="423" spans="1:20">
      <c r="A423" t="s">
        <v>789</v>
      </c>
      <c r="B423" t="s">
        <v>26</v>
      </c>
      <c r="C423" t="s">
        <v>12</v>
      </c>
      <c r="D423">
        <v>402</v>
      </c>
      <c r="E423" s="4">
        <v>46072</v>
      </c>
      <c r="F423" s="4">
        <v>46085</v>
      </c>
      <c r="G423" s="4">
        <v>46083</v>
      </c>
      <c r="H423">
        <v>399</v>
      </c>
      <c r="I423" t="s">
        <v>183</v>
      </c>
      <c r="J423">
        <v>5</v>
      </c>
      <c r="K423" t="s">
        <v>1563</v>
      </c>
      <c r="L423" t="str">
        <f t="shared" si="54"/>
        <v>Y</v>
      </c>
      <c r="M423" t="str">
        <f t="shared" si="55"/>
        <v>Y</v>
      </c>
      <c r="N423" t="str">
        <f t="shared" si="56"/>
        <v>Y</v>
      </c>
      <c r="O423">
        <f t="shared" si="57"/>
        <v>11</v>
      </c>
      <c r="P423" s="6">
        <f t="shared" si="58"/>
        <v>0.9925373134328358</v>
      </c>
      <c r="Q423" s="6">
        <f t="shared" si="59"/>
        <v>1.2531328320802004E-2</v>
      </c>
      <c r="R423">
        <f t="shared" si="60"/>
        <v>1</v>
      </c>
      <c r="S423">
        <f t="shared" si="61"/>
        <v>0</v>
      </c>
      <c r="T423" t="str">
        <f t="shared" si="62"/>
        <v>Mar-26</v>
      </c>
    </row>
    <row r="424" spans="1:20">
      <c r="A424" t="s">
        <v>790</v>
      </c>
      <c r="B424" t="s">
        <v>49</v>
      </c>
      <c r="C424" t="s">
        <v>12</v>
      </c>
      <c r="D424">
        <v>806</v>
      </c>
      <c r="E424" s="4">
        <v>46055</v>
      </c>
      <c r="F424" s="4">
        <v>46061</v>
      </c>
      <c r="G424" s="4">
        <v>46059</v>
      </c>
      <c r="H424">
        <v>794</v>
      </c>
      <c r="I424" t="s">
        <v>700</v>
      </c>
      <c r="J424">
        <v>7</v>
      </c>
      <c r="K424" t="s">
        <v>1563</v>
      </c>
      <c r="L424" t="str">
        <f t="shared" si="54"/>
        <v>Y</v>
      </c>
      <c r="M424" t="str">
        <f t="shared" si="55"/>
        <v>Y</v>
      </c>
      <c r="N424" t="str">
        <f t="shared" si="56"/>
        <v>Y</v>
      </c>
      <c r="O424">
        <f t="shared" si="57"/>
        <v>4</v>
      </c>
      <c r="P424" s="6">
        <f t="shared" si="58"/>
        <v>0.98511166253101734</v>
      </c>
      <c r="Q424" s="6">
        <f t="shared" si="59"/>
        <v>8.8161209068010078E-3</v>
      </c>
      <c r="R424">
        <f t="shared" si="60"/>
        <v>1</v>
      </c>
      <c r="S424">
        <f t="shared" si="61"/>
        <v>0</v>
      </c>
      <c r="T424" t="str">
        <f t="shared" si="62"/>
        <v>Feb-26</v>
      </c>
    </row>
    <row r="425" spans="1:20">
      <c r="A425" t="s">
        <v>791</v>
      </c>
      <c r="B425" t="s">
        <v>40</v>
      </c>
      <c r="C425" t="s">
        <v>16</v>
      </c>
      <c r="D425">
        <v>641</v>
      </c>
      <c r="E425" s="4">
        <v>46046</v>
      </c>
      <c r="F425" s="4">
        <v>46058</v>
      </c>
      <c r="G425" s="4">
        <v>46058</v>
      </c>
      <c r="H425">
        <v>629</v>
      </c>
      <c r="I425" t="s">
        <v>792</v>
      </c>
      <c r="J425">
        <v>24</v>
      </c>
      <c r="K425" t="s">
        <v>1563</v>
      </c>
      <c r="L425" t="str">
        <f t="shared" si="54"/>
        <v>Y</v>
      </c>
      <c r="M425" t="str">
        <f t="shared" si="55"/>
        <v>Y</v>
      </c>
      <c r="N425" t="str">
        <f t="shared" si="56"/>
        <v>Y</v>
      </c>
      <c r="O425">
        <f t="shared" si="57"/>
        <v>12</v>
      </c>
      <c r="P425" s="6">
        <f t="shared" si="58"/>
        <v>0.98127925117004677</v>
      </c>
      <c r="Q425" s="6">
        <f t="shared" si="59"/>
        <v>3.8155802861685212E-2</v>
      </c>
      <c r="R425">
        <f t="shared" si="60"/>
        <v>1</v>
      </c>
      <c r="S425">
        <f t="shared" si="61"/>
        <v>0</v>
      </c>
      <c r="T425" t="str">
        <f t="shared" si="62"/>
        <v>Feb-26</v>
      </c>
    </row>
    <row r="426" spans="1:20">
      <c r="A426" t="s">
        <v>793</v>
      </c>
      <c r="B426" t="s">
        <v>43</v>
      </c>
      <c r="C426" t="s">
        <v>23</v>
      </c>
      <c r="D426">
        <v>880</v>
      </c>
      <c r="E426" s="4">
        <v>46132</v>
      </c>
      <c r="F426" s="4">
        <v>46145</v>
      </c>
      <c r="G426" s="4">
        <v>46144</v>
      </c>
      <c r="H426">
        <v>887</v>
      </c>
      <c r="I426" t="s">
        <v>512</v>
      </c>
      <c r="J426">
        <v>46</v>
      </c>
      <c r="K426" t="s">
        <v>1563</v>
      </c>
      <c r="L426" t="str">
        <f t="shared" si="54"/>
        <v>Y</v>
      </c>
      <c r="M426" t="str">
        <f t="shared" si="55"/>
        <v>Y</v>
      </c>
      <c r="N426" t="str">
        <f t="shared" si="56"/>
        <v>Y</v>
      </c>
      <c r="O426">
        <f t="shared" si="57"/>
        <v>12</v>
      </c>
      <c r="P426" s="6">
        <f t="shared" si="58"/>
        <v>1.0079545454545455</v>
      </c>
      <c r="Q426" s="6">
        <f t="shared" si="59"/>
        <v>5.1860202931228859E-2</v>
      </c>
      <c r="R426">
        <f t="shared" si="60"/>
        <v>1</v>
      </c>
      <c r="S426">
        <f t="shared" si="61"/>
        <v>0</v>
      </c>
      <c r="T426" t="str">
        <f t="shared" si="62"/>
        <v>May-26</v>
      </c>
    </row>
    <row r="427" spans="1:20">
      <c r="A427" t="s">
        <v>794</v>
      </c>
      <c r="B427" t="s">
        <v>64</v>
      </c>
      <c r="C427" t="s">
        <v>16</v>
      </c>
      <c r="D427">
        <v>917</v>
      </c>
      <c r="E427" s="4">
        <v>46027</v>
      </c>
      <c r="F427" s="4">
        <v>46034</v>
      </c>
      <c r="G427" s="4">
        <v>46039</v>
      </c>
      <c r="H427">
        <v>919</v>
      </c>
      <c r="I427" t="s">
        <v>795</v>
      </c>
      <c r="J427">
        <v>48</v>
      </c>
      <c r="K427" t="s">
        <v>1563</v>
      </c>
      <c r="L427" t="str">
        <f t="shared" si="54"/>
        <v>N</v>
      </c>
      <c r="M427" t="str">
        <f t="shared" si="55"/>
        <v>Y</v>
      </c>
      <c r="N427" t="str">
        <f t="shared" si="56"/>
        <v>N</v>
      </c>
      <c r="O427">
        <f t="shared" si="57"/>
        <v>12</v>
      </c>
      <c r="P427" s="6">
        <f t="shared" si="58"/>
        <v>1.0021810250817884</v>
      </c>
      <c r="Q427" s="6">
        <f t="shared" si="59"/>
        <v>5.2230685527747553E-2</v>
      </c>
      <c r="R427">
        <f t="shared" si="60"/>
        <v>0</v>
      </c>
      <c r="S427">
        <f t="shared" si="61"/>
        <v>5</v>
      </c>
      <c r="T427" t="str">
        <f t="shared" si="62"/>
        <v>Jan-26</v>
      </c>
    </row>
    <row r="428" spans="1:20">
      <c r="A428" t="s">
        <v>796</v>
      </c>
      <c r="B428" t="s">
        <v>29</v>
      </c>
      <c r="C428" t="s">
        <v>16</v>
      </c>
      <c r="D428">
        <v>136</v>
      </c>
      <c r="E428" s="4">
        <v>46049</v>
      </c>
      <c r="F428" s="4">
        <v>46055</v>
      </c>
      <c r="G428" s="4">
        <v>46062</v>
      </c>
      <c r="H428">
        <v>110</v>
      </c>
      <c r="I428" t="s">
        <v>452</v>
      </c>
      <c r="J428">
        <v>1</v>
      </c>
      <c r="K428" t="s">
        <v>1563</v>
      </c>
      <c r="L428" t="str">
        <f t="shared" si="54"/>
        <v>N</v>
      </c>
      <c r="M428" t="str">
        <f t="shared" si="55"/>
        <v>N</v>
      </c>
      <c r="N428" t="str">
        <f t="shared" si="56"/>
        <v>N</v>
      </c>
      <c r="O428">
        <f t="shared" si="57"/>
        <v>13</v>
      </c>
      <c r="P428" s="6">
        <f t="shared" si="58"/>
        <v>0.80882352941176472</v>
      </c>
      <c r="Q428" s="6">
        <f t="shared" si="59"/>
        <v>9.0909090909090905E-3</v>
      </c>
      <c r="R428">
        <f t="shared" si="60"/>
        <v>0</v>
      </c>
      <c r="S428">
        <f t="shared" si="61"/>
        <v>7</v>
      </c>
      <c r="T428" t="str">
        <f t="shared" si="62"/>
        <v>Feb-26</v>
      </c>
    </row>
    <row r="429" spans="1:20">
      <c r="A429" t="s">
        <v>797</v>
      </c>
      <c r="B429" t="s">
        <v>120</v>
      </c>
      <c r="C429" t="s">
        <v>16</v>
      </c>
      <c r="D429">
        <v>907</v>
      </c>
      <c r="E429" s="4">
        <v>46055</v>
      </c>
      <c r="F429" s="4">
        <v>46066</v>
      </c>
      <c r="G429" s="4">
        <v>46066</v>
      </c>
      <c r="H429">
        <v>765</v>
      </c>
      <c r="I429" t="s">
        <v>150</v>
      </c>
      <c r="J429">
        <v>24</v>
      </c>
      <c r="K429" t="s">
        <v>1563</v>
      </c>
      <c r="L429" t="str">
        <f t="shared" si="54"/>
        <v>Y</v>
      </c>
      <c r="M429" t="str">
        <f t="shared" si="55"/>
        <v>N</v>
      </c>
      <c r="N429" t="str">
        <f t="shared" si="56"/>
        <v>N</v>
      </c>
      <c r="O429">
        <f t="shared" si="57"/>
        <v>11</v>
      </c>
      <c r="P429" s="6">
        <f t="shared" si="58"/>
        <v>0.8434399117971334</v>
      </c>
      <c r="Q429" s="6">
        <f t="shared" si="59"/>
        <v>3.1372549019607843E-2</v>
      </c>
      <c r="R429">
        <f t="shared" si="60"/>
        <v>0</v>
      </c>
      <c r="S429">
        <f t="shared" si="61"/>
        <v>0</v>
      </c>
      <c r="T429" t="str">
        <f t="shared" si="62"/>
        <v>Feb-26</v>
      </c>
    </row>
    <row r="430" spans="1:20">
      <c r="A430" t="s">
        <v>798</v>
      </c>
      <c r="B430" t="s">
        <v>49</v>
      </c>
      <c r="C430" t="s">
        <v>12</v>
      </c>
      <c r="D430">
        <v>337</v>
      </c>
      <c r="E430" s="4">
        <v>46108</v>
      </c>
      <c r="F430" s="4">
        <v>46116</v>
      </c>
      <c r="G430" s="4">
        <v>46113</v>
      </c>
      <c r="H430">
        <v>333</v>
      </c>
      <c r="I430" t="s">
        <v>59</v>
      </c>
      <c r="J430">
        <v>0</v>
      </c>
      <c r="K430" t="s">
        <v>1563</v>
      </c>
      <c r="L430" t="str">
        <f t="shared" si="54"/>
        <v>Y</v>
      </c>
      <c r="M430" t="str">
        <f t="shared" si="55"/>
        <v>Y</v>
      </c>
      <c r="N430" t="str">
        <f t="shared" si="56"/>
        <v>Y</v>
      </c>
      <c r="O430">
        <f t="shared" si="57"/>
        <v>5</v>
      </c>
      <c r="P430" s="6">
        <f t="shared" si="58"/>
        <v>0.98813056379821962</v>
      </c>
      <c r="Q430" s="6">
        <f t="shared" si="59"/>
        <v>0</v>
      </c>
      <c r="R430">
        <f t="shared" si="60"/>
        <v>1</v>
      </c>
      <c r="S430">
        <f t="shared" si="61"/>
        <v>0</v>
      </c>
      <c r="T430" t="str">
        <f t="shared" si="62"/>
        <v>Apr-26</v>
      </c>
    </row>
    <row r="431" spans="1:20">
      <c r="A431" t="s">
        <v>799</v>
      </c>
      <c r="B431" t="s">
        <v>11</v>
      </c>
      <c r="C431" t="s">
        <v>16</v>
      </c>
      <c r="D431">
        <v>367</v>
      </c>
      <c r="E431" s="4">
        <v>46100</v>
      </c>
      <c r="F431" s="4">
        <v>46115</v>
      </c>
      <c r="G431" s="4">
        <v>46113</v>
      </c>
      <c r="H431">
        <v>368</v>
      </c>
      <c r="I431" t="s">
        <v>272</v>
      </c>
      <c r="J431">
        <v>1</v>
      </c>
      <c r="K431" t="s">
        <v>1563</v>
      </c>
      <c r="L431" t="str">
        <f t="shared" si="54"/>
        <v>Y</v>
      </c>
      <c r="M431" t="str">
        <f t="shared" si="55"/>
        <v>Y</v>
      </c>
      <c r="N431" t="str">
        <f t="shared" si="56"/>
        <v>Y</v>
      </c>
      <c r="O431">
        <f t="shared" si="57"/>
        <v>13</v>
      </c>
      <c r="P431" s="6">
        <f t="shared" si="58"/>
        <v>1.0027247956403269</v>
      </c>
      <c r="Q431" s="6">
        <f t="shared" si="59"/>
        <v>2.717391304347826E-3</v>
      </c>
      <c r="R431">
        <f t="shared" si="60"/>
        <v>1</v>
      </c>
      <c r="S431">
        <f t="shared" si="61"/>
        <v>0</v>
      </c>
      <c r="T431" t="str">
        <f t="shared" si="62"/>
        <v>Apr-26</v>
      </c>
    </row>
    <row r="432" spans="1:20">
      <c r="A432" t="s">
        <v>801</v>
      </c>
      <c r="B432" t="s">
        <v>22</v>
      </c>
      <c r="C432" t="s">
        <v>12</v>
      </c>
      <c r="D432">
        <v>883</v>
      </c>
      <c r="E432" s="4">
        <v>46123</v>
      </c>
      <c r="F432" s="4">
        <v>46138</v>
      </c>
      <c r="G432" s="4">
        <v>46136</v>
      </c>
      <c r="H432">
        <v>897</v>
      </c>
      <c r="I432" t="s">
        <v>30</v>
      </c>
      <c r="J432">
        <v>64</v>
      </c>
      <c r="K432" t="s">
        <v>1563</v>
      </c>
      <c r="L432" t="str">
        <f t="shared" si="54"/>
        <v>Y</v>
      </c>
      <c r="M432" t="str">
        <f t="shared" si="55"/>
        <v>Y</v>
      </c>
      <c r="N432" t="str">
        <f t="shared" si="56"/>
        <v>Y</v>
      </c>
      <c r="O432">
        <f t="shared" si="57"/>
        <v>13</v>
      </c>
      <c r="P432" s="6">
        <f t="shared" si="58"/>
        <v>1.0158550396375992</v>
      </c>
      <c r="Q432" s="6">
        <f t="shared" si="59"/>
        <v>7.1348940914158304E-2</v>
      </c>
      <c r="R432">
        <f t="shared" si="60"/>
        <v>1</v>
      </c>
      <c r="S432">
        <f t="shared" si="61"/>
        <v>0</v>
      </c>
      <c r="T432" t="str">
        <f t="shared" si="62"/>
        <v>Apr-26</v>
      </c>
    </row>
    <row r="433" spans="1:20">
      <c r="A433" t="s">
        <v>802</v>
      </c>
      <c r="B433" t="s">
        <v>26</v>
      </c>
      <c r="C433" t="s">
        <v>12</v>
      </c>
      <c r="D433">
        <v>962</v>
      </c>
      <c r="E433" s="4">
        <v>46064</v>
      </c>
      <c r="F433" s="4">
        <v>46071</v>
      </c>
      <c r="G433" s="4">
        <v>46068</v>
      </c>
      <c r="H433">
        <v>950</v>
      </c>
      <c r="I433" t="s">
        <v>682</v>
      </c>
      <c r="J433">
        <v>18</v>
      </c>
      <c r="K433" t="s">
        <v>1563</v>
      </c>
      <c r="L433" t="str">
        <f t="shared" si="54"/>
        <v>Y</v>
      </c>
      <c r="M433" t="str">
        <f t="shared" si="55"/>
        <v>Y</v>
      </c>
      <c r="N433" t="str">
        <f t="shared" si="56"/>
        <v>Y</v>
      </c>
      <c r="O433">
        <f t="shared" si="57"/>
        <v>4</v>
      </c>
      <c r="P433" s="6">
        <f t="shared" si="58"/>
        <v>0.98752598752598753</v>
      </c>
      <c r="Q433" s="6">
        <f t="shared" si="59"/>
        <v>1.8947368421052633E-2</v>
      </c>
      <c r="R433">
        <f t="shared" si="60"/>
        <v>1</v>
      </c>
      <c r="S433">
        <f t="shared" si="61"/>
        <v>0</v>
      </c>
      <c r="T433" t="str">
        <f t="shared" si="62"/>
        <v>Feb-26</v>
      </c>
    </row>
    <row r="434" spans="1:20">
      <c r="A434" t="s">
        <v>803</v>
      </c>
      <c r="B434" t="s">
        <v>100</v>
      </c>
      <c r="C434" t="s">
        <v>12</v>
      </c>
      <c r="D434">
        <v>743</v>
      </c>
      <c r="E434" s="4">
        <v>46150</v>
      </c>
      <c r="F434" s="4">
        <v>46157</v>
      </c>
      <c r="G434" s="4">
        <v>46156</v>
      </c>
      <c r="H434">
        <v>737</v>
      </c>
      <c r="I434" t="s">
        <v>505</v>
      </c>
      <c r="J434">
        <v>2</v>
      </c>
      <c r="K434" t="s">
        <v>1563</v>
      </c>
      <c r="L434" t="str">
        <f t="shared" si="54"/>
        <v>Y</v>
      </c>
      <c r="M434" t="str">
        <f t="shared" si="55"/>
        <v>Y</v>
      </c>
      <c r="N434" t="str">
        <f t="shared" si="56"/>
        <v>Y</v>
      </c>
      <c r="O434">
        <f t="shared" si="57"/>
        <v>6</v>
      </c>
      <c r="P434" s="6">
        <f t="shared" si="58"/>
        <v>0.99192462987886942</v>
      </c>
      <c r="Q434" s="6">
        <f t="shared" si="59"/>
        <v>2.7137042062415195E-3</v>
      </c>
      <c r="R434">
        <f t="shared" si="60"/>
        <v>1</v>
      </c>
      <c r="S434">
        <f t="shared" si="61"/>
        <v>0</v>
      </c>
      <c r="T434" t="str">
        <f t="shared" si="62"/>
        <v>May-26</v>
      </c>
    </row>
    <row r="435" spans="1:20">
      <c r="A435" t="s">
        <v>804</v>
      </c>
      <c r="B435" t="s">
        <v>35</v>
      </c>
      <c r="C435" t="s">
        <v>16</v>
      </c>
      <c r="D435">
        <v>844</v>
      </c>
      <c r="E435" s="4">
        <v>46061</v>
      </c>
      <c r="F435" s="4">
        <v>46073</v>
      </c>
      <c r="G435" s="4">
        <v>46077</v>
      </c>
      <c r="H435">
        <v>830</v>
      </c>
      <c r="I435" t="s">
        <v>805</v>
      </c>
      <c r="J435">
        <v>31</v>
      </c>
      <c r="K435" t="s">
        <v>1563</v>
      </c>
      <c r="L435" t="str">
        <f t="shared" si="54"/>
        <v>N</v>
      </c>
      <c r="M435" t="str">
        <f t="shared" si="55"/>
        <v>Y</v>
      </c>
      <c r="N435" t="str">
        <f t="shared" si="56"/>
        <v>N</v>
      </c>
      <c r="O435">
        <f t="shared" si="57"/>
        <v>16</v>
      </c>
      <c r="P435" s="6">
        <f t="shared" si="58"/>
        <v>0.98341232227488151</v>
      </c>
      <c r="Q435" s="6">
        <f t="shared" si="59"/>
        <v>3.7349397590361447E-2</v>
      </c>
      <c r="R435">
        <f t="shared" si="60"/>
        <v>0</v>
      </c>
      <c r="S435">
        <f t="shared" si="61"/>
        <v>4</v>
      </c>
      <c r="T435" t="str">
        <f t="shared" si="62"/>
        <v>Feb-26</v>
      </c>
    </row>
    <row r="436" spans="1:20">
      <c r="A436" t="s">
        <v>806</v>
      </c>
      <c r="B436" t="s">
        <v>26</v>
      </c>
      <c r="C436" t="s">
        <v>12</v>
      </c>
      <c r="D436">
        <v>508</v>
      </c>
      <c r="E436" s="4">
        <v>46170</v>
      </c>
      <c r="F436" s="4">
        <v>46178</v>
      </c>
      <c r="G436" s="4">
        <v>46178</v>
      </c>
      <c r="H436">
        <v>509</v>
      </c>
      <c r="I436" t="s">
        <v>807</v>
      </c>
      <c r="J436">
        <v>4</v>
      </c>
      <c r="K436" t="s">
        <v>1563</v>
      </c>
      <c r="L436" t="str">
        <f t="shared" si="54"/>
        <v>Y</v>
      </c>
      <c r="M436" t="str">
        <f t="shared" si="55"/>
        <v>Y</v>
      </c>
      <c r="N436" t="str">
        <f t="shared" si="56"/>
        <v>Y</v>
      </c>
      <c r="O436">
        <f t="shared" si="57"/>
        <v>8</v>
      </c>
      <c r="P436" s="6">
        <f t="shared" si="58"/>
        <v>1.0019685039370079</v>
      </c>
      <c r="Q436" s="6">
        <f t="shared" si="59"/>
        <v>7.8585461689587421E-3</v>
      </c>
      <c r="R436">
        <f t="shared" si="60"/>
        <v>1</v>
      </c>
      <c r="S436">
        <f t="shared" si="61"/>
        <v>0</v>
      </c>
      <c r="T436" t="str">
        <f t="shared" si="62"/>
        <v>Jun-26</v>
      </c>
    </row>
    <row r="437" spans="1:20">
      <c r="A437" t="s">
        <v>808</v>
      </c>
      <c r="B437" t="s">
        <v>120</v>
      </c>
      <c r="C437" t="s">
        <v>16</v>
      </c>
      <c r="D437">
        <v>84</v>
      </c>
      <c r="E437" s="4">
        <v>46157</v>
      </c>
      <c r="F437" s="4">
        <v>46162</v>
      </c>
      <c r="G437" s="4">
        <v>46161</v>
      </c>
      <c r="H437">
        <v>68</v>
      </c>
      <c r="I437" t="s">
        <v>467</v>
      </c>
      <c r="J437">
        <v>3</v>
      </c>
      <c r="K437" t="s">
        <v>1563</v>
      </c>
      <c r="L437" t="str">
        <f t="shared" si="54"/>
        <v>Y</v>
      </c>
      <c r="M437" t="str">
        <f t="shared" si="55"/>
        <v>N</v>
      </c>
      <c r="N437" t="str">
        <f t="shared" si="56"/>
        <v>N</v>
      </c>
      <c r="O437">
        <f t="shared" si="57"/>
        <v>4</v>
      </c>
      <c r="P437" s="6">
        <f t="shared" si="58"/>
        <v>0.80952380952380953</v>
      </c>
      <c r="Q437" s="6">
        <f t="shared" si="59"/>
        <v>4.4117647058823532E-2</v>
      </c>
      <c r="R437">
        <f t="shared" si="60"/>
        <v>0</v>
      </c>
      <c r="S437">
        <f t="shared" si="61"/>
        <v>0</v>
      </c>
      <c r="T437" t="str">
        <f t="shared" si="62"/>
        <v>May-26</v>
      </c>
    </row>
    <row r="438" spans="1:20">
      <c r="A438" t="s">
        <v>809</v>
      </c>
      <c r="B438" t="s">
        <v>22</v>
      </c>
      <c r="C438" t="s">
        <v>16</v>
      </c>
      <c r="D438">
        <v>84</v>
      </c>
      <c r="E438" s="4">
        <v>46173</v>
      </c>
      <c r="F438" s="4">
        <v>46182</v>
      </c>
      <c r="G438" s="4">
        <v>46188</v>
      </c>
      <c r="H438">
        <v>69</v>
      </c>
      <c r="I438" t="s">
        <v>810</v>
      </c>
      <c r="J438">
        <v>3</v>
      </c>
      <c r="K438" t="s">
        <v>1563</v>
      </c>
      <c r="L438" t="str">
        <f t="shared" si="54"/>
        <v>N</v>
      </c>
      <c r="M438" t="str">
        <f t="shared" si="55"/>
        <v>N</v>
      </c>
      <c r="N438" t="str">
        <f t="shared" si="56"/>
        <v>N</v>
      </c>
      <c r="O438">
        <f t="shared" si="57"/>
        <v>15</v>
      </c>
      <c r="P438" s="6">
        <f t="shared" si="58"/>
        <v>0.8214285714285714</v>
      </c>
      <c r="Q438" s="6">
        <f t="shared" si="59"/>
        <v>4.3478260869565216E-2</v>
      </c>
      <c r="R438">
        <f t="shared" si="60"/>
        <v>0</v>
      </c>
      <c r="S438">
        <f t="shared" si="61"/>
        <v>6</v>
      </c>
      <c r="T438" t="str">
        <f t="shared" si="62"/>
        <v>Jun-26</v>
      </c>
    </row>
    <row r="439" spans="1:20">
      <c r="A439" t="s">
        <v>811</v>
      </c>
      <c r="B439" t="s">
        <v>11</v>
      </c>
      <c r="C439" t="s">
        <v>12</v>
      </c>
      <c r="D439">
        <v>646</v>
      </c>
      <c r="E439" s="4">
        <v>46111</v>
      </c>
      <c r="F439" s="4">
        <v>46123</v>
      </c>
      <c r="G439" s="4">
        <v>46122</v>
      </c>
      <c r="H439">
        <v>647</v>
      </c>
      <c r="I439" t="s">
        <v>469</v>
      </c>
      <c r="J439">
        <v>4</v>
      </c>
      <c r="K439" t="s">
        <v>1563</v>
      </c>
      <c r="L439" t="str">
        <f t="shared" si="54"/>
        <v>Y</v>
      </c>
      <c r="M439" t="str">
        <f t="shared" si="55"/>
        <v>Y</v>
      </c>
      <c r="N439" t="str">
        <f t="shared" si="56"/>
        <v>Y</v>
      </c>
      <c r="O439">
        <f t="shared" si="57"/>
        <v>11</v>
      </c>
      <c r="P439" s="6">
        <f t="shared" si="58"/>
        <v>1.0015479876160991</v>
      </c>
      <c r="Q439" s="6">
        <f t="shared" si="59"/>
        <v>6.1823802163833074E-3</v>
      </c>
      <c r="R439">
        <f t="shared" si="60"/>
        <v>1</v>
      </c>
      <c r="S439">
        <f t="shared" si="61"/>
        <v>0</v>
      </c>
      <c r="T439" t="str">
        <f t="shared" si="62"/>
        <v>Apr-26</v>
      </c>
    </row>
    <row r="440" spans="1:20">
      <c r="A440" t="s">
        <v>812</v>
      </c>
      <c r="B440" t="s">
        <v>49</v>
      </c>
      <c r="C440" t="s">
        <v>16</v>
      </c>
      <c r="D440">
        <v>640</v>
      </c>
      <c r="E440" s="4">
        <v>46161</v>
      </c>
      <c r="F440" s="4">
        <v>46166</v>
      </c>
      <c r="G440" s="4">
        <v>46173</v>
      </c>
      <c r="H440">
        <v>644</v>
      </c>
      <c r="I440" t="s">
        <v>813</v>
      </c>
      <c r="J440">
        <v>1</v>
      </c>
      <c r="K440" t="s">
        <v>1563</v>
      </c>
      <c r="L440" t="str">
        <f t="shared" si="54"/>
        <v>N</v>
      </c>
      <c r="M440" t="str">
        <f t="shared" si="55"/>
        <v>Y</v>
      </c>
      <c r="N440" t="str">
        <f t="shared" si="56"/>
        <v>N</v>
      </c>
      <c r="O440">
        <f t="shared" si="57"/>
        <v>12</v>
      </c>
      <c r="P440" s="6">
        <f t="shared" si="58"/>
        <v>1.0062500000000001</v>
      </c>
      <c r="Q440" s="6">
        <f t="shared" si="59"/>
        <v>1.5527950310559005E-3</v>
      </c>
      <c r="R440">
        <f t="shared" si="60"/>
        <v>0</v>
      </c>
      <c r="S440">
        <f t="shared" si="61"/>
        <v>7</v>
      </c>
      <c r="T440" t="str">
        <f t="shared" si="62"/>
        <v>May-26</v>
      </c>
    </row>
    <row r="441" spans="1:20">
      <c r="A441" t="s">
        <v>814</v>
      </c>
      <c r="B441" t="s">
        <v>46</v>
      </c>
      <c r="C441" t="s">
        <v>16</v>
      </c>
      <c r="D441">
        <v>375</v>
      </c>
      <c r="E441" s="4">
        <v>46099</v>
      </c>
      <c r="F441" s="4">
        <v>46112</v>
      </c>
      <c r="G441" s="4">
        <v>46109</v>
      </c>
      <c r="H441">
        <v>376</v>
      </c>
      <c r="I441" t="s">
        <v>815</v>
      </c>
      <c r="J441">
        <v>17</v>
      </c>
      <c r="K441" t="s">
        <v>1563</v>
      </c>
      <c r="L441" t="str">
        <f t="shared" si="54"/>
        <v>Y</v>
      </c>
      <c r="M441" t="str">
        <f t="shared" si="55"/>
        <v>Y</v>
      </c>
      <c r="N441" t="str">
        <f t="shared" si="56"/>
        <v>Y</v>
      </c>
      <c r="O441">
        <f t="shared" si="57"/>
        <v>10</v>
      </c>
      <c r="P441" s="6">
        <f t="shared" si="58"/>
        <v>1.0026666666666666</v>
      </c>
      <c r="Q441" s="6">
        <f t="shared" si="59"/>
        <v>4.5212765957446811E-2</v>
      </c>
      <c r="R441">
        <f t="shared" si="60"/>
        <v>1</v>
      </c>
      <c r="S441">
        <f t="shared" si="61"/>
        <v>0</v>
      </c>
      <c r="T441" t="str">
        <f t="shared" si="62"/>
        <v>Mar-26</v>
      </c>
    </row>
    <row r="442" spans="1:20">
      <c r="A442" t="s">
        <v>816</v>
      </c>
      <c r="B442" t="s">
        <v>43</v>
      </c>
      <c r="C442" t="s">
        <v>16</v>
      </c>
      <c r="D442">
        <v>87</v>
      </c>
      <c r="E442" s="4">
        <v>46117</v>
      </c>
      <c r="F442" s="4">
        <v>46132</v>
      </c>
      <c r="G442" s="4">
        <v>46132</v>
      </c>
      <c r="H442">
        <v>88</v>
      </c>
      <c r="I442" t="s">
        <v>594</v>
      </c>
      <c r="J442">
        <v>3</v>
      </c>
      <c r="K442" t="s">
        <v>1563</v>
      </c>
      <c r="L442" t="str">
        <f t="shared" si="54"/>
        <v>Y</v>
      </c>
      <c r="M442" t="str">
        <f t="shared" si="55"/>
        <v>Y</v>
      </c>
      <c r="N442" t="str">
        <f t="shared" si="56"/>
        <v>Y</v>
      </c>
      <c r="O442">
        <f t="shared" si="57"/>
        <v>15</v>
      </c>
      <c r="P442" s="6">
        <f t="shared" si="58"/>
        <v>1.0114942528735633</v>
      </c>
      <c r="Q442" s="6">
        <f t="shared" si="59"/>
        <v>3.4090909090909088E-2</v>
      </c>
      <c r="R442">
        <f t="shared" si="60"/>
        <v>1</v>
      </c>
      <c r="S442">
        <f t="shared" si="61"/>
        <v>0</v>
      </c>
      <c r="T442" t="str">
        <f t="shared" si="62"/>
        <v>Apr-26</v>
      </c>
    </row>
    <row r="443" spans="1:20">
      <c r="A443" t="s">
        <v>817</v>
      </c>
      <c r="B443" t="s">
        <v>177</v>
      </c>
      <c r="C443" t="s">
        <v>12</v>
      </c>
      <c r="D443">
        <v>960</v>
      </c>
      <c r="E443" s="4">
        <v>46084</v>
      </c>
      <c r="F443" s="4">
        <v>46098</v>
      </c>
      <c r="G443" s="4">
        <v>46107</v>
      </c>
      <c r="H443">
        <v>824</v>
      </c>
      <c r="I443" t="s">
        <v>670</v>
      </c>
      <c r="J443">
        <v>13</v>
      </c>
      <c r="K443" t="s">
        <v>1563</v>
      </c>
      <c r="L443" t="str">
        <f t="shared" si="54"/>
        <v>N</v>
      </c>
      <c r="M443" t="str">
        <f t="shared" si="55"/>
        <v>N</v>
      </c>
      <c r="N443" t="str">
        <f t="shared" si="56"/>
        <v>N</v>
      </c>
      <c r="O443">
        <f t="shared" si="57"/>
        <v>23</v>
      </c>
      <c r="P443" s="6">
        <f t="shared" si="58"/>
        <v>0.85833333333333328</v>
      </c>
      <c r="Q443" s="6">
        <f t="shared" si="59"/>
        <v>1.5776699029126214E-2</v>
      </c>
      <c r="R443">
        <f t="shared" si="60"/>
        <v>0</v>
      </c>
      <c r="S443">
        <f t="shared" si="61"/>
        <v>9</v>
      </c>
      <c r="T443" t="str">
        <f t="shared" si="62"/>
        <v>Mar-26</v>
      </c>
    </row>
    <row r="444" spans="1:20">
      <c r="A444" t="s">
        <v>818</v>
      </c>
      <c r="B444" t="s">
        <v>40</v>
      </c>
      <c r="C444" t="s">
        <v>12</v>
      </c>
      <c r="D444">
        <v>506</v>
      </c>
      <c r="E444" s="4">
        <v>46160</v>
      </c>
      <c r="F444" s="4">
        <v>46169</v>
      </c>
      <c r="G444" s="4"/>
      <c r="I444" t="s">
        <v>819</v>
      </c>
      <c r="K444" t="s">
        <v>1565</v>
      </c>
      <c r="L444" t="str">
        <f t="shared" si="54"/>
        <v>N/A</v>
      </c>
      <c r="M444" t="str">
        <f t="shared" si="55"/>
        <v>N/A</v>
      </c>
      <c r="N444" t="str">
        <f t="shared" si="56"/>
        <v>N/A</v>
      </c>
      <c r="O444" t="str">
        <f t="shared" si="57"/>
        <v>N/A</v>
      </c>
      <c r="P444" s="6" t="str">
        <f t="shared" si="58"/>
        <v>N/A</v>
      </c>
      <c r="Q444" s="6" t="str">
        <f t="shared" si="59"/>
        <v>N/A</v>
      </c>
      <c r="R444" t="str">
        <f t="shared" si="60"/>
        <v/>
      </c>
      <c r="S444" t="str">
        <f t="shared" si="61"/>
        <v>N/A</v>
      </c>
      <c r="T444" t="str">
        <f t="shared" si="62"/>
        <v>N/A</v>
      </c>
    </row>
    <row r="445" spans="1:20">
      <c r="A445" t="s">
        <v>820</v>
      </c>
      <c r="B445" t="s">
        <v>29</v>
      </c>
      <c r="C445" t="s">
        <v>12</v>
      </c>
      <c r="D445">
        <v>320</v>
      </c>
      <c r="E445" s="4">
        <v>46089</v>
      </c>
      <c r="F445" s="4">
        <v>46100</v>
      </c>
      <c r="G445" s="4">
        <v>46100</v>
      </c>
      <c r="H445">
        <v>315</v>
      </c>
      <c r="I445" t="s">
        <v>821</v>
      </c>
      <c r="J445">
        <v>3</v>
      </c>
      <c r="K445" t="s">
        <v>1563</v>
      </c>
      <c r="L445" t="str">
        <f t="shared" si="54"/>
        <v>Y</v>
      </c>
      <c r="M445" t="str">
        <f t="shared" si="55"/>
        <v>Y</v>
      </c>
      <c r="N445" t="str">
        <f t="shared" si="56"/>
        <v>Y</v>
      </c>
      <c r="O445">
        <f t="shared" si="57"/>
        <v>11</v>
      </c>
      <c r="P445" s="6">
        <f t="shared" si="58"/>
        <v>0.984375</v>
      </c>
      <c r="Q445" s="6">
        <f t="shared" si="59"/>
        <v>9.5238095238095247E-3</v>
      </c>
      <c r="R445">
        <f t="shared" si="60"/>
        <v>1</v>
      </c>
      <c r="S445">
        <f t="shared" si="61"/>
        <v>0</v>
      </c>
      <c r="T445" t="str">
        <f t="shared" si="62"/>
        <v>Mar-26</v>
      </c>
    </row>
    <row r="446" spans="1:20">
      <c r="A446" t="s">
        <v>822</v>
      </c>
      <c r="B446" t="s">
        <v>46</v>
      </c>
      <c r="C446" t="s">
        <v>16</v>
      </c>
      <c r="D446">
        <v>630</v>
      </c>
      <c r="E446" s="4">
        <v>46118</v>
      </c>
      <c r="F446" s="4">
        <v>46130</v>
      </c>
      <c r="G446" s="4">
        <v>46128</v>
      </c>
      <c r="H446">
        <v>638</v>
      </c>
      <c r="I446" t="s">
        <v>569</v>
      </c>
      <c r="J446">
        <v>19</v>
      </c>
      <c r="K446" t="s">
        <v>1563</v>
      </c>
      <c r="L446" t="str">
        <f t="shared" si="54"/>
        <v>Y</v>
      </c>
      <c r="M446" t="str">
        <f t="shared" si="55"/>
        <v>Y</v>
      </c>
      <c r="N446" t="str">
        <f t="shared" si="56"/>
        <v>Y</v>
      </c>
      <c r="O446">
        <f t="shared" si="57"/>
        <v>10</v>
      </c>
      <c r="P446" s="6">
        <f t="shared" si="58"/>
        <v>1.0126984126984127</v>
      </c>
      <c r="Q446" s="6">
        <f t="shared" si="59"/>
        <v>2.9780564263322883E-2</v>
      </c>
      <c r="R446">
        <f t="shared" si="60"/>
        <v>1</v>
      </c>
      <c r="S446">
        <f t="shared" si="61"/>
        <v>0</v>
      </c>
      <c r="T446" t="str">
        <f t="shared" si="62"/>
        <v>Apr-26</v>
      </c>
    </row>
    <row r="447" spans="1:20">
      <c r="A447" t="s">
        <v>823</v>
      </c>
      <c r="B447" t="s">
        <v>67</v>
      </c>
      <c r="C447" t="s">
        <v>23</v>
      </c>
      <c r="D447">
        <v>477</v>
      </c>
      <c r="E447" s="4">
        <v>46094</v>
      </c>
      <c r="F447" s="4">
        <v>46099</v>
      </c>
      <c r="G447" s="4">
        <v>46103</v>
      </c>
      <c r="H447">
        <v>482</v>
      </c>
      <c r="I447" t="s">
        <v>824</v>
      </c>
      <c r="J447">
        <v>20</v>
      </c>
      <c r="K447" t="s">
        <v>1563</v>
      </c>
      <c r="L447" t="str">
        <f t="shared" si="54"/>
        <v>N</v>
      </c>
      <c r="M447" t="str">
        <f t="shared" si="55"/>
        <v>Y</v>
      </c>
      <c r="N447" t="str">
        <f t="shared" si="56"/>
        <v>N</v>
      </c>
      <c r="O447">
        <f t="shared" si="57"/>
        <v>9</v>
      </c>
      <c r="P447" s="6">
        <f t="shared" si="58"/>
        <v>1.0104821802935011</v>
      </c>
      <c r="Q447" s="6">
        <f t="shared" si="59"/>
        <v>4.1493775933609957E-2</v>
      </c>
      <c r="R447">
        <f t="shared" si="60"/>
        <v>0</v>
      </c>
      <c r="S447">
        <f t="shared" si="61"/>
        <v>4</v>
      </c>
      <c r="T447" t="str">
        <f t="shared" si="62"/>
        <v>Mar-26</v>
      </c>
    </row>
    <row r="448" spans="1:20">
      <c r="A448" t="s">
        <v>825</v>
      </c>
      <c r="B448" t="s">
        <v>26</v>
      </c>
      <c r="C448" t="s">
        <v>12</v>
      </c>
      <c r="D448">
        <v>835</v>
      </c>
      <c r="E448" s="4">
        <v>46069</v>
      </c>
      <c r="F448" s="4">
        <v>46081</v>
      </c>
      <c r="G448" s="4">
        <v>46085</v>
      </c>
      <c r="H448">
        <v>745</v>
      </c>
      <c r="I448" t="s">
        <v>505</v>
      </c>
      <c r="J448">
        <v>17</v>
      </c>
      <c r="K448" t="s">
        <v>1563</v>
      </c>
      <c r="L448" t="str">
        <f t="shared" si="54"/>
        <v>N</v>
      </c>
      <c r="M448" t="str">
        <f t="shared" si="55"/>
        <v>N</v>
      </c>
      <c r="N448" t="str">
        <f t="shared" si="56"/>
        <v>N</v>
      </c>
      <c r="O448">
        <f t="shared" si="57"/>
        <v>16</v>
      </c>
      <c r="P448" s="6">
        <f t="shared" si="58"/>
        <v>0.89221556886227549</v>
      </c>
      <c r="Q448" s="6">
        <f t="shared" si="59"/>
        <v>2.2818791946308724E-2</v>
      </c>
      <c r="R448">
        <f t="shared" si="60"/>
        <v>0</v>
      </c>
      <c r="S448">
        <f t="shared" si="61"/>
        <v>4</v>
      </c>
      <c r="T448" t="str">
        <f t="shared" si="62"/>
        <v>Mar-26</v>
      </c>
    </row>
    <row r="449" spans="1:20">
      <c r="A449" t="s">
        <v>826</v>
      </c>
      <c r="B449" t="s">
        <v>49</v>
      </c>
      <c r="C449" t="s">
        <v>16</v>
      </c>
      <c r="D449">
        <v>962</v>
      </c>
      <c r="E449" s="4">
        <v>46125</v>
      </c>
      <c r="F449" s="4">
        <v>46139</v>
      </c>
      <c r="G449" s="4">
        <v>46146</v>
      </c>
      <c r="H449">
        <v>979</v>
      </c>
      <c r="I449" t="s">
        <v>381</v>
      </c>
      <c r="J449">
        <v>14</v>
      </c>
      <c r="K449" t="s">
        <v>1563</v>
      </c>
      <c r="L449" t="str">
        <f t="shared" si="54"/>
        <v>N</v>
      </c>
      <c r="M449" t="str">
        <f t="shared" si="55"/>
        <v>Y</v>
      </c>
      <c r="N449" t="str">
        <f t="shared" si="56"/>
        <v>N</v>
      </c>
      <c r="O449">
        <f t="shared" si="57"/>
        <v>21</v>
      </c>
      <c r="P449" s="6">
        <f t="shared" si="58"/>
        <v>1.0176715176715176</v>
      </c>
      <c r="Q449" s="6">
        <f t="shared" si="59"/>
        <v>1.4300306435137897E-2</v>
      </c>
      <c r="R449">
        <f t="shared" si="60"/>
        <v>0</v>
      </c>
      <c r="S449">
        <f t="shared" si="61"/>
        <v>7</v>
      </c>
      <c r="T449" t="str">
        <f t="shared" si="62"/>
        <v>May-26</v>
      </c>
    </row>
    <row r="450" spans="1:20">
      <c r="A450" t="s">
        <v>827</v>
      </c>
      <c r="B450" t="s">
        <v>43</v>
      </c>
      <c r="C450" t="s">
        <v>16</v>
      </c>
      <c r="D450">
        <v>384</v>
      </c>
      <c r="E450" s="4">
        <v>46126</v>
      </c>
      <c r="F450" s="4">
        <v>46135</v>
      </c>
      <c r="G450" s="4">
        <v>46135</v>
      </c>
      <c r="H450">
        <v>382</v>
      </c>
      <c r="I450" t="s">
        <v>769</v>
      </c>
      <c r="J450">
        <v>4</v>
      </c>
      <c r="K450" t="s">
        <v>1563</v>
      </c>
      <c r="L450" t="str">
        <f t="shared" ref="L450:L513" si="63">IF(G450="","N/A",IF(G450&lt;=F450,"Y","N"))</f>
        <v>Y</v>
      </c>
      <c r="M450" t="str">
        <f t="shared" ref="M450:M513" si="64">IF(H450="","N/A",IF(H450&gt;=D450*0.98,"Y","N"))</f>
        <v>Y</v>
      </c>
      <c r="N450" t="str">
        <f t="shared" ref="N450:N513" si="65">IF(OR(L450="N/A",M450="N/A"),"N/A",IF(AND(L450="Y",M450="Y"),"Y","N"))</f>
        <v>Y</v>
      </c>
      <c r="O450">
        <f t="shared" ref="O450:O513" si="66">IF(G450="","N/A",G450-E450)</f>
        <v>9</v>
      </c>
      <c r="P450" s="6">
        <f t="shared" ref="P450:P513" si="67">IF(H450="","N/A",H450/D450)</f>
        <v>0.99479166666666663</v>
      </c>
      <c r="Q450" s="6">
        <f t="shared" ref="Q450:Q513" si="68">IF(H450="","N/A",IF(H450=0,0,J450/H450))</f>
        <v>1.0471204188481676E-2</v>
      </c>
      <c r="R450">
        <f t="shared" ref="R450:R513" si="69">IF(N450="Y",1,IF(N450="N",0,""))</f>
        <v>1</v>
      </c>
      <c r="S450">
        <f t="shared" ref="S450:S513" si="70">IF(G450="","N/A",MAX(G450-F450,0))</f>
        <v>0</v>
      </c>
      <c r="T450" t="str">
        <f t="shared" ref="T450:T513" si="71">IF(G450="","N/A",TEXT(G450,"mmm-yy"))</f>
        <v>Apr-26</v>
      </c>
    </row>
    <row r="451" spans="1:20">
      <c r="A451" t="s">
        <v>828</v>
      </c>
      <c r="B451" t="s">
        <v>49</v>
      </c>
      <c r="C451" t="s">
        <v>23</v>
      </c>
      <c r="D451">
        <v>693</v>
      </c>
      <c r="E451" s="4">
        <v>46128</v>
      </c>
      <c r="F451" s="4">
        <v>46136</v>
      </c>
      <c r="G451" s="4">
        <v>46134</v>
      </c>
      <c r="H451">
        <v>701</v>
      </c>
      <c r="I451" t="s">
        <v>142</v>
      </c>
      <c r="J451">
        <v>5</v>
      </c>
      <c r="K451" t="s">
        <v>1563</v>
      </c>
      <c r="L451" t="str">
        <f t="shared" si="63"/>
        <v>Y</v>
      </c>
      <c r="M451" t="str">
        <f t="shared" si="64"/>
        <v>Y</v>
      </c>
      <c r="N451" t="str">
        <f t="shared" si="65"/>
        <v>Y</v>
      </c>
      <c r="O451">
        <f t="shared" si="66"/>
        <v>6</v>
      </c>
      <c r="P451" s="6">
        <f t="shared" si="67"/>
        <v>1.0115440115440115</v>
      </c>
      <c r="Q451" s="6">
        <f t="shared" si="68"/>
        <v>7.1326676176890159E-3</v>
      </c>
      <c r="R451">
        <f t="shared" si="69"/>
        <v>1</v>
      </c>
      <c r="S451">
        <f t="shared" si="70"/>
        <v>0</v>
      </c>
      <c r="T451" t="str">
        <f t="shared" si="71"/>
        <v>Apr-26</v>
      </c>
    </row>
    <row r="452" spans="1:20">
      <c r="A452" t="s">
        <v>829</v>
      </c>
      <c r="B452" t="s">
        <v>46</v>
      </c>
      <c r="C452" t="s">
        <v>16</v>
      </c>
      <c r="D452">
        <v>225</v>
      </c>
      <c r="E452" s="4">
        <v>46170</v>
      </c>
      <c r="F452" s="4">
        <v>46185</v>
      </c>
      <c r="G452" s="4">
        <v>46186</v>
      </c>
      <c r="H452">
        <v>228</v>
      </c>
      <c r="I452" t="s">
        <v>92</v>
      </c>
      <c r="J452">
        <v>10</v>
      </c>
      <c r="K452" t="s">
        <v>1563</v>
      </c>
      <c r="L452" t="str">
        <f t="shared" si="63"/>
        <v>N</v>
      </c>
      <c r="M452" t="str">
        <f t="shared" si="64"/>
        <v>Y</v>
      </c>
      <c r="N452" t="str">
        <f t="shared" si="65"/>
        <v>N</v>
      </c>
      <c r="O452">
        <f t="shared" si="66"/>
        <v>16</v>
      </c>
      <c r="P452" s="6">
        <f t="shared" si="67"/>
        <v>1.0133333333333334</v>
      </c>
      <c r="Q452" s="6">
        <f t="shared" si="68"/>
        <v>4.3859649122807015E-2</v>
      </c>
      <c r="R452">
        <f t="shared" si="69"/>
        <v>0</v>
      </c>
      <c r="S452">
        <f t="shared" si="70"/>
        <v>1</v>
      </c>
      <c r="T452" t="str">
        <f t="shared" si="71"/>
        <v>Jun-26</v>
      </c>
    </row>
    <row r="453" spans="1:20">
      <c r="A453" t="s">
        <v>830</v>
      </c>
      <c r="B453" t="s">
        <v>43</v>
      </c>
      <c r="C453" t="s">
        <v>16</v>
      </c>
      <c r="D453">
        <v>755</v>
      </c>
      <c r="E453" s="4">
        <v>46173</v>
      </c>
      <c r="F453" s="4">
        <v>46179</v>
      </c>
      <c r="G453" s="4">
        <v>46187</v>
      </c>
      <c r="H453">
        <v>765</v>
      </c>
      <c r="I453" t="s">
        <v>831</v>
      </c>
      <c r="J453">
        <v>50</v>
      </c>
      <c r="K453" t="s">
        <v>1563</v>
      </c>
      <c r="L453" t="str">
        <f t="shared" si="63"/>
        <v>N</v>
      </c>
      <c r="M453" t="str">
        <f t="shared" si="64"/>
        <v>Y</v>
      </c>
      <c r="N453" t="str">
        <f t="shared" si="65"/>
        <v>N</v>
      </c>
      <c r="O453">
        <f t="shared" si="66"/>
        <v>14</v>
      </c>
      <c r="P453" s="6">
        <f t="shared" si="67"/>
        <v>1.0132450331125828</v>
      </c>
      <c r="Q453" s="6">
        <f t="shared" si="68"/>
        <v>6.535947712418301E-2</v>
      </c>
      <c r="R453">
        <f t="shared" si="69"/>
        <v>0</v>
      </c>
      <c r="S453">
        <f t="shared" si="70"/>
        <v>8</v>
      </c>
      <c r="T453" t="str">
        <f t="shared" si="71"/>
        <v>Jun-26</v>
      </c>
    </row>
    <row r="454" spans="1:20">
      <c r="A454" t="s">
        <v>832</v>
      </c>
      <c r="B454" t="s">
        <v>43</v>
      </c>
      <c r="C454" t="s">
        <v>23</v>
      </c>
      <c r="D454">
        <v>737</v>
      </c>
      <c r="E454" s="4">
        <v>46110</v>
      </c>
      <c r="F454" s="4">
        <v>46116</v>
      </c>
      <c r="G454" s="4">
        <v>46117</v>
      </c>
      <c r="H454">
        <v>733</v>
      </c>
      <c r="I454" t="s">
        <v>833</v>
      </c>
      <c r="J454">
        <v>6</v>
      </c>
      <c r="K454" t="s">
        <v>1563</v>
      </c>
      <c r="L454" t="str">
        <f t="shared" si="63"/>
        <v>N</v>
      </c>
      <c r="M454" t="str">
        <f t="shared" si="64"/>
        <v>Y</v>
      </c>
      <c r="N454" t="str">
        <f t="shared" si="65"/>
        <v>N</v>
      </c>
      <c r="O454">
        <f t="shared" si="66"/>
        <v>7</v>
      </c>
      <c r="P454" s="6">
        <f t="shared" si="67"/>
        <v>0.99457259158751699</v>
      </c>
      <c r="Q454" s="6">
        <f t="shared" si="68"/>
        <v>8.1855388813096858E-3</v>
      </c>
      <c r="R454">
        <f t="shared" si="69"/>
        <v>0</v>
      </c>
      <c r="S454">
        <f t="shared" si="70"/>
        <v>1</v>
      </c>
      <c r="T454" t="str">
        <f t="shared" si="71"/>
        <v>Apr-26</v>
      </c>
    </row>
    <row r="455" spans="1:20">
      <c r="A455" t="s">
        <v>834</v>
      </c>
      <c r="B455" t="s">
        <v>11</v>
      </c>
      <c r="C455" t="s">
        <v>16</v>
      </c>
      <c r="D455">
        <v>734</v>
      </c>
      <c r="E455" s="4">
        <v>46148</v>
      </c>
      <c r="F455" s="4">
        <v>46155</v>
      </c>
      <c r="G455" s="4">
        <v>46153</v>
      </c>
      <c r="H455">
        <v>739</v>
      </c>
      <c r="I455" t="s">
        <v>722</v>
      </c>
      <c r="J455">
        <v>11</v>
      </c>
      <c r="K455" t="s">
        <v>1563</v>
      </c>
      <c r="L455" t="str">
        <f t="shared" si="63"/>
        <v>Y</v>
      </c>
      <c r="M455" t="str">
        <f t="shared" si="64"/>
        <v>Y</v>
      </c>
      <c r="N455" t="str">
        <f t="shared" si="65"/>
        <v>Y</v>
      </c>
      <c r="O455">
        <f t="shared" si="66"/>
        <v>5</v>
      </c>
      <c r="P455" s="6">
        <f t="shared" si="67"/>
        <v>1.0068119891008174</v>
      </c>
      <c r="Q455" s="6">
        <f t="shared" si="68"/>
        <v>1.4884979702300407E-2</v>
      </c>
      <c r="R455">
        <f t="shared" si="69"/>
        <v>1</v>
      </c>
      <c r="S455">
        <f t="shared" si="70"/>
        <v>0</v>
      </c>
      <c r="T455" t="str">
        <f t="shared" si="71"/>
        <v>May-26</v>
      </c>
    </row>
    <row r="456" spans="1:20">
      <c r="A456" t="s">
        <v>835</v>
      </c>
      <c r="B456" t="s">
        <v>120</v>
      </c>
      <c r="C456" t="s">
        <v>12</v>
      </c>
      <c r="D456">
        <v>564</v>
      </c>
      <c r="E456" s="4">
        <v>46062</v>
      </c>
      <c r="F456" s="4">
        <v>46076</v>
      </c>
      <c r="G456" s="4">
        <v>46074</v>
      </c>
      <c r="H456">
        <v>497</v>
      </c>
      <c r="I456" t="s">
        <v>836</v>
      </c>
      <c r="J456">
        <v>23</v>
      </c>
      <c r="K456" t="s">
        <v>1563</v>
      </c>
      <c r="L456" t="str">
        <f t="shared" si="63"/>
        <v>Y</v>
      </c>
      <c r="M456" t="str">
        <f t="shared" si="64"/>
        <v>N</v>
      </c>
      <c r="N456" t="str">
        <f t="shared" si="65"/>
        <v>N</v>
      </c>
      <c r="O456">
        <f t="shared" si="66"/>
        <v>12</v>
      </c>
      <c r="P456" s="6">
        <f t="shared" si="67"/>
        <v>0.88120567375886527</v>
      </c>
      <c r="Q456" s="6">
        <f t="shared" si="68"/>
        <v>4.6277665995975853E-2</v>
      </c>
      <c r="R456">
        <f t="shared" si="69"/>
        <v>0</v>
      </c>
      <c r="S456">
        <f t="shared" si="70"/>
        <v>0</v>
      </c>
      <c r="T456" t="str">
        <f t="shared" si="71"/>
        <v>Feb-26</v>
      </c>
    </row>
    <row r="457" spans="1:20">
      <c r="A457" t="s">
        <v>837</v>
      </c>
      <c r="B457" t="s">
        <v>40</v>
      </c>
      <c r="C457" t="s">
        <v>12</v>
      </c>
      <c r="D457">
        <v>409</v>
      </c>
      <c r="E457" s="4">
        <v>46149</v>
      </c>
      <c r="F457" s="4">
        <v>46157</v>
      </c>
      <c r="G457" s="4">
        <v>46156</v>
      </c>
      <c r="H457">
        <v>407</v>
      </c>
      <c r="I457" t="s">
        <v>307</v>
      </c>
      <c r="J457">
        <v>20</v>
      </c>
      <c r="K457" t="s">
        <v>1563</v>
      </c>
      <c r="L457" t="str">
        <f t="shared" si="63"/>
        <v>Y</v>
      </c>
      <c r="M457" t="str">
        <f t="shared" si="64"/>
        <v>Y</v>
      </c>
      <c r="N457" t="str">
        <f t="shared" si="65"/>
        <v>Y</v>
      </c>
      <c r="O457">
        <f t="shared" si="66"/>
        <v>7</v>
      </c>
      <c r="P457" s="6">
        <f t="shared" si="67"/>
        <v>0.99511002444987773</v>
      </c>
      <c r="Q457" s="6">
        <f t="shared" si="68"/>
        <v>4.9140049140049137E-2</v>
      </c>
      <c r="R457">
        <f t="shared" si="69"/>
        <v>1</v>
      </c>
      <c r="S457">
        <f t="shared" si="70"/>
        <v>0</v>
      </c>
      <c r="T457" t="str">
        <f t="shared" si="71"/>
        <v>May-26</v>
      </c>
    </row>
    <row r="458" spans="1:20">
      <c r="A458" t="s">
        <v>838</v>
      </c>
      <c r="B458" t="s">
        <v>100</v>
      </c>
      <c r="C458" t="s">
        <v>16</v>
      </c>
      <c r="D458">
        <v>915</v>
      </c>
      <c r="E458" s="4">
        <v>46048</v>
      </c>
      <c r="F458" s="4">
        <v>46062</v>
      </c>
      <c r="G458" s="4">
        <v>46060</v>
      </c>
      <c r="H458">
        <v>801</v>
      </c>
      <c r="I458" t="s">
        <v>452</v>
      </c>
      <c r="J458">
        <v>16</v>
      </c>
      <c r="K458" t="s">
        <v>1563</v>
      </c>
      <c r="L458" t="str">
        <f t="shared" si="63"/>
        <v>Y</v>
      </c>
      <c r="M458" t="str">
        <f t="shared" si="64"/>
        <v>N</v>
      </c>
      <c r="N458" t="str">
        <f t="shared" si="65"/>
        <v>N</v>
      </c>
      <c r="O458">
        <f t="shared" si="66"/>
        <v>12</v>
      </c>
      <c r="P458" s="6">
        <f t="shared" si="67"/>
        <v>0.87540983606557377</v>
      </c>
      <c r="Q458" s="6">
        <f t="shared" si="68"/>
        <v>1.9975031210986267E-2</v>
      </c>
      <c r="R458">
        <f t="shared" si="69"/>
        <v>0</v>
      </c>
      <c r="S458">
        <f t="shared" si="70"/>
        <v>0</v>
      </c>
      <c r="T458" t="str">
        <f t="shared" si="71"/>
        <v>Feb-26</v>
      </c>
    </row>
    <row r="459" spans="1:20">
      <c r="A459" t="s">
        <v>839</v>
      </c>
      <c r="B459" t="s">
        <v>67</v>
      </c>
      <c r="C459" t="s">
        <v>23</v>
      </c>
      <c r="D459">
        <v>243</v>
      </c>
      <c r="E459" s="4">
        <v>46122</v>
      </c>
      <c r="F459" s="4">
        <v>46127</v>
      </c>
      <c r="G459" s="4">
        <v>46125</v>
      </c>
      <c r="H459">
        <v>238</v>
      </c>
      <c r="I459" t="s">
        <v>840</v>
      </c>
      <c r="J459">
        <v>4</v>
      </c>
      <c r="K459" t="s">
        <v>1563</v>
      </c>
      <c r="L459" t="str">
        <f t="shared" si="63"/>
        <v>Y</v>
      </c>
      <c r="M459" t="str">
        <f t="shared" si="64"/>
        <v>N</v>
      </c>
      <c r="N459" t="str">
        <f t="shared" si="65"/>
        <v>N</v>
      </c>
      <c r="O459">
        <f t="shared" si="66"/>
        <v>3</v>
      </c>
      <c r="P459" s="6">
        <f t="shared" si="67"/>
        <v>0.97942386831275718</v>
      </c>
      <c r="Q459" s="6">
        <f t="shared" si="68"/>
        <v>1.680672268907563E-2</v>
      </c>
      <c r="R459">
        <f t="shared" si="69"/>
        <v>0</v>
      </c>
      <c r="S459">
        <f t="shared" si="70"/>
        <v>0</v>
      </c>
      <c r="T459" t="str">
        <f t="shared" si="71"/>
        <v>Apr-26</v>
      </c>
    </row>
    <row r="460" spans="1:20">
      <c r="A460" t="s">
        <v>841</v>
      </c>
      <c r="B460" t="s">
        <v>177</v>
      </c>
      <c r="C460" t="s">
        <v>16</v>
      </c>
      <c r="D460">
        <v>172</v>
      </c>
      <c r="E460" s="4">
        <v>46043</v>
      </c>
      <c r="F460" s="4">
        <v>46050</v>
      </c>
      <c r="G460" s="4">
        <v>46049</v>
      </c>
      <c r="H460">
        <v>170</v>
      </c>
      <c r="I460" t="s">
        <v>401</v>
      </c>
      <c r="J460">
        <v>3</v>
      </c>
      <c r="K460" t="s">
        <v>1563</v>
      </c>
      <c r="L460" t="str">
        <f t="shared" si="63"/>
        <v>Y</v>
      </c>
      <c r="M460" t="str">
        <f t="shared" si="64"/>
        <v>Y</v>
      </c>
      <c r="N460" t="str">
        <f t="shared" si="65"/>
        <v>Y</v>
      </c>
      <c r="O460">
        <f t="shared" si="66"/>
        <v>6</v>
      </c>
      <c r="P460" s="6">
        <f t="shared" si="67"/>
        <v>0.98837209302325579</v>
      </c>
      <c r="Q460" s="6">
        <f t="shared" si="68"/>
        <v>1.7647058823529412E-2</v>
      </c>
      <c r="R460">
        <f t="shared" si="69"/>
        <v>1</v>
      </c>
      <c r="S460">
        <f t="shared" si="70"/>
        <v>0</v>
      </c>
      <c r="T460" t="str">
        <f t="shared" si="71"/>
        <v>Jan-26</v>
      </c>
    </row>
    <row r="461" spans="1:20">
      <c r="A461" t="s">
        <v>842</v>
      </c>
      <c r="B461" t="s">
        <v>35</v>
      </c>
      <c r="C461" t="s">
        <v>16</v>
      </c>
      <c r="D461">
        <v>966</v>
      </c>
      <c r="E461" s="4">
        <v>46144</v>
      </c>
      <c r="F461" s="4">
        <v>46152</v>
      </c>
      <c r="G461" s="4">
        <v>46152</v>
      </c>
      <c r="H461">
        <v>951</v>
      </c>
      <c r="I461" t="s">
        <v>843</v>
      </c>
      <c r="J461">
        <v>39</v>
      </c>
      <c r="K461" t="s">
        <v>1563</v>
      </c>
      <c r="L461" t="str">
        <f t="shared" si="63"/>
        <v>Y</v>
      </c>
      <c r="M461" t="str">
        <f t="shared" si="64"/>
        <v>Y</v>
      </c>
      <c r="N461" t="str">
        <f t="shared" si="65"/>
        <v>Y</v>
      </c>
      <c r="O461">
        <f t="shared" si="66"/>
        <v>8</v>
      </c>
      <c r="P461" s="6">
        <f t="shared" si="67"/>
        <v>0.98447204968944102</v>
      </c>
      <c r="Q461" s="6">
        <f t="shared" si="68"/>
        <v>4.1009463722397478E-2</v>
      </c>
      <c r="R461">
        <f t="shared" si="69"/>
        <v>1</v>
      </c>
      <c r="S461">
        <f t="shared" si="70"/>
        <v>0</v>
      </c>
      <c r="T461" t="str">
        <f t="shared" si="71"/>
        <v>May-26</v>
      </c>
    </row>
    <row r="462" spans="1:20">
      <c r="A462" t="s">
        <v>844</v>
      </c>
      <c r="B462" t="s">
        <v>46</v>
      </c>
      <c r="C462" t="s">
        <v>12</v>
      </c>
      <c r="D462">
        <v>553</v>
      </c>
      <c r="E462" s="4">
        <v>46170</v>
      </c>
      <c r="F462" s="4">
        <v>46184</v>
      </c>
      <c r="G462" s="4">
        <v>46183</v>
      </c>
      <c r="H462">
        <v>552</v>
      </c>
      <c r="I462" t="s">
        <v>136</v>
      </c>
      <c r="J462">
        <v>35</v>
      </c>
      <c r="K462" t="s">
        <v>1563</v>
      </c>
      <c r="L462" t="str">
        <f t="shared" si="63"/>
        <v>Y</v>
      </c>
      <c r="M462" t="str">
        <f t="shared" si="64"/>
        <v>Y</v>
      </c>
      <c r="N462" t="str">
        <f t="shared" si="65"/>
        <v>Y</v>
      </c>
      <c r="O462">
        <f t="shared" si="66"/>
        <v>13</v>
      </c>
      <c r="P462" s="6">
        <f t="shared" si="67"/>
        <v>0.99819168173598549</v>
      </c>
      <c r="Q462" s="6">
        <f t="shared" si="68"/>
        <v>6.3405797101449279E-2</v>
      </c>
      <c r="R462">
        <f t="shared" si="69"/>
        <v>1</v>
      </c>
      <c r="S462">
        <f t="shared" si="70"/>
        <v>0</v>
      </c>
      <c r="T462" t="str">
        <f t="shared" si="71"/>
        <v>Jun-26</v>
      </c>
    </row>
    <row r="463" spans="1:20">
      <c r="A463" t="s">
        <v>845</v>
      </c>
      <c r="B463" t="s">
        <v>26</v>
      </c>
      <c r="C463" t="s">
        <v>12</v>
      </c>
      <c r="D463">
        <v>615</v>
      </c>
      <c r="E463" s="4">
        <v>46039</v>
      </c>
      <c r="F463" s="4">
        <v>46048</v>
      </c>
      <c r="G463" s="4">
        <v>46045</v>
      </c>
      <c r="H463">
        <v>626</v>
      </c>
      <c r="I463" t="s">
        <v>167</v>
      </c>
      <c r="J463">
        <v>6</v>
      </c>
      <c r="K463" t="s">
        <v>1563</v>
      </c>
      <c r="L463" t="str">
        <f t="shared" si="63"/>
        <v>Y</v>
      </c>
      <c r="M463" t="str">
        <f t="shared" si="64"/>
        <v>Y</v>
      </c>
      <c r="N463" t="str">
        <f t="shared" si="65"/>
        <v>Y</v>
      </c>
      <c r="O463">
        <f t="shared" si="66"/>
        <v>6</v>
      </c>
      <c r="P463" s="6">
        <f t="shared" si="67"/>
        <v>1.0178861788617886</v>
      </c>
      <c r="Q463" s="6">
        <f t="shared" si="68"/>
        <v>9.5846645367412137E-3</v>
      </c>
      <c r="R463">
        <f t="shared" si="69"/>
        <v>1</v>
      </c>
      <c r="S463">
        <f t="shared" si="70"/>
        <v>0</v>
      </c>
      <c r="T463" t="str">
        <f t="shared" si="71"/>
        <v>Jan-26</v>
      </c>
    </row>
    <row r="464" spans="1:20">
      <c r="A464" t="s">
        <v>846</v>
      </c>
      <c r="B464" t="s">
        <v>29</v>
      </c>
      <c r="C464" t="s">
        <v>16</v>
      </c>
      <c r="D464">
        <v>355</v>
      </c>
      <c r="E464" s="4">
        <v>46147</v>
      </c>
      <c r="F464" s="4">
        <v>46152</v>
      </c>
      <c r="G464" s="4">
        <v>46150</v>
      </c>
      <c r="H464">
        <v>357</v>
      </c>
      <c r="I464" t="s">
        <v>125</v>
      </c>
      <c r="J464">
        <v>2</v>
      </c>
      <c r="K464" t="s">
        <v>1563</v>
      </c>
      <c r="L464" t="str">
        <f t="shared" si="63"/>
        <v>Y</v>
      </c>
      <c r="M464" t="str">
        <f t="shared" si="64"/>
        <v>Y</v>
      </c>
      <c r="N464" t="str">
        <f t="shared" si="65"/>
        <v>Y</v>
      </c>
      <c r="O464">
        <f t="shared" si="66"/>
        <v>3</v>
      </c>
      <c r="P464" s="6">
        <f t="shared" si="67"/>
        <v>1.0056338028169014</v>
      </c>
      <c r="Q464" s="6">
        <f t="shared" si="68"/>
        <v>5.6022408963585435E-3</v>
      </c>
      <c r="R464">
        <f t="shared" si="69"/>
        <v>1</v>
      </c>
      <c r="S464">
        <f t="shared" si="70"/>
        <v>0</v>
      </c>
      <c r="T464" t="str">
        <f t="shared" si="71"/>
        <v>May-26</v>
      </c>
    </row>
    <row r="465" spans="1:20">
      <c r="A465" t="s">
        <v>847</v>
      </c>
      <c r="B465" t="s">
        <v>100</v>
      </c>
      <c r="C465" t="s">
        <v>16</v>
      </c>
      <c r="D465">
        <v>988</v>
      </c>
      <c r="E465" s="4">
        <v>46107</v>
      </c>
      <c r="F465" s="4">
        <v>46117</v>
      </c>
      <c r="G465" s="4">
        <v>46114</v>
      </c>
      <c r="H465">
        <v>981</v>
      </c>
      <c r="I465" t="s">
        <v>848</v>
      </c>
      <c r="J465">
        <v>38</v>
      </c>
      <c r="K465" t="s">
        <v>1563</v>
      </c>
      <c r="L465" t="str">
        <f t="shared" si="63"/>
        <v>Y</v>
      </c>
      <c r="M465" t="str">
        <f t="shared" si="64"/>
        <v>Y</v>
      </c>
      <c r="N465" t="str">
        <f t="shared" si="65"/>
        <v>Y</v>
      </c>
      <c r="O465">
        <f t="shared" si="66"/>
        <v>7</v>
      </c>
      <c r="P465" s="6">
        <f t="shared" si="67"/>
        <v>0.99291497975708498</v>
      </c>
      <c r="Q465" s="6">
        <f t="shared" si="68"/>
        <v>3.8735983690112129E-2</v>
      </c>
      <c r="R465">
        <f t="shared" si="69"/>
        <v>1</v>
      </c>
      <c r="S465">
        <f t="shared" si="70"/>
        <v>0</v>
      </c>
      <c r="T465" t="str">
        <f t="shared" si="71"/>
        <v>Apr-26</v>
      </c>
    </row>
    <row r="466" spans="1:20">
      <c r="A466" t="s">
        <v>849</v>
      </c>
      <c r="B466" t="s">
        <v>70</v>
      </c>
      <c r="C466" t="s">
        <v>12</v>
      </c>
      <c r="D466">
        <v>672</v>
      </c>
      <c r="E466" s="4">
        <v>46063</v>
      </c>
      <c r="F466" s="4">
        <v>46072</v>
      </c>
      <c r="G466" s="4">
        <v>46075</v>
      </c>
      <c r="H466">
        <v>668</v>
      </c>
      <c r="I466" t="s">
        <v>115</v>
      </c>
      <c r="J466">
        <v>12</v>
      </c>
      <c r="K466" t="s">
        <v>1563</v>
      </c>
      <c r="L466" t="str">
        <f t="shared" si="63"/>
        <v>N</v>
      </c>
      <c r="M466" t="str">
        <f t="shared" si="64"/>
        <v>Y</v>
      </c>
      <c r="N466" t="str">
        <f t="shared" si="65"/>
        <v>N</v>
      </c>
      <c r="O466">
        <f t="shared" si="66"/>
        <v>12</v>
      </c>
      <c r="P466" s="6">
        <f t="shared" si="67"/>
        <v>0.99404761904761907</v>
      </c>
      <c r="Q466" s="6">
        <f t="shared" si="68"/>
        <v>1.7964071856287425E-2</v>
      </c>
      <c r="R466">
        <f t="shared" si="69"/>
        <v>0</v>
      </c>
      <c r="S466">
        <f t="shared" si="70"/>
        <v>3</v>
      </c>
      <c r="T466" t="str">
        <f t="shared" si="71"/>
        <v>Feb-26</v>
      </c>
    </row>
    <row r="467" spans="1:20">
      <c r="A467" t="s">
        <v>850</v>
      </c>
      <c r="B467" t="s">
        <v>11</v>
      </c>
      <c r="C467" t="s">
        <v>16</v>
      </c>
      <c r="D467">
        <v>125</v>
      </c>
      <c r="E467" s="4">
        <v>46144</v>
      </c>
      <c r="F467" s="4">
        <v>46155</v>
      </c>
      <c r="G467" s="4">
        <v>46155</v>
      </c>
      <c r="H467">
        <v>116</v>
      </c>
      <c r="I467" t="s">
        <v>737</v>
      </c>
      <c r="J467">
        <v>2</v>
      </c>
      <c r="K467" t="s">
        <v>1563</v>
      </c>
      <c r="L467" t="str">
        <f t="shared" si="63"/>
        <v>Y</v>
      </c>
      <c r="M467" t="str">
        <f t="shared" si="64"/>
        <v>N</v>
      </c>
      <c r="N467" t="str">
        <f t="shared" si="65"/>
        <v>N</v>
      </c>
      <c r="O467">
        <f t="shared" si="66"/>
        <v>11</v>
      </c>
      <c r="P467" s="6">
        <f t="shared" si="67"/>
        <v>0.92800000000000005</v>
      </c>
      <c r="Q467" s="6">
        <f t="shared" si="68"/>
        <v>1.7241379310344827E-2</v>
      </c>
      <c r="R467">
        <f t="shared" si="69"/>
        <v>0</v>
      </c>
      <c r="S467">
        <f t="shared" si="70"/>
        <v>0</v>
      </c>
      <c r="T467" t="str">
        <f t="shared" si="71"/>
        <v>May-26</v>
      </c>
    </row>
    <row r="468" spans="1:20">
      <c r="A468" t="s">
        <v>851</v>
      </c>
      <c r="B468" t="s">
        <v>52</v>
      </c>
      <c r="C468" t="s">
        <v>12</v>
      </c>
      <c r="D468">
        <v>616</v>
      </c>
      <c r="E468" s="4">
        <v>46035</v>
      </c>
      <c r="F468" s="4">
        <v>46047</v>
      </c>
      <c r="G468" s="4">
        <v>46046</v>
      </c>
      <c r="H468">
        <v>519</v>
      </c>
      <c r="I468" t="s">
        <v>647</v>
      </c>
      <c r="J468">
        <v>0</v>
      </c>
      <c r="K468" t="s">
        <v>1563</v>
      </c>
      <c r="L468" t="str">
        <f t="shared" si="63"/>
        <v>Y</v>
      </c>
      <c r="M468" t="str">
        <f t="shared" si="64"/>
        <v>N</v>
      </c>
      <c r="N468" t="str">
        <f t="shared" si="65"/>
        <v>N</v>
      </c>
      <c r="O468">
        <f t="shared" si="66"/>
        <v>11</v>
      </c>
      <c r="P468" s="6">
        <f t="shared" si="67"/>
        <v>0.84253246753246758</v>
      </c>
      <c r="Q468" s="6">
        <f t="shared" si="68"/>
        <v>0</v>
      </c>
      <c r="R468">
        <f t="shared" si="69"/>
        <v>0</v>
      </c>
      <c r="S468">
        <f t="shared" si="70"/>
        <v>0</v>
      </c>
      <c r="T468" t="str">
        <f t="shared" si="71"/>
        <v>Jan-26</v>
      </c>
    </row>
    <row r="469" spans="1:20">
      <c r="A469" t="s">
        <v>852</v>
      </c>
      <c r="B469" t="s">
        <v>29</v>
      </c>
      <c r="C469" t="s">
        <v>12</v>
      </c>
      <c r="D469">
        <v>176</v>
      </c>
      <c r="E469" s="4">
        <v>46175</v>
      </c>
      <c r="F469" s="4">
        <v>46180</v>
      </c>
      <c r="G469" s="4">
        <v>46183</v>
      </c>
      <c r="H469">
        <v>177</v>
      </c>
      <c r="I469" t="s">
        <v>73</v>
      </c>
      <c r="J469">
        <v>2</v>
      </c>
      <c r="K469" t="s">
        <v>1563</v>
      </c>
      <c r="L469" t="str">
        <f t="shared" si="63"/>
        <v>N</v>
      </c>
      <c r="M469" t="str">
        <f t="shared" si="64"/>
        <v>Y</v>
      </c>
      <c r="N469" t="str">
        <f t="shared" si="65"/>
        <v>N</v>
      </c>
      <c r="O469">
        <f t="shared" si="66"/>
        <v>8</v>
      </c>
      <c r="P469" s="6">
        <f t="shared" si="67"/>
        <v>1.0056818181818181</v>
      </c>
      <c r="Q469" s="6">
        <f t="shared" si="68"/>
        <v>1.1299435028248588E-2</v>
      </c>
      <c r="R469">
        <f t="shared" si="69"/>
        <v>0</v>
      </c>
      <c r="S469">
        <f t="shared" si="70"/>
        <v>3</v>
      </c>
      <c r="T469" t="str">
        <f t="shared" si="71"/>
        <v>Jun-26</v>
      </c>
    </row>
    <row r="470" spans="1:20">
      <c r="A470" t="s">
        <v>853</v>
      </c>
      <c r="B470" t="s">
        <v>22</v>
      </c>
      <c r="C470" t="s">
        <v>12</v>
      </c>
      <c r="D470">
        <v>747</v>
      </c>
      <c r="E470" s="4">
        <v>46033</v>
      </c>
      <c r="F470" s="4">
        <v>46043</v>
      </c>
      <c r="G470" s="4">
        <v>46047</v>
      </c>
      <c r="H470">
        <v>643</v>
      </c>
      <c r="I470" t="s">
        <v>854</v>
      </c>
      <c r="J470">
        <v>24</v>
      </c>
      <c r="K470" t="s">
        <v>1563</v>
      </c>
      <c r="L470" t="str">
        <f t="shared" si="63"/>
        <v>N</v>
      </c>
      <c r="M470" t="str">
        <f t="shared" si="64"/>
        <v>N</v>
      </c>
      <c r="N470" t="str">
        <f t="shared" si="65"/>
        <v>N</v>
      </c>
      <c r="O470">
        <f t="shared" si="66"/>
        <v>14</v>
      </c>
      <c r="P470" s="6">
        <f t="shared" si="67"/>
        <v>0.86077643908969215</v>
      </c>
      <c r="Q470" s="6">
        <f t="shared" si="68"/>
        <v>3.7325038880248837E-2</v>
      </c>
      <c r="R470">
        <f t="shared" si="69"/>
        <v>0</v>
      </c>
      <c r="S470">
        <f t="shared" si="70"/>
        <v>4</v>
      </c>
      <c r="T470" t="str">
        <f t="shared" si="71"/>
        <v>Jan-26</v>
      </c>
    </row>
    <row r="471" spans="1:20">
      <c r="A471" t="s">
        <v>855</v>
      </c>
      <c r="B471" t="s">
        <v>43</v>
      </c>
      <c r="C471" t="s">
        <v>16</v>
      </c>
      <c r="D471">
        <v>183</v>
      </c>
      <c r="E471" s="4">
        <v>46030</v>
      </c>
      <c r="F471" s="4">
        <v>46044</v>
      </c>
      <c r="G471" s="4">
        <v>46041</v>
      </c>
      <c r="H471">
        <v>184</v>
      </c>
      <c r="I471" t="s">
        <v>856</v>
      </c>
      <c r="J471">
        <v>8</v>
      </c>
      <c r="K471" t="s">
        <v>1563</v>
      </c>
      <c r="L471" t="str">
        <f t="shared" si="63"/>
        <v>Y</v>
      </c>
      <c r="M471" t="str">
        <f t="shared" si="64"/>
        <v>Y</v>
      </c>
      <c r="N471" t="str">
        <f t="shared" si="65"/>
        <v>Y</v>
      </c>
      <c r="O471">
        <f t="shared" si="66"/>
        <v>11</v>
      </c>
      <c r="P471" s="6">
        <f t="shared" si="67"/>
        <v>1.0054644808743169</v>
      </c>
      <c r="Q471" s="6">
        <f t="shared" si="68"/>
        <v>4.3478260869565216E-2</v>
      </c>
      <c r="R471">
        <f t="shared" si="69"/>
        <v>1</v>
      </c>
      <c r="S471">
        <f t="shared" si="70"/>
        <v>0</v>
      </c>
      <c r="T471" t="str">
        <f t="shared" si="71"/>
        <v>Jan-26</v>
      </c>
    </row>
    <row r="472" spans="1:20">
      <c r="A472" t="s">
        <v>857</v>
      </c>
      <c r="B472" t="s">
        <v>81</v>
      </c>
      <c r="C472" t="s">
        <v>12</v>
      </c>
      <c r="D472">
        <v>553</v>
      </c>
      <c r="E472" s="4">
        <v>46116</v>
      </c>
      <c r="F472" s="4">
        <v>46125</v>
      </c>
      <c r="G472" s="4">
        <v>46124</v>
      </c>
      <c r="H472">
        <v>557</v>
      </c>
      <c r="I472" t="s">
        <v>605</v>
      </c>
      <c r="J472">
        <v>1</v>
      </c>
      <c r="K472" t="s">
        <v>1563</v>
      </c>
      <c r="L472" t="str">
        <f t="shared" si="63"/>
        <v>Y</v>
      </c>
      <c r="M472" t="str">
        <f t="shared" si="64"/>
        <v>Y</v>
      </c>
      <c r="N472" t="str">
        <f t="shared" si="65"/>
        <v>Y</v>
      </c>
      <c r="O472">
        <f t="shared" si="66"/>
        <v>8</v>
      </c>
      <c r="P472" s="6">
        <f t="shared" si="67"/>
        <v>1.0072332730560578</v>
      </c>
      <c r="Q472" s="6">
        <f t="shared" si="68"/>
        <v>1.7953321364452424E-3</v>
      </c>
      <c r="R472">
        <f t="shared" si="69"/>
        <v>1</v>
      </c>
      <c r="S472">
        <f t="shared" si="70"/>
        <v>0</v>
      </c>
      <c r="T472" t="str">
        <f t="shared" si="71"/>
        <v>Apr-26</v>
      </c>
    </row>
    <row r="473" spans="1:20">
      <c r="A473" t="s">
        <v>858</v>
      </c>
      <c r="B473" t="s">
        <v>46</v>
      </c>
      <c r="C473" t="s">
        <v>12</v>
      </c>
      <c r="D473">
        <v>263</v>
      </c>
      <c r="E473" s="4">
        <v>46132</v>
      </c>
      <c r="F473" s="4">
        <v>46141</v>
      </c>
      <c r="G473" s="4">
        <v>46139</v>
      </c>
      <c r="H473">
        <v>264</v>
      </c>
      <c r="I473" t="s">
        <v>391</v>
      </c>
      <c r="J473">
        <v>17</v>
      </c>
      <c r="K473" t="s">
        <v>1563</v>
      </c>
      <c r="L473" t="str">
        <f t="shared" si="63"/>
        <v>Y</v>
      </c>
      <c r="M473" t="str">
        <f t="shared" si="64"/>
        <v>Y</v>
      </c>
      <c r="N473" t="str">
        <f t="shared" si="65"/>
        <v>Y</v>
      </c>
      <c r="O473">
        <f t="shared" si="66"/>
        <v>7</v>
      </c>
      <c r="P473" s="6">
        <f t="shared" si="67"/>
        <v>1.0038022813688212</v>
      </c>
      <c r="Q473" s="6">
        <f t="shared" si="68"/>
        <v>6.4393939393939392E-2</v>
      </c>
      <c r="R473">
        <f t="shared" si="69"/>
        <v>1</v>
      </c>
      <c r="S473">
        <f t="shared" si="70"/>
        <v>0</v>
      </c>
      <c r="T473" t="str">
        <f t="shared" si="71"/>
        <v>Apr-26</v>
      </c>
    </row>
    <row r="474" spans="1:20">
      <c r="A474" t="s">
        <v>859</v>
      </c>
      <c r="B474" t="s">
        <v>177</v>
      </c>
      <c r="C474" t="s">
        <v>16</v>
      </c>
      <c r="D474">
        <v>707</v>
      </c>
      <c r="E474" s="4">
        <v>46110</v>
      </c>
      <c r="F474" s="4">
        <v>46116</v>
      </c>
      <c r="G474" s="4">
        <v>46124</v>
      </c>
      <c r="H474">
        <v>702</v>
      </c>
      <c r="I474" t="s">
        <v>1564</v>
      </c>
      <c r="J474">
        <v>33</v>
      </c>
      <c r="K474" t="s">
        <v>1563</v>
      </c>
      <c r="L474" t="str">
        <f t="shared" si="63"/>
        <v>N</v>
      </c>
      <c r="M474" t="str">
        <f t="shared" si="64"/>
        <v>Y</v>
      </c>
      <c r="N474" t="str">
        <f t="shared" si="65"/>
        <v>N</v>
      </c>
      <c r="O474">
        <f t="shared" si="66"/>
        <v>14</v>
      </c>
      <c r="P474" s="6">
        <f t="shared" si="67"/>
        <v>0.99292786421499291</v>
      </c>
      <c r="Q474" s="6">
        <f t="shared" si="68"/>
        <v>4.7008547008547008E-2</v>
      </c>
      <c r="R474">
        <f t="shared" si="69"/>
        <v>0</v>
      </c>
      <c r="S474">
        <f t="shared" si="70"/>
        <v>8</v>
      </c>
      <c r="T474" t="str">
        <f t="shared" si="71"/>
        <v>Apr-26</v>
      </c>
    </row>
    <row r="475" spans="1:20">
      <c r="A475" t="s">
        <v>860</v>
      </c>
      <c r="B475" t="s">
        <v>32</v>
      </c>
      <c r="C475" t="s">
        <v>12</v>
      </c>
      <c r="D475">
        <v>131</v>
      </c>
      <c r="E475" s="4">
        <v>46110</v>
      </c>
      <c r="F475" s="4">
        <v>46115</v>
      </c>
      <c r="G475" s="4">
        <v>46112</v>
      </c>
      <c r="H475">
        <v>130</v>
      </c>
      <c r="I475" t="s">
        <v>711</v>
      </c>
      <c r="J475">
        <v>1</v>
      </c>
      <c r="K475" t="s">
        <v>1563</v>
      </c>
      <c r="L475" t="str">
        <f t="shared" si="63"/>
        <v>Y</v>
      </c>
      <c r="M475" t="str">
        <f t="shared" si="64"/>
        <v>Y</v>
      </c>
      <c r="N475" t="str">
        <f t="shared" si="65"/>
        <v>Y</v>
      </c>
      <c r="O475">
        <f t="shared" si="66"/>
        <v>2</v>
      </c>
      <c r="P475" s="6">
        <f t="shared" si="67"/>
        <v>0.99236641221374045</v>
      </c>
      <c r="Q475" s="6">
        <f t="shared" si="68"/>
        <v>7.6923076923076927E-3</v>
      </c>
      <c r="R475">
        <f t="shared" si="69"/>
        <v>1</v>
      </c>
      <c r="S475">
        <f t="shared" si="70"/>
        <v>0</v>
      </c>
      <c r="T475" t="str">
        <f t="shared" si="71"/>
        <v>Mar-26</v>
      </c>
    </row>
    <row r="476" spans="1:20">
      <c r="A476" t="s">
        <v>861</v>
      </c>
      <c r="B476" t="s">
        <v>49</v>
      </c>
      <c r="C476" t="s">
        <v>12</v>
      </c>
      <c r="D476">
        <v>289</v>
      </c>
      <c r="E476" s="4">
        <v>46077</v>
      </c>
      <c r="F476" s="4">
        <v>46083</v>
      </c>
      <c r="G476" s="4"/>
      <c r="I476" t="s">
        <v>862</v>
      </c>
      <c r="K476" t="s">
        <v>1565</v>
      </c>
      <c r="L476" t="str">
        <f t="shared" si="63"/>
        <v>N/A</v>
      </c>
      <c r="M476" t="str">
        <f t="shared" si="64"/>
        <v>N/A</v>
      </c>
      <c r="N476" t="str">
        <f t="shared" si="65"/>
        <v>N/A</v>
      </c>
      <c r="O476" t="str">
        <f t="shared" si="66"/>
        <v>N/A</v>
      </c>
      <c r="P476" s="6" t="str">
        <f t="shared" si="67"/>
        <v>N/A</v>
      </c>
      <c r="Q476" s="6" t="str">
        <f t="shared" si="68"/>
        <v>N/A</v>
      </c>
      <c r="R476" t="str">
        <f t="shared" si="69"/>
        <v/>
      </c>
      <c r="S476" t="str">
        <f t="shared" si="70"/>
        <v>N/A</v>
      </c>
      <c r="T476" t="str">
        <f t="shared" si="71"/>
        <v>N/A</v>
      </c>
    </row>
    <row r="477" spans="1:20">
      <c r="A477" t="s">
        <v>863</v>
      </c>
      <c r="B477" t="s">
        <v>11</v>
      </c>
      <c r="C477" t="s">
        <v>12</v>
      </c>
      <c r="D477">
        <v>979</v>
      </c>
      <c r="E477" s="4">
        <v>46029</v>
      </c>
      <c r="F477" s="4">
        <v>46034</v>
      </c>
      <c r="G477" s="4">
        <v>46036</v>
      </c>
      <c r="H477">
        <v>981</v>
      </c>
      <c r="I477" t="s">
        <v>864</v>
      </c>
      <c r="J477">
        <v>31</v>
      </c>
      <c r="K477" t="s">
        <v>1563</v>
      </c>
      <c r="L477" t="str">
        <f t="shared" si="63"/>
        <v>N</v>
      </c>
      <c r="M477" t="str">
        <f t="shared" si="64"/>
        <v>Y</v>
      </c>
      <c r="N477" t="str">
        <f t="shared" si="65"/>
        <v>N</v>
      </c>
      <c r="O477">
        <f t="shared" si="66"/>
        <v>7</v>
      </c>
      <c r="P477" s="6">
        <f t="shared" si="67"/>
        <v>1.0020429009193055</v>
      </c>
      <c r="Q477" s="6">
        <f t="shared" si="68"/>
        <v>3.1600407747196739E-2</v>
      </c>
      <c r="R477">
        <f t="shared" si="69"/>
        <v>0</v>
      </c>
      <c r="S477">
        <f t="shared" si="70"/>
        <v>2</v>
      </c>
      <c r="T477" t="str">
        <f t="shared" si="71"/>
        <v>Jan-26</v>
      </c>
    </row>
    <row r="478" spans="1:20">
      <c r="A478" t="s">
        <v>865</v>
      </c>
      <c r="B478" t="s">
        <v>35</v>
      </c>
      <c r="C478" t="s">
        <v>12</v>
      </c>
      <c r="D478">
        <v>600</v>
      </c>
      <c r="E478" s="4">
        <v>46068</v>
      </c>
      <c r="F478" s="4">
        <v>46077</v>
      </c>
      <c r="G478" s="4">
        <v>46074</v>
      </c>
      <c r="H478">
        <v>540</v>
      </c>
      <c r="I478" t="s">
        <v>668</v>
      </c>
      <c r="J478">
        <v>35</v>
      </c>
      <c r="K478" t="s">
        <v>1563</v>
      </c>
      <c r="L478" t="str">
        <f t="shared" si="63"/>
        <v>Y</v>
      </c>
      <c r="M478" t="str">
        <f t="shared" si="64"/>
        <v>N</v>
      </c>
      <c r="N478" t="str">
        <f t="shared" si="65"/>
        <v>N</v>
      </c>
      <c r="O478">
        <f t="shared" si="66"/>
        <v>6</v>
      </c>
      <c r="P478" s="6">
        <f t="shared" si="67"/>
        <v>0.9</v>
      </c>
      <c r="Q478" s="6">
        <f t="shared" si="68"/>
        <v>6.4814814814814811E-2</v>
      </c>
      <c r="R478">
        <f t="shared" si="69"/>
        <v>0</v>
      </c>
      <c r="S478">
        <f t="shared" si="70"/>
        <v>0</v>
      </c>
      <c r="T478" t="str">
        <f t="shared" si="71"/>
        <v>Feb-26</v>
      </c>
    </row>
    <row r="479" spans="1:20">
      <c r="A479" t="s">
        <v>866</v>
      </c>
      <c r="B479" t="s">
        <v>40</v>
      </c>
      <c r="C479" t="s">
        <v>23</v>
      </c>
      <c r="D479">
        <v>565</v>
      </c>
      <c r="E479" s="4">
        <v>46051</v>
      </c>
      <c r="F479" s="4">
        <v>46066</v>
      </c>
      <c r="G479" s="4">
        <v>46074</v>
      </c>
      <c r="H479">
        <v>560</v>
      </c>
      <c r="I479" t="s">
        <v>636</v>
      </c>
      <c r="J479">
        <v>12</v>
      </c>
      <c r="K479" t="s">
        <v>1563</v>
      </c>
      <c r="L479" t="str">
        <f t="shared" si="63"/>
        <v>N</v>
      </c>
      <c r="M479" t="str">
        <f t="shared" si="64"/>
        <v>Y</v>
      </c>
      <c r="N479" t="str">
        <f t="shared" si="65"/>
        <v>N</v>
      </c>
      <c r="O479">
        <f t="shared" si="66"/>
        <v>23</v>
      </c>
      <c r="P479" s="6">
        <f t="shared" si="67"/>
        <v>0.99115044247787609</v>
      </c>
      <c r="Q479" s="6">
        <f t="shared" si="68"/>
        <v>2.1428571428571429E-2</v>
      </c>
      <c r="R479">
        <f t="shared" si="69"/>
        <v>0</v>
      </c>
      <c r="S479">
        <f t="shared" si="70"/>
        <v>8</v>
      </c>
      <c r="T479" t="str">
        <f t="shared" si="71"/>
        <v>Feb-26</v>
      </c>
    </row>
    <row r="480" spans="1:20">
      <c r="A480" t="s">
        <v>867</v>
      </c>
      <c r="B480" t="s">
        <v>177</v>
      </c>
      <c r="C480" t="s">
        <v>23</v>
      </c>
      <c r="D480">
        <v>540</v>
      </c>
      <c r="E480" s="4">
        <v>46121</v>
      </c>
      <c r="F480" s="4">
        <v>46132</v>
      </c>
      <c r="G480" s="4">
        <v>46129</v>
      </c>
      <c r="H480">
        <v>541</v>
      </c>
      <c r="I480" t="s">
        <v>314</v>
      </c>
      <c r="J480">
        <v>16</v>
      </c>
      <c r="K480" t="s">
        <v>1563</v>
      </c>
      <c r="L480" t="str">
        <f t="shared" si="63"/>
        <v>Y</v>
      </c>
      <c r="M480" t="str">
        <f t="shared" si="64"/>
        <v>Y</v>
      </c>
      <c r="N480" t="str">
        <f t="shared" si="65"/>
        <v>Y</v>
      </c>
      <c r="O480">
        <f t="shared" si="66"/>
        <v>8</v>
      </c>
      <c r="P480" s="6">
        <f t="shared" si="67"/>
        <v>1.0018518518518518</v>
      </c>
      <c r="Q480" s="6">
        <f t="shared" si="68"/>
        <v>2.9574861367837338E-2</v>
      </c>
      <c r="R480">
        <f t="shared" si="69"/>
        <v>1</v>
      </c>
      <c r="S480">
        <f t="shared" si="70"/>
        <v>0</v>
      </c>
      <c r="T480" t="str">
        <f t="shared" si="71"/>
        <v>Apr-26</v>
      </c>
    </row>
    <row r="481" spans="1:20">
      <c r="A481" t="s">
        <v>868</v>
      </c>
      <c r="B481" t="s">
        <v>19</v>
      </c>
      <c r="C481" t="s">
        <v>16</v>
      </c>
      <c r="D481">
        <v>353</v>
      </c>
      <c r="E481" s="4">
        <v>46050</v>
      </c>
      <c r="F481" s="4">
        <v>46055</v>
      </c>
      <c r="G481" s="4">
        <v>46052</v>
      </c>
      <c r="H481">
        <v>355</v>
      </c>
      <c r="I481" t="s">
        <v>27</v>
      </c>
      <c r="J481">
        <v>0</v>
      </c>
      <c r="K481" t="s">
        <v>1563</v>
      </c>
      <c r="L481" t="str">
        <f t="shared" si="63"/>
        <v>Y</v>
      </c>
      <c r="M481" t="str">
        <f t="shared" si="64"/>
        <v>Y</v>
      </c>
      <c r="N481" t="str">
        <f t="shared" si="65"/>
        <v>Y</v>
      </c>
      <c r="O481">
        <f t="shared" si="66"/>
        <v>2</v>
      </c>
      <c r="P481" s="6">
        <f t="shared" si="67"/>
        <v>1.0056657223796035</v>
      </c>
      <c r="Q481" s="6">
        <f t="shared" si="68"/>
        <v>0</v>
      </c>
      <c r="R481">
        <f t="shared" si="69"/>
        <v>1</v>
      </c>
      <c r="S481">
        <f t="shared" si="70"/>
        <v>0</v>
      </c>
      <c r="T481" t="str">
        <f t="shared" si="71"/>
        <v>Jan-26</v>
      </c>
    </row>
    <row r="482" spans="1:20">
      <c r="A482" t="s">
        <v>869</v>
      </c>
      <c r="B482" t="s">
        <v>177</v>
      </c>
      <c r="C482" t="s">
        <v>23</v>
      </c>
      <c r="D482">
        <v>214</v>
      </c>
      <c r="E482" s="4">
        <v>46106</v>
      </c>
      <c r="F482" s="4">
        <v>46112</v>
      </c>
      <c r="G482" s="4">
        <v>46109</v>
      </c>
      <c r="H482">
        <v>213</v>
      </c>
      <c r="I482" t="s">
        <v>748</v>
      </c>
      <c r="J482">
        <v>11</v>
      </c>
      <c r="K482" t="s">
        <v>1563</v>
      </c>
      <c r="L482" t="str">
        <f t="shared" si="63"/>
        <v>Y</v>
      </c>
      <c r="M482" t="str">
        <f t="shared" si="64"/>
        <v>Y</v>
      </c>
      <c r="N482" t="str">
        <f t="shared" si="65"/>
        <v>Y</v>
      </c>
      <c r="O482">
        <f t="shared" si="66"/>
        <v>3</v>
      </c>
      <c r="P482" s="6">
        <f t="shared" si="67"/>
        <v>0.99532710280373837</v>
      </c>
      <c r="Q482" s="6">
        <f t="shared" si="68"/>
        <v>5.1643192488262914E-2</v>
      </c>
      <c r="R482">
        <f t="shared" si="69"/>
        <v>1</v>
      </c>
      <c r="S482">
        <f t="shared" si="70"/>
        <v>0</v>
      </c>
      <c r="T482" t="str">
        <f t="shared" si="71"/>
        <v>Mar-26</v>
      </c>
    </row>
    <row r="483" spans="1:20">
      <c r="A483" t="s">
        <v>871</v>
      </c>
      <c r="B483" t="s">
        <v>64</v>
      </c>
      <c r="C483" t="s">
        <v>12</v>
      </c>
      <c r="D483">
        <v>585</v>
      </c>
      <c r="E483" s="4">
        <v>46095</v>
      </c>
      <c r="F483" s="4">
        <v>46103</v>
      </c>
      <c r="G483" s="4">
        <v>46103</v>
      </c>
      <c r="H483">
        <v>582</v>
      </c>
      <c r="I483" t="s">
        <v>872</v>
      </c>
      <c r="J483">
        <v>5</v>
      </c>
      <c r="K483" t="s">
        <v>1563</v>
      </c>
      <c r="L483" t="str">
        <f t="shared" si="63"/>
        <v>Y</v>
      </c>
      <c r="M483" t="str">
        <f t="shared" si="64"/>
        <v>Y</v>
      </c>
      <c r="N483" t="str">
        <f t="shared" si="65"/>
        <v>Y</v>
      </c>
      <c r="O483">
        <f t="shared" si="66"/>
        <v>8</v>
      </c>
      <c r="P483" s="6">
        <f t="shared" si="67"/>
        <v>0.99487179487179489</v>
      </c>
      <c r="Q483" s="6">
        <f t="shared" si="68"/>
        <v>8.5910652920962206E-3</v>
      </c>
      <c r="R483">
        <f t="shared" si="69"/>
        <v>1</v>
      </c>
      <c r="S483">
        <f t="shared" si="70"/>
        <v>0</v>
      </c>
      <c r="T483" t="str">
        <f t="shared" si="71"/>
        <v>Mar-26</v>
      </c>
    </row>
    <row r="484" spans="1:20">
      <c r="A484" t="s">
        <v>873</v>
      </c>
      <c r="B484" t="s">
        <v>177</v>
      </c>
      <c r="C484" t="s">
        <v>16</v>
      </c>
      <c r="D484">
        <v>887</v>
      </c>
      <c r="E484" s="4">
        <v>46040</v>
      </c>
      <c r="F484" s="4">
        <v>46049</v>
      </c>
      <c r="G484" s="4">
        <v>46056</v>
      </c>
      <c r="H484">
        <v>899</v>
      </c>
      <c r="I484" t="s">
        <v>874</v>
      </c>
      <c r="J484">
        <v>17</v>
      </c>
      <c r="K484" t="s">
        <v>1563</v>
      </c>
      <c r="L484" t="str">
        <f t="shared" si="63"/>
        <v>N</v>
      </c>
      <c r="M484" t="str">
        <f t="shared" si="64"/>
        <v>Y</v>
      </c>
      <c r="N484" t="str">
        <f t="shared" si="65"/>
        <v>N</v>
      </c>
      <c r="O484">
        <f t="shared" si="66"/>
        <v>16</v>
      </c>
      <c r="P484" s="6">
        <f t="shared" si="67"/>
        <v>1.0135287485907554</v>
      </c>
      <c r="Q484" s="6">
        <f t="shared" si="68"/>
        <v>1.8909899888765295E-2</v>
      </c>
      <c r="R484">
        <f t="shared" si="69"/>
        <v>0</v>
      </c>
      <c r="S484">
        <f t="shared" si="70"/>
        <v>7</v>
      </c>
      <c r="T484" t="str">
        <f t="shared" si="71"/>
        <v>Feb-26</v>
      </c>
    </row>
    <row r="485" spans="1:20">
      <c r="A485" t="s">
        <v>875</v>
      </c>
      <c r="B485" t="s">
        <v>29</v>
      </c>
      <c r="C485" t="s">
        <v>16</v>
      </c>
      <c r="D485">
        <v>190</v>
      </c>
      <c r="E485" s="4">
        <v>46094</v>
      </c>
      <c r="F485" s="4">
        <v>46102</v>
      </c>
      <c r="G485" s="4">
        <v>46099</v>
      </c>
      <c r="H485">
        <v>192</v>
      </c>
      <c r="I485" t="s">
        <v>876</v>
      </c>
      <c r="J485">
        <v>2</v>
      </c>
      <c r="K485" t="s">
        <v>1563</v>
      </c>
      <c r="L485" t="str">
        <f t="shared" si="63"/>
        <v>Y</v>
      </c>
      <c r="M485" t="str">
        <f t="shared" si="64"/>
        <v>Y</v>
      </c>
      <c r="N485" t="str">
        <f t="shared" si="65"/>
        <v>Y</v>
      </c>
      <c r="O485">
        <f t="shared" si="66"/>
        <v>5</v>
      </c>
      <c r="P485" s="6">
        <f t="shared" si="67"/>
        <v>1.0105263157894737</v>
      </c>
      <c r="Q485" s="6">
        <f t="shared" si="68"/>
        <v>1.0416666666666666E-2</v>
      </c>
      <c r="R485">
        <f t="shared" si="69"/>
        <v>1</v>
      </c>
      <c r="S485">
        <f t="shared" si="70"/>
        <v>0</v>
      </c>
      <c r="T485" t="str">
        <f t="shared" si="71"/>
        <v>Mar-26</v>
      </c>
    </row>
    <row r="486" spans="1:20">
      <c r="A486" t="s">
        <v>877</v>
      </c>
      <c r="B486" t="s">
        <v>120</v>
      </c>
      <c r="C486" t="s">
        <v>23</v>
      </c>
      <c r="D486">
        <v>352</v>
      </c>
      <c r="E486" s="4">
        <v>46148</v>
      </c>
      <c r="F486" s="4">
        <v>46153</v>
      </c>
      <c r="G486" s="4">
        <v>46152</v>
      </c>
      <c r="H486">
        <v>352</v>
      </c>
      <c r="I486" t="s">
        <v>878</v>
      </c>
      <c r="J486">
        <v>7</v>
      </c>
      <c r="K486" t="s">
        <v>1563</v>
      </c>
      <c r="L486" t="str">
        <f t="shared" si="63"/>
        <v>Y</v>
      </c>
      <c r="M486" t="str">
        <f t="shared" si="64"/>
        <v>Y</v>
      </c>
      <c r="N486" t="str">
        <f t="shared" si="65"/>
        <v>Y</v>
      </c>
      <c r="O486">
        <f t="shared" si="66"/>
        <v>4</v>
      </c>
      <c r="P486" s="6">
        <f t="shared" si="67"/>
        <v>1</v>
      </c>
      <c r="Q486" s="6">
        <f t="shared" si="68"/>
        <v>1.9886363636363636E-2</v>
      </c>
      <c r="R486">
        <f t="shared" si="69"/>
        <v>1</v>
      </c>
      <c r="S486">
        <f t="shared" si="70"/>
        <v>0</v>
      </c>
      <c r="T486" t="str">
        <f t="shared" si="71"/>
        <v>May-26</v>
      </c>
    </row>
    <row r="487" spans="1:20">
      <c r="A487" t="s">
        <v>879</v>
      </c>
      <c r="B487" t="s">
        <v>19</v>
      </c>
      <c r="C487" t="s">
        <v>12</v>
      </c>
      <c r="D487">
        <v>550</v>
      </c>
      <c r="E487" s="4">
        <v>46171</v>
      </c>
      <c r="F487" s="4">
        <v>46185</v>
      </c>
      <c r="G487" s="4">
        <v>46182</v>
      </c>
      <c r="H487">
        <v>558</v>
      </c>
      <c r="I487" t="s">
        <v>821</v>
      </c>
      <c r="J487">
        <v>22</v>
      </c>
      <c r="K487" t="s">
        <v>1563</v>
      </c>
      <c r="L487" t="str">
        <f t="shared" si="63"/>
        <v>Y</v>
      </c>
      <c r="M487" t="str">
        <f t="shared" si="64"/>
        <v>Y</v>
      </c>
      <c r="N487" t="str">
        <f t="shared" si="65"/>
        <v>Y</v>
      </c>
      <c r="O487">
        <f t="shared" si="66"/>
        <v>11</v>
      </c>
      <c r="P487" s="6">
        <f t="shared" si="67"/>
        <v>1.0145454545454546</v>
      </c>
      <c r="Q487" s="6">
        <f t="shared" si="68"/>
        <v>3.9426523297491037E-2</v>
      </c>
      <c r="R487">
        <f t="shared" si="69"/>
        <v>1</v>
      </c>
      <c r="S487">
        <f t="shared" si="70"/>
        <v>0</v>
      </c>
      <c r="T487" t="str">
        <f t="shared" si="71"/>
        <v>Jun-26</v>
      </c>
    </row>
    <row r="488" spans="1:20">
      <c r="A488" t="s">
        <v>880</v>
      </c>
      <c r="B488" t="s">
        <v>64</v>
      </c>
      <c r="C488" t="s">
        <v>12</v>
      </c>
      <c r="D488">
        <v>557</v>
      </c>
      <c r="E488" s="4">
        <v>46082</v>
      </c>
      <c r="F488" s="4">
        <v>46090</v>
      </c>
      <c r="G488" s="4">
        <v>46089</v>
      </c>
      <c r="H488">
        <v>553</v>
      </c>
      <c r="I488" t="s">
        <v>881</v>
      </c>
      <c r="J488">
        <v>27</v>
      </c>
      <c r="K488" t="s">
        <v>1563</v>
      </c>
      <c r="L488" t="str">
        <f t="shared" si="63"/>
        <v>Y</v>
      </c>
      <c r="M488" t="str">
        <f t="shared" si="64"/>
        <v>Y</v>
      </c>
      <c r="N488" t="str">
        <f t="shared" si="65"/>
        <v>Y</v>
      </c>
      <c r="O488">
        <f t="shared" si="66"/>
        <v>7</v>
      </c>
      <c r="P488" s="6">
        <f t="shared" si="67"/>
        <v>0.99281867145421898</v>
      </c>
      <c r="Q488" s="6">
        <f t="shared" si="68"/>
        <v>4.8824593128390596E-2</v>
      </c>
      <c r="R488">
        <f t="shared" si="69"/>
        <v>1</v>
      </c>
      <c r="S488">
        <f t="shared" si="70"/>
        <v>0</v>
      </c>
      <c r="T488" t="str">
        <f t="shared" si="71"/>
        <v>Mar-26</v>
      </c>
    </row>
    <row r="489" spans="1:20">
      <c r="A489" t="s">
        <v>882</v>
      </c>
      <c r="B489" t="s">
        <v>54</v>
      </c>
      <c r="C489" t="s">
        <v>12</v>
      </c>
      <c r="D489">
        <v>548</v>
      </c>
      <c r="E489" s="4">
        <v>46080</v>
      </c>
      <c r="F489" s="4">
        <v>46094</v>
      </c>
      <c r="G489" s="4">
        <v>46094</v>
      </c>
      <c r="H489">
        <v>557</v>
      </c>
      <c r="I489" t="s">
        <v>461</v>
      </c>
      <c r="J489">
        <v>4</v>
      </c>
      <c r="K489" t="s">
        <v>1563</v>
      </c>
      <c r="L489" t="str">
        <f t="shared" si="63"/>
        <v>Y</v>
      </c>
      <c r="M489" t="str">
        <f t="shared" si="64"/>
        <v>Y</v>
      </c>
      <c r="N489" t="str">
        <f t="shared" si="65"/>
        <v>Y</v>
      </c>
      <c r="O489">
        <f t="shared" si="66"/>
        <v>14</v>
      </c>
      <c r="P489" s="6">
        <f t="shared" si="67"/>
        <v>1.0164233576642336</v>
      </c>
      <c r="Q489" s="6">
        <f t="shared" si="68"/>
        <v>7.1813285457809697E-3</v>
      </c>
      <c r="R489">
        <f t="shared" si="69"/>
        <v>1</v>
      </c>
      <c r="S489">
        <f t="shared" si="70"/>
        <v>0</v>
      </c>
      <c r="T489" t="str">
        <f t="shared" si="71"/>
        <v>Mar-26</v>
      </c>
    </row>
    <row r="490" spans="1:20">
      <c r="A490" t="s">
        <v>883</v>
      </c>
      <c r="B490" t="s">
        <v>11</v>
      </c>
      <c r="C490" t="s">
        <v>23</v>
      </c>
      <c r="D490">
        <v>414</v>
      </c>
      <c r="E490" s="4">
        <v>46130</v>
      </c>
      <c r="F490" s="4">
        <v>46138</v>
      </c>
      <c r="G490" s="4">
        <v>46147</v>
      </c>
      <c r="H490">
        <v>413</v>
      </c>
      <c r="I490" t="s">
        <v>388</v>
      </c>
      <c r="J490">
        <v>9</v>
      </c>
      <c r="K490" t="s">
        <v>1563</v>
      </c>
      <c r="L490" t="str">
        <f t="shared" si="63"/>
        <v>N</v>
      </c>
      <c r="M490" t="str">
        <f t="shared" si="64"/>
        <v>Y</v>
      </c>
      <c r="N490" t="str">
        <f t="shared" si="65"/>
        <v>N</v>
      </c>
      <c r="O490">
        <f t="shared" si="66"/>
        <v>17</v>
      </c>
      <c r="P490" s="6">
        <f t="shared" si="67"/>
        <v>0.99758454106280192</v>
      </c>
      <c r="Q490" s="6">
        <f t="shared" si="68"/>
        <v>2.1791767554479417E-2</v>
      </c>
      <c r="R490">
        <f t="shared" si="69"/>
        <v>0</v>
      </c>
      <c r="S490">
        <f t="shared" si="70"/>
        <v>9</v>
      </c>
      <c r="T490" t="str">
        <f t="shared" si="71"/>
        <v>May-26</v>
      </c>
    </row>
    <row r="491" spans="1:20">
      <c r="A491" t="s">
        <v>884</v>
      </c>
      <c r="B491" t="s">
        <v>67</v>
      </c>
      <c r="C491" t="s">
        <v>16</v>
      </c>
      <c r="D491">
        <v>854</v>
      </c>
      <c r="E491" s="4">
        <v>46075</v>
      </c>
      <c r="F491" s="4">
        <v>46081</v>
      </c>
      <c r="G491" s="4">
        <v>46078</v>
      </c>
      <c r="H491">
        <v>745</v>
      </c>
      <c r="I491" t="s">
        <v>301</v>
      </c>
      <c r="J491">
        <v>7</v>
      </c>
      <c r="K491" t="s">
        <v>1563</v>
      </c>
      <c r="L491" t="str">
        <f t="shared" si="63"/>
        <v>Y</v>
      </c>
      <c r="M491" t="str">
        <f t="shared" si="64"/>
        <v>N</v>
      </c>
      <c r="N491" t="str">
        <f t="shared" si="65"/>
        <v>N</v>
      </c>
      <c r="O491">
        <f t="shared" si="66"/>
        <v>3</v>
      </c>
      <c r="P491" s="6">
        <f t="shared" si="67"/>
        <v>0.8723653395784543</v>
      </c>
      <c r="Q491" s="6">
        <f t="shared" si="68"/>
        <v>9.3959731543624154E-3</v>
      </c>
      <c r="R491">
        <f t="shared" si="69"/>
        <v>0</v>
      </c>
      <c r="S491">
        <f t="shared" si="70"/>
        <v>0</v>
      </c>
      <c r="T491" t="str">
        <f t="shared" si="71"/>
        <v>Feb-26</v>
      </c>
    </row>
    <row r="492" spans="1:20">
      <c r="A492" t="s">
        <v>885</v>
      </c>
      <c r="B492" t="s">
        <v>22</v>
      </c>
      <c r="C492" t="s">
        <v>12</v>
      </c>
      <c r="D492">
        <v>904</v>
      </c>
      <c r="E492" s="4">
        <v>46073</v>
      </c>
      <c r="F492" s="4">
        <v>46088</v>
      </c>
      <c r="G492" s="4">
        <v>46085</v>
      </c>
      <c r="H492">
        <v>821</v>
      </c>
      <c r="I492" t="s">
        <v>540</v>
      </c>
      <c r="J492">
        <v>37</v>
      </c>
      <c r="K492" t="s">
        <v>1563</v>
      </c>
      <c r="L492" t="str">
        <f t="shared" si="63"/>
        <v>Y</v>
      </c>
      <c r="M492" t="str">
        <f t="shared" si="64"/>
        <v>N</v>
      </c>
      <c r="N492" t="str">
        <f t="shared" si="65"/>
        <v>N</v>
      </c>
      <c r="O492">
        <f t="shared" si="66"/>
        <v>12</v>
      </c>
      <c r="P492" s="6">
        <f t="shared" si="67"/>
        <v>0.9081858407079646</v>
      </c>
      <c r="Q492" s="6">
        <f t="shared" si="68"/>
        <v>4.5066991473812421E-2</v>
      </c>
      <c r="R492">
        <f t="shared" si="69"/>
        <v>0</v>
      </c>
      <c r="S492">
        <f t="shared" si="70"/>
        <v>0</v>
      </c>
      <c r="T492" t="str">
        <f t="shared" si="71"/>
        <v>Mar-26</v>
      </c>
    </row>
    <row r="493" spans="1:20">
      <c r="A493" t="s">
        <v>886</v>
      </c>
      <c r="B493" t="s">
        <v>46</v>
      </c>
      <c r="C493" t="s">
        <v>12</v>
      </c>
      <c r="D493">
        <v>873</v>
      </c>
      <c r="E493" s="4">
        <v>46062</v>
      </c>
      <c r="F493" s="4">
        <v>46071</v>
      </c>
      <c r="G493" s="4">
        <v>46070</v>
      </c>
      <c r="H493">
        <v>858</v>
      </c>
      <c r="I493" t="s">
        <v>887</v>
      </c>
      <c r="J493">
        <v>82</v>
      </c>
      <c r="K493" t="s">
        <v>1563</v>
      </c>
      <c r="L493" t="str">
        <f t="shared" si="63"/>
        <v>Y</v>
      </c>
      <c r="M493" t="str">
        <f t="shared" si="64"/>
        <v>Y</v>
      </c>
      <c r="N493" t="str">
        <f t="shared" si="65"/>
        <v>Y</v>
      </c>
      <c r="O493">
        <f t="shared" si="66"/>
        <v>8</v>
      </c>
      <c r="P493" s="6">
        <f t="shared" si="67"/>
        <v>0.98281786941580751</v>
      </c>
      <c r="Q493" s="6">
        <f t="shared" si="68"/>
        <v>9.5571095571095568E-2</v>
      </c>
      <c r="R493">
        <f t="shared" si="69"/>
        <v>1</v>
      </c>
      <c r="S493">
        <f t="shared" si="70"/>
        <v>0</v>
      </c>
      <c r="T493" t="str">
        <f t="shared" si="71"/>
        <v>Feb-26</v>
      </c>
    </row>
    <row r="494" spans="1:20">
      <c r="A494" t="s">
        <v>888</v>
      </c>
      <c r="B494" t="s">
        <v>29</v>
      </c>
      <c r="C494" t="s">
        <v>23</v>
      </c>
      <c r="D494">
        <v>984</v>
      </c>
      <c r="E494" s="4">
        <v>46035</v>
      </c>
      <c r="F494" s="4">
        <v>46046</v>
      </c>
      <c r="G494" s="4">
        <v>46049</v>
      </c>
      <c r="H494">
        <v>983</v>
      </c>
      <c r="I494" t="s">
        <v>512</v>
      </c>
      <c r="J494">
        <v>8</v>
      </c>
      <c r="K494" t="s">
        <v>1563</v>
      </c>
      <c r="L494" t="str">
        <f t="shared" si="63"/>
        <v>N</v>
      </c>
      <c r="M494" t="str">
        <f t="shared" si="64"/>
        <v>Y</v>
      </c>
      <c r="N494" t="str">
        <f t="shared" si="65"/>
        <v>N</v>
      </c>
      <c r="O494">
        <f t="shared" si="66"/>
        <v>14</v>
      </c>
      <c r="P494" s="6">
        <f t="shared" si="67"/>
        <v>0.99898373983739841</v>
      </c>
      <c r="Q494" s="6">
        <f t="shared" si="68"/>
        <v>8.1383519837232958E-3</v>
      </c>
      <c r="R494">
        <f t="shared" si="69"/>
        <v>0</v>
      </c>
      <c r="S494">
        <f t="shared" si="70"/>
        <v>3</v>
      </c>
      <c r="T494" t="str">
        <f t="shared" si="71"/>
        <v>Jan-26</v>
      </c>
    </row>
    <row r="495" spans="1:20">
      <c r="A495" t="s">
        <v>890</v>
      </c>
      <c r="B495" t="s">
        <v>67</v>
      </c>
      <c r="C495" t="s">
        <v>12</v>
      </c>
      <c r="D495">
        <v>698</v>
      </c>
      <c r="E495" s="4">
        <v>46161</v>
      </c>
      <c r="F495" s="4">
        <v>46170</v>
      </c>
      <c r="G495" s="4">
        <v>46167</v>
      </c>
      <c r="H495">
        <v>703</v>
      </c>
      <c r="I495" t="s">
        <v>891</v>
      </c>
      <c r="J495">
        <v>10</v>
      </c>
      <c r="K495" t="s">
        <v>1563</v>
      </c>
      <c r="L495" t="str">
        <f t="shared" si="63"/>
        <v>Y</v>
      </c>
      <c r="M495" t="str">
        <f t="shared" si="64"/>
        <v>Y</v>
      </c>
      <c r="N495" t="str">
        <f t="shared" si="65"/>
        <v>Y</v>
      </c>
      <c r="O495">
        <f t="shared" si="66"/>
        <v>6</v>
      </c>
      <c r="P495" s="6">
        <f t="shared" si="67"/>
        <v>1.0071633237822351</v>
      </c>
      <c r="Q495" s="6">
        <f t="shared" si="68"/>
        <v>1.422475106685633E-2</v>
      </c>
      <c r="R495">
        <f t="shared" si="69"/>
        <v>1</v>
      </c>
      <c r="S495">
        <f t="shared" si="70"/>
        <v>0</v>
      </c>
      <c r="T495" t="str">
        <f t="shared" si="71"/>
        <v>May-26</v>
      </c>
    </row>
    <row r="496" spans="1:20">
      <c r="A496" t="s">
        <v>892</v>
      </c>
      <c r="B496" t="s">
        <v>35</v>
      </c>
      <c r="C496" t="s">
        <v>12</v>
      </c>
      <c r="D496">
        <v>487</v>
      </c>
      <c r="E496" s="4">
        <v>46125</v>
      </c>
      <c r="F496" s="4">
        <v>46131</v>
      </c>
      <c r="G496" s="4">
        <v>46129</v>
      </c>
      <c r="H496">
        <v>442</v>
      </c>
      <c r="I496" t="s">
        <v>98</v>
      </c>
      <c r="J496">
        <v>6</v>
      </c>
      <c r="K496" t="s">
        <v>1563</v>
      </c>
      <c r="L496" t="str">
        <f t="shared" si="63"/>
        <v>Y</v>
      </c>
      <c r="M496" t="str">
        <f t="shared" si="64"/>
        <v>N</v>
      </c>
      <c r="N496" t="str">
        <f t="shared" si="65"/>
        <v>N</v>
      </c>
      <c r="O496">
        <f t="shared" si="66"/>
        <v>4</v>
      </c>
      <c r="P496" s="6">
        <f t="shared" si="67"/>
        <v>0.9075975359342916</v>
      </c>
      <c r="Q496" s="6">
        <f t="shared" si="68"/>
        <v>1.3574660633484163E-2</v>
      </c>
      <c r="R496">
        <f t="shared" si="69"/>
        <v>0</v>
      </c>
      <c r="S496">
        <f t="shared" si="70"/>
        <v>0</v>
      </c>
      <c r="T496" t="str">
        <f t="shared" si="71"/>
        <v>Apr-26</v>
      </c>
    </row>
    <row r="497" spans="1:20">
      <c r="A497" t="s">
        <v>893</v>
      </c>
      <c r="B497" t="s">
        <v>32</v>
      </c>
      <c r="C497" t="s">
        <v>23</v>
      </c>
      <c r="D497">
        <v>793</v>
      </c>
      <c r="E497" s="4">
        <v>46159</v>
      </c>
      <c r="F497" s="4">
        <v>46164</v>
      </c>
      <c r="G497" s="4">
        <v>46162</v>
      </c>
      <c r="H497">
        <v>803</v>
      </c>
      <c r="I497" t="s">
        <v>894</v>
      </c>
      <c r="J497">
        <v>42</v>
      </c>
      <c r="K497" t="s">
        <v>1563</v>
      </c>
      <c r="L497" t="str">
        <f t="shared" si="63"/>
        <v>Y</v>
      </c>
      <c r="M497" t="str">
        <f t="shared" si="64"/>
        <v>Y</v>
      </c>
      <c r="N497" t="str">
        <f t="shared" si="65"/>
        <v>Y</v>
      </c>
      <c r="O497">
        <f t="shared" si="66"/>
        <v>3</v>
      </c>
      <c r="P497" s="6">
        <f t="shared" si="67"/>
        <v>1.0126103404791928</v>
      </c>
      <c r="Q497" s="6">
        <f t="shared" si="68"/>
        <v>5.2303860523038606E-2</v>
      </c>
      <c r="R497">
        <f t="shared" si="69"/>
        <v>1</v>
      </c>
      <c r="S497">
        <f t="shared" si="70"/>
        <v>0</v>
      </c>
      <c r="T497" t="str">
        <f t="shared" si="71"/>
        <v>May-26</v>
      </c>
    </row>
    <row r="498" spans="1:20">
      <c r="A498" t="s">
        <v>895</v>
      </c>
      <c r="B498" t="s">
        <v>70</v>
      </c>
      <c r="C498" t="s">
        <v>23</v>
      </c>
      <c r="D498">
        <v>718</v>
      </c>
      <c r="E498" s="4">
        <v>46051</v>
      </c>
      <c r="F498" s="4">
        <v>46062</v>
      </c>
      <c r="G498" s="4">
        <v>46059</v>
      </c>
      <c r="H498">
        <v>706</v>
      </c>
      <c r="I498" t="s">
        <v>739</v>
      </c>
      <c r="J498">
        <v>9</v>
      </c>
      <c r="K498" t="s">
        <v>1563</v>
      </c>
      <c r="L498" t="str">
        <f t="shared" si="63"/>
        <v>Y</v>
      </c>
      <c r="M498" t="str">
        <f t="shared" si="64"/>
        <v>Y</v>
      </c>
      <c r="N498" t="str">
        <f t="shared" si="65"/>
        <v>Y</v>
      </c>
      <c r="O498">
        <f t="shared" si="66"/>
        <v>8</v>
      </c>
      <c r="P498" s="6">
        <f t="shared" si="67"/>
        <v>0.98328690807799446</v>
      </c>
      <c r="Q498" s="6">
        <f t="shared" si="68"/>
        <v>1.2747875354107648E-2</v>
      </c>
      <c r="R498">
        <f t="shared" si="69"/>
        <v>1</v>
      </c>
      <c r="S498">
        <f t="shared" si="70"/>
        <v>0</v>
      </c>
      <c r="T498" t="str">
        <f t="shared" si="71"/>
        <v>Feb-26</v>
      </c>
    </row>
    <row r="499" spans="1:20">
      <c r="A499" t="s">
        <v>896</v>
      </c>
      <c r="B499" t="s">
        <v>70</v>
      </c>
      <c r="C499" t="s">
        <v>12</v>
      </c>
      <c r="D499">
        <v>194</v>
      </c>
      <c r="E499" s="4">
        <v>46120</v>
      </c>
      <c r="F499" s="4">
        <v>46129</v>
      </c>
      <c r="G499" s="4">
        <v>46128</v>
      </c>
      <c r="H499">
        <v>192</v>
      </c>
      <c r="I499" t="s">
        <v>505</v>
      </c>
      <c r="J499">
        <v>4</v>
      </c>
      <c r="K499" t="s">
        <v>1563</v>
      </c>
      <c r="L499" t="str">
        <f t="shared" si="63"/>
        <v>Y</v>
      </c>
      <c r="M499" t="str">
        <f t="shared" si="64"/>
        <v>Y</v>
      </c>
      <c r="N499" t="str">
        <f t="shared" si="65"/>
        <v>Y</v>
      </c>
      <c r="O499">
        <f t="shared" si="66"/>
        <v>8</v>
      </c>
      <c r="P499" s="6">
        <f t="shared" si="67"/>
        <v>0.98969072164948457</v>
      </c>
      <c r="Q499" s="6">
        <f t="shared" si="68"/>
        <v>2.0833333333333332E-2</v>
      </c>
      <c r="R499">
        <f t="shared" si="69"/>
        <v>1</v>
      </c>
      <c r="S499">
        <f t="shared" si="70"/>
        <v>0</v>
      </c>
      <c r="T499" t="str">
        <f t="shared" si="71"/>
        <v>Apr-26</v>
      </c>
    </row>
    <row r="500" spans="1:20">
      <c r="A500" t="s">
        <v>897</v>
      </c>
      <c r="B500" t="s">
        <v>54</v>
      </c>
      <c r="C500" t="s">
        <v>23</v>
      </c>
      <c r="D500">
        <v>240</v>
      </c>
      <c r="E500" s="4">
        <v>46089</v>
      </c>
      <c r="F500" s="4">
        <v>46102</v>
      </c>
      <c r="G500" s="4">
        <v>46102</v>
      </c>
      <c r="H500">
        <v>236</v>
      </c>
      <c r="I500" t="s">
        <v>898</v>
      </c>
      <c r="J500">
        <v>2</v>
      </c>
      <c r="K500" t="s">
        <v>1563</v>
      </c>
      <c r="L500" t="str">
        <f t="shared" si="63"/>
        <v>Y</v>
      </c>
      <c r="M500" t="str">
        <f t="shared" si="64"/>
        <v>Y</v>
      </c>
      <c r="N500" t="str">
        <f t="shared" si="65"/>
        <v>Y</v>
      </c>
      <c r="O500">
        <f t="shared" si="66"/>
        <v>13</v>
      </c>
      <c r="P500" s="6">
        <f t="shared" si="67"/>
        <v>0.98333333333333328</v>
      </c>
      <c r="Q500" s="6">
        <f t="shared" si="68"/>
        <v>8.4745762711864406E-3</v>
      </c>
      <c r="R500">
        <f t="shared" si="69"/>
        <v>1</v>
      </c>
      <c r="S500">
        <f t="shared" si="70"/>
        <v>0</v>
      </c>
      <c r="T500" t="str">
        <f t="shared" si="71"/>
        <v>Mar-26</v>
      </c>
    </row>
    <row r="501" spans="1:20">
      <c r="A501" t="s">
        <v>899</v>
      </c>
      <c r="B501" t="s">
        <v>177</v>
      </c>
      <c r="C501" t="s">
        <v>16</v>
      </c>
      <c r="D501">
        <v>601</v>
      </c>
      <c r="E501" s="4">
        <v>46137</v>
      </c>
      <c r="F501" s="4">
        <v>46147</v>
      </c>
      <c r="G501" s="4">
        <v>46146</v>
      </c>
      <c r="H501">
        <v>595</v>
      </c>
      <c r="I501" t="s">
        <v>901</v>
      </c>
      <c r="J501">
        <v>1</v>
      </c>
      <c r="K501" t="s">
        <v>1563</v>
      </c>
      <c r="L501" t="str">
        <f t="shared" si="63"/>
        <v>Y</v>
      </c>
      <c r="M501" t="str">
        <f t="shared" si="64"/>
        <v>Y</v>
      </c>
      <c r="N501" t="str">
        <f t="shared" si="65"/>
        <v>Y</v>
      </c>
      <c r="O501">
        <f t="shared" si="66"/>
        <v>9</v>
      </c>
      <c r="P501" s="6">
        <f t="shared" si="67"/>
        <v>0.99001663893510816</v>
      </c>
      <c r="Q501" s="6">
        <f t="shared" si="68"/>
        <v>1.6806722689075631E-3</v>
      </c>
      <c r="R501">
        <f t="shared" si="69"/>
        <v>1</v>
      </c>
      <c r="S501">
        <f t="shared" si="70"/>
        <v>0</v>
      </c>
      <c r="T501" t="str">
        <f t="shared" si="71"/>
        <v>May-26</v>
      </c>
    </row>
    <row r="502" spans="1:20">
      <c r="A502" t="s">
        <v>902</v>
      </c>
      <c r="B502" t="s">
        <v>67</v>
      </c>
      <c r="C502" t="s">
        <v>16</v>
      </c>
      <c r="D502">
        <v>792</v>
      </c>
      <c r="E502" s="4">
        <v>46114</v>
      </c>
      <c r="F502" s="4">
        <v>46126</v>
      </c>
      <c r="G502" s="4">
        <v>46127</v>
      </c>
      <c r="H502">
        <v>789</v>
      </c>
      <c r="I502" t="s">
        <v>255</v>
      </c>
      <c r="J502">
        <v>9</v>
      </c>
      <c r="K502" t="s">
        <v>1563</v>
      </c>
      <c r="L502" t="str">
        <f t="shared" si="63"/>
        <v>N</v>
      </c>
      <c r="M502" t="str">
        <f t="shared" si="64"/>
        <v>Y</v>
      </c>
      <c r="N502" t="str">
        <f t="shared" si="65"/>
        <v>N</v>
      </c>
      <c r="O502">
        <f t="shared" si="66"/>
        <v>13</v>
      </c>
      <c r="P502" s="6">
        <f t="shared" si="67"/>
        <v>0.99621212121212122</v>
      </c>
      <c r="Q502" s="6">
        <f t="shared" si="68"/>
        <v>1.1406844106463879E-2</v>
      </c>
      <c r="R502">
        <f t="shared" si="69"/>
        <v>0</v>
      </c>
      <c r="S502">
        <f t="shared" si="70"/>
        <v>1</v>
      </c>
      <c r="T502" t="str">
        <f t="shared" si="71"/>
        <v>Apr-26</v>
      </c>
    </row>
    <row r="503" spans="1:20">
      <c r="A503" t="s">
        <v>903</v>
      </c>
      <c r="B503" t="s">
        <v>46</v>
      </c>
      <c r="C503" t="s">
        <v>16</v>
      </c>
      <c r="D503">
        <v>875</v>
      </c>
      <c r="E503" s="4">
        <v>46168</v>
      </c>
      <c r="F503" s="4">
        <v>46183</v>
      </c>
      <c r="G503" s="4">
        <v>46186</v>
      </c>
      <c r="H503">
        <v>885</v>
      </c>
      <c r="I503" t="s">
        <v>904</v>
      </c>
      <c r="J503">
        <v>70</v>
      </c>
      <c r="K503" t="s">
        <v>1563</v>
      </c>
      <c r="L503" t="str">
        <f t="shared" si="63"/>
        <v>N</v>
      </c>
      <c r="M503" t="str">
        <f t="shared" si="64"/>
        <v>Y</v>
      </c>
      <c r="N503" t="str">
        <f t="shared" si="65"/>
        <v>N</v>
      </c>
      <c r="O503">
        <f t="shared" si="66"/>
        <v>18</v>
      </c>
      <c r="P503" s="6">
        <f t="shared" si="67"/>
        <v>1.0114285714285713</v>
      </c>
      <c r="Q503" s="6">
        <f t="shared" si="68"/>
        <v>7.909604519774012E-2</v>
      </c>
      <c r="R503">
        <f t="shared" si="69"/>
        <v>0</v>
      </c>
      <c r="S503">
        <f t="shared" si="70"/>
        <v>3</v>
      </c>
      <c r="T503" t="str">
        <f t="shared" si="71"/>
        <v>Jun-26</v>
      </c>
    </row>
    <row r="504" spans="1:20">
      <c r="A504" t="s">
        <v>905</v>
      </c>
      <c r="B504" t="s">
        <v>49</v>
      </c>
      <c r="C504" t="s">
        <v>16</v>
      </c>
      <c r="D504">
        <v>337</v>
      </c>
      <c r="E504" s="4">
        <v>46103</v>
      </c>
      <c r="F504" s="4">
        <v>46112</v>
      </c>
      <c r="G504" s="4">
        <v>46119</v>
      </c>
      <c r="H504">
        <v>338</v>
      </c>
      <c r="I504" t="s">
        <v>906</v>
      </c>
      <c r="J504">
        <v>1</v>
      </c>
      <c r="K504" t="s">
        <v>1563</v>
      </c>
      <c r="L504" t="str">
        <f t="shared" si="63"/>
        <v>N</v>
      </c>
      <c r="M504" t="str">
        <f t="shared" si="64"/>
        <v>Y</v>
      </c>
      <c r="N504" t="str">
        <f t="shared" si="65"/>
        <v>N</v>
      </c>
      <c r="O504">
        <f t="shared" si="66"/>
        <v>16</v>
      </c>
      <c r="P504" s="6">
        <f t="shared" si="67"/>
        <v>1.0029673590504451</v>
      </c>
      <c r="Q504" s="6">
        <f t="shared" si="68"/>
        <v>2.9585798816568047E-3</v>
      </c>
      <c r="R504">
        <f t="shared" si="69"/>
        <v>0</v>
      </c>
      <c r="S504">
        <f t="shared" si="70"/>
        <v>7</v>
      </c>
      <c r="T504" t="str">
        <f t="shared" si="71"/>
        <v>Apr-26</v>
      </c>
    </row>
    <row r="505" spans="1:20">
      <c r="A505" t="s">
        <v>907</v>
      </c>
      <c r="B505" t="s">
        <v>29</v>
      </c>
      <c r="C505" t="s">
        <v>16</v>
      </c>
      <c r="D505">
        <v>552</v>
      </c>
      <c r="E505" s="4">
        <v>46078</v>
      </c>
      <c r="F505" s="4">
        <v>46089</v>
      </c>
      <c r="G505" s="4">
        <v>46089</v>
      </c>
      <c r="H505">
        <v>559</v>
      </c>
      <c r="I505" t="s">
        <v>162</v>
      </c>
      <c r="J505">
        <v>3</v>
      </c>
      <c r="K505" t="s">
        <v>1563</v>
      </c>
      <c r="L505" t="str">
        <f t="shared" si="63"/>
        <v>Y</v>
      </c>
      <c r="M505" t="str">
        <f t="shared" si="64"/>
        <v>Y</v>
      </c>
      <c r="N505" t="str">
        <f t="shared" si="65"/>
        <v>Y</v>
      </c>
      <c r="O505">
        <f t="shared" si="66"/>
        <v>11</v>
      </c>
      <c r="P505" s="6">
        <f t="shared" si="67"/>
        <v>1.0126811594202898</v>
      </c>
      <c r="Q505" s="6">
        <f t="shared" si="68"/>
        <v>5.3667262969588547E-3</v>
      </c>
      <c r="R505">
        <f t="shared" si="69"/>
        <v>1</v>
      </c>
      <c r="S505">
        <f t="shared" si="70"/>
        <v>0</v>
      </c>
      <c r="T505" t="str">
        <f t="shared" si="71"/>
        <v>Mar-26</v>
      </c>
    </row>
    <row r="506" spans="1:20">
      <c r="A506" t="s">
        <v>908</v>
      </c>
      <c r="B506" t="s">
        <v>32</v>
      </c>
      <c r="C506" t="s">
        <v>16</v>
      </c>
      <c r="D506">
        <v>980</v>
      </c>
      <c r="E506" s="4">
        <v>46079</v>
      </c>
      <c r="F506" s="4">
        <v>46094</v>
      </c>
      <c r="G506" s="4">
        <v>46091</v>
      </c>
      <c r="H506">
        <v>977</v>
      </c>
      <c r="I506" t="s">
        <v>792</v>
      </c>
      <c r="J506">
        <v>65</v>
      </c>
      <c r="K506" t="s">
        <v>1563</v>
      </c>
      <c r="L506" t="str">
        <f t="shared" si="63"/>
        <v>Y</v>
      </c>
      <c r="M506" t="str">
        <f t="shared" si="64"/>
        <v>Y</v>
      </c>
      <c r="N506" t="str">
        <f t="shared" si="65"/>
        <v>Y</v>
      </c>
      <c r="O506">
        <f t="shared" si="66"/>
        <v>12</v>
      </c>
      <c r="P506" s="6">
        <f t="shared" si="67"/>
        <v>0.99693877551020404</v>
      </c>
      <c r="Q506" s="6">
        <f t="shared" si="68"/>
        <v>6.6530194472876156E-2</v>
      </c>
      <c r="R506">
        <f t="shared" si="69"/>
        <v>1</v>
      </c>
      <c r="S506">
        <f t="shared" si="70"/>
        <v>0</v>
      </c>
      <c r="T506" t="str">
        <f t="shared" si="71"/>
        <v>Mar-26</v>
      </c>
    </row>
    <row r="507" spans="1:20">
      <c r="A507" t="s">
        <v>909</v>
      </c>
      <c r="B507" t="s">
        <v>35</v>
      </c>
      <c r="C507" t="s">
        <v>12</v>
      </c>
      <c r="D507">
        <v>488</v>
      </c>
      <c r="E507" s="4">
        <v>46170</v>
      </c>
      <c r="F507" s="4">
        <v>46180</v>
      </c>
      <c r="G507" s="4">
        <v>46179</v>
      </c>
      <c r="H507">
        <v>481</v>
      </c>
      <c r="I507" t="s">
        <v>407</v>
      </c>
      <c r="J507">
        <v>20</v>
      </c>
      <c r="K507" t="s">
        <v>1563</v>
      </c>
      <c r="L507" t="str">
        <f t="shared" si="63"/>
        <v>Y</v>
      </c>
      <c r="M507" t="str">
        <f t="shared" si="64"/>
        <v>Y</v>
      </c>
      <c r="N507" t="str">
        <f t="shared" si="65"/>
        <v>Y</v>
      </c>
      <c r="O507">
        <f t="shared" si="66"/>
        <v>9</v>
      </c>
      <c r="P507" s="6">
        <f t="shared" si="67"/>
        <v>0.98565573770491799</v>
      </c>
      <c r="Q507" s="6">
        <f t="shared" si="68"/>
        <v>4.1580041580041582E-2</v>
      </c>
      <c r="R507">
        <f t="shared" si="69"/>
        <v>1</v>
      </c>
      <c r="S507">
        <f t="shared" si="70"/>
        <v>0</v>
      </c>
      <c r="T507" t="str">
        <f t="shared" si="71"/>
        <v>Jun-26</v>
      </c>
    </row>
    <row r="508" spans="1:20">
      <c r="A508" t="s">
        <v>910</v>
      </c>
      <c r="B508" t="s">
        <v>32</v>
      </c>
      <c r="C508" t="s">
        <v>23</v>
      </c>
      <c r="D508">
        <v>764</v>
      </c>
      <c r="E508" s="4">
        <v>46042</v>
      </c>
      <c r="F508" s="4">
        <v>46051</v>
      </c>
      <c r="G508" s="4">
        <v>46058</v>
      </c>
      <c r="H508">
        <v>759</v>
      </c>
      <c r="I508" t="s">
        <v>911</v>
      </c>
      <c r="J508">
        <v>32</v>
      </c>
      <c r="K508" t="s">
        <v>1563</v>
      </c>
      <c r="L508" t="str">
        <f t="shared" si="63"/>
        <v>N</v>
      </c>
      <c r="M508" t="str">
        <f t="shared" si="64"/>
        <v>Y</v>
      </c>
      <c r="N508" t="str">
        <f t="shared" si="65"/>
        <v>N</v>
      </c>
      <c r="O508">
        <f t="shared" si="66"/>
        <v>16</v>
      </c>
      <c r="P508" s="6">
        <f t="shared" si="67"/>
        <v>0.99345549738219896</v>
      </c>
      <c r="Q508" s="6">
        <f t="shared" si="68"/>
        <v>4.2160737812911728E-2</v>
      </c>
      <c r="R508">
        <f t="shared" si="69"/>
        <v>0</v>
      </c>
      <c r="S508">
        <f t="shared" si="70"/>
        <v>7</v>
      </c>
      <c r="T508" t="str">
        <f t="shared" si="71"/>
        <v>Feb-26</v>
      </c>
    </row>
    <row r="509" spans="1:20">
      <c r="A509" t="s">
        <v>912</v>
      </c>
      <c r="B509" t="s">
        <v>81</v>
      </c>
      <c r="C509" t="s">
        <v>16</v>
      </c>
      <c r="D509">
        <v>858</v>
      </c>
      <c r="E509" s="4">
        <v>46067</v>
      </c>
      <c r="F509" s="4">
        <v>46077</v>
      </c>
      <c r="G509" s="4">
        <v>46075</v>
      </c>
      <c r="H509">
        <v>711</v>
      </c>
      <c r="I509" t="s">
        <v>401</v>
      </c>
      <c r="J509">
        <v>2</v>
      </c>
      <c r="K509" t="s">
        <v>1563</v>
      </c>
      <c r="L509" t="str">
        <f t="shared" si="63"/>
        <v>Y</v>
      </c>
      <c r="M509" t="str">
        <f t="shared" si="64"/>
        <v>N</v>
      </c>
      <c r="N509" t="str">
        <f t="shared" si="65"/>
        <v>N</v>
      </c>
      <c r="O509">
        <f t="shared" si="66"/>
        <v>8</v>
      </c>
      <c r="P509" s="6">
        <f t="shared" si="67"/>
        <v>0.82867132867132864</v>
      </c>
      <c r="Q509" s="6">
        <f t="shared" si="68"/>
        <v>2.8129395218002813E-3</v>
      </c>
      <c r="R509">
        <f t="shared" si="69"/>
        <v>0</v>
      </c>
      <c r="S509">
        <f t="shared" si="70"/>
        <v>0</v>
      </c>
      <c r="T509" t="str">
        <f t="shared" si="71"/>
        <v>Feb-26</v>
      </c>
    </row>
    <row r="510" spans="1:20">
      <c r="A510" t="s">
        <v>913</v>
      </c>
      <c r="B510" t="s">
        <v>19</v>
      </c>
      <c r="C510" t="s">
        <v>16</v>
      </c>
      <c r="D510">
        <v>565</v>
      </c>
      <c r="E510" s="4">
        <v>46047</v>
      </c>
      <c r="F510" s="4">
        <v>46059</v>
      </c>
      <c r="G510" s="4">
        <v>46058</v>
      </c>
      <c r="H510">
        <v>564</v>
      </c>
      <c r="I510" t="s">
        <v>571</v>
      </c>
      <c r="J510">
        <v>10</v>
      </c>
      <c r="K510" t="s">
        <v>1563</v>
      </c>
      <c r="L510" t="str">
        <f t="shared" si="63"/>
        <v>Y</v>
      </c>
      <c r="M510" t="str">
        <f t="shared" si="64"/>
        <v>Y</v>
      </c>
      <c r="N510" t="str">
        <f t="shared" si="65"/>
        <v>Y</v>
      </c>
      <c r="O510">
        <f t="shared" si="66"/>
        <v>11</v>
      </c>
      <c r="P510" s="6">
        <f t="shared" si="67"/>
        <v>0.99823008849557526</v>
      </c>
      <c r="Q510" s="6">
        <f t="shared" si="68"/>
        <v>1.7730496453900711E-2</v>
      </c>
      <c r="R510">
        <f t="shared" si="69"/>
        <v>1</v>
      </c>
      <c r="S510">
        <f t="shared" si="70"/>
        <v>0</v>
      </c>
      <c r="T510" t="str">
        <f t="shared" si="71"/>
        <v>Feb-26</v>
      </c>
    </row>
    <row r="511" spans="1:20">
      <c r="A511" t="s">
        <v>914</v>
      </c>
      <c r="B511" t="s">
        <v>64</v>
      </c>
      <c r="C511" t="s">
        <v>23</v>
      </c>
      <c r="D511">
        <v>771</v>
      </c>
      <c r="E511" s="4">
        <v>46143</v>
      </c>
      <c r="F511" s="4">
        <v>46149</v>
      </c>
      <c r="G511" s="4">
        <v>46155</v>
      </c>
      <c r="H511">
        <v>642</v>
      </c>
      <c r="I511" t="s">
        <v>824</v>
      </c>
      <c r="J511">
        <v>24</v>
      </c>
      <c r="K511" t="s">
        <v>1563</v>
      </c>
      <c r="L511" t="str">
        <f t="shared" si="63"/>
        <v>N</v>
      </c>
      <c r="M511" t="str">
        <f t="shared" si="64"/>
        <v>N</v>
      </c>
      <c r="N511" t="str">
        <f t="shared" si="65"/>
        <v>N</v>
      </c>
      <c r="O511">
        <f t="shared" si="66"/>
        <v>12</v>
      </c>
      <c r="P511" s="6">
        <f t="shared" si="67"/>
        <v>0.83268482490272377</v>
      </c>
      <c r="Q511" s="6">
        <f t="shared" si="68"/>
        <v>3.7383177570093455E-2</v>
      </c>
      <c r="R511">
        <f t="shared" si="69"/>
        <v>0</v>
      </c>
      <c r="S511">
        <f t="shared" si="70"/>
        <v>6</v>
      </c>
      <c r="T511" t="str">
        <f t="shared" si="71"/>
        <v>May-26</v>
      </c>
    </row>
    <row r="512" spans="1:20">
      <c r="A512" t="s">
        <v>915</v>
      </c>
      <c r="B512" t="s">
        <v>52</v>
      </c>
      <c r="C512" t="s">
        <v>12</v>
      </c>
      <c r="D512">
        <v>122</v>
      </c>
      <c r="E512" s="4">
        <v>46118</v>
      </c>
      <c r="F512" s="4">
        <v>46123</v>
      </c>
      <c r="G512" s="4">
        <v>46121</v>
      </c>
      <c r="H512">
        <v>121</v>
      </c>
      <c r="I512" t="s">
        <v>407</v>
      </c>
      <c r="J512">
        <v>2</v>
      </c>
      <c r="K512" t="s">
        <v>1563</v>
      </c>
      <c r="L512" t="str">
        <f t="shared" si="63"/>
        <v>Y</v>
      </c>
      <c r="M512" t="str">
        <f t="shared" si="64"/>
        <v>Y</v>
      </c>
      <c r="N512" t="str">
        <f t="shared" si="65"/>
        <v>Y</v>
      </c>
      <c r="O512">
        <f t="shared" si="66"/>
        <v>3</v>
      </c>
      <c r="P512" s="6">
        <f t="shared" si="67"/>
        <v>0.99180327868852458</v>
      </c>
      <c r="Q512" s="6">
        <f t="shared" si="68"/>
        <v>1.6528925619834711E-2</v>
      </c>
      <c r="R512">
        <f t="shared" si="69"/>
        <v>1</v>
      </c>
      <c r="S512">
        <f t="shared" si="70"/>
        <v>0</v>
      </c>
      <c r="T512" t="str">
        <f t="shared" si="71"/>
        <v>Apr-26</v>
      </c>
    </row>
    <row r="513" spans="1:20">
      <c r="A513" t="s">
        <v>916</v>
      </c>
      <c r="B513" t="s">
        <v>70</v>
      </c>
      <c r="C513" t="s">
        <v>12</v>
      </c>
      <c r="D513">
        <v>132</v>
      </c>
      <c r="E513" s="4">
        <v>46173</v>
      </c>
      <c r="F513" s="4">
        <v>46179</v>
      </c>
      <c r="G513" s="4">
        <v>46179</v>
      </c>
      <c r="H513">
        <v>132</v>
      </c>
      <c r="I513" t="s">
        <v>547</v>
      </c>
      <c r="J513">
        <v>0</v>
      </c>
      <c r="K513" t="s">
        <v>1563</v>
      </c>
      <c r="L513" t="str">
        <f t="shared" si="63"/>
        <v>Y</v>
      </c>
      <c r="M513" t="str">
        <f t="shared" si="64"/>
        <v>Y</v>
      </c>
      <c r="N513" t="str">
        <f t="shared" si="65"/>
        <v>Y</v>
      </c>
      <c r="O513">
        <f t="shared" si="66"/>
        <v>6</v>
      </c>
      <c r="P513" s="6">
        <f t="shared" si="67"/>
        <v>1</v>
      </c>
      <c r="Q513" s="6">
        <f t="shared" si="68"/>
        <v>0</v>
      </c>
      <c r="R513">
        <f t="shared" si="69"/>
        <v>1</v>
      </c>
      <c r="S513">
        <f t="shared" si="70"/>
        <v>0</v>
      </c>
      <c r="T513" t="str">
        <f t="shared" si="71"/>
        <v>Jun-26</v>
      </c>
    </row>
    <row r="514" spans="1:20">
      <c r="A514" t="s">
        <v>917</v>
      </c>
      <c r="B514" t="s">
        <v>43</v>
      </c>
      <c r="C514" t="s">
        <v>12</v>
      </c>
      <c r="D514">
        <v>693</v>
      </c>
      <c r="E514" s="4">
        <v>46041</v>
      </c>
      <c r="F514" s="4">
        <v>46052</v>
      </c>
      <c r="G514" s="4">
        <v>46050</v>
      </c>
      <c r="H514">
        <v>697</v>
      </c>
      <c r="I514" t="s">
        <v>918</v>
      </c>
      <c r="J514">
        <v>2</v>
      </c>
      <c r="K514" t="s">
        <v>1563</v>
      </c>
      <c r="L514" t="str">
        <f t="shared" ref="L514:L577" si="72">IF(G514="","N/A",IF(G514&lt;=F514,"Y","N"))</f>
        <v>Y</v>
      </c>
      <c r="M514" t="str">
        <f t="shared" ref="M514:M577" si="73">IF(H514="","N/A",IF(H514&gt;=D514*0.98,"Y","N"))</f>
        <v>Y</v>
      </c>
      <c r="N514" t="str">
        <f t="shared" ref="N514:N577" si="74">IF(OR(L514="N/A",M514="N/A"),"N/A",IF(AND(L514="Y",M514="Y"),"Y","N"))</f>
        <v>Y</v>
      </c>
      <c r="O514">
        <f t="shared" ref="O514:O577" si="75">IF(G514="","N/A",G514-E514)</f>
        <v>9</v>
      </c>
      <c r="P514" s="6">
        <f t="shared" ref="P514:P577" si="76">IF(H514="","N/A",H514/D514)</f>
        <v>1.0057720057720059</v>
      </c>
      <c r="Q514" s="6">
        <f t="shared" ref="Q514:Q577" si="77">IF(H514="","N/A",IF(H514=0,0,J514/H514))</f>
        <v>2.8694404591104736E-3</v>
      </c>
      <c r="R514">
        <f t="shared" ref="R514:R577" si="78">IF(N514="Y",1,IF(N514="N",0,""))</f>
        <v>1</v>
      </c>
      <c r="S514">
        <f t="shared" ref="S514:S577" si="79">IF(G514="","N/A",MAX(G514-F514,0))</f>
        <v>0</v>
      </c>
      <c r="T514" t="str">
        <f t="shared" ref="T514:T577" si="80">IF(G514="","N/A",TEXT(G514,"mmm-yy"))</f>
        <v>Jan-26</v>
      </c>
    </row>
    <row r="515" spans="1:20">
      <c r="A515" t="s">
        <v>919</v>
      </c>
      <c r="B515" t="s">
        <v>40</v>
      </c>
      <c r="C515" t="s">
        <v>16</v>
      </c>
      <c r="D515">
        <v>975</v>
      </c>
      <c r="E515" s="4">
        <v>46028</v>
      </c>
      <c r="F515" s="4">
        <v>46033</v>
      </c>
      <c r="G515" s="4">
        <v>46033</v>
      </c>
      <c r="H515">
        <v>971</v>
      </c>
      <c r="I515" t="s">
        <v>623</v>
      </c>
      <c r="J515">
        <v>61</v>
      </c>
      <c r="K515" t="s">
        <v>1563</v>
      </c>
      <c r="L515" t="str">
        <f t="shared" si="72"/>
        <v>Y</v>
      </c>
      <c r="M515" t="str">
        <f t="shared" si="73"/>
        <v>Y</v>
      </c>
      <c r="N515" t="str">
        <f t="shared" si="74"/>
        <v>Y</v>
      </c>
      <c r="O515">
        <f t="shared" si="75"/>
        <v>5</v>
      </c>
      <c r="P515" s="6">
        <f t="shared" si="76"/>
        <v>0.99589743589743585</v>
      </c>
      <c r="Q515" s="6">
        <f t="shared" si="77"/>
        <v>6.2821833161688975E-2</v>
      </c>
      <c r="R515">
        <f t="shared" si="78"/>
        <v>1</v>
      </c>
      <c r="S515">
        <f t="shared" si="79"/>
        <v>0</v>
      </c>
      <c r="T515" t="str">
        <f t="shared" si="80"/>
        <v>Jan-26</v>
      </c>
    </row>
    <row r="516" spans="1:20">
      <c r="A516" t="s">
        <v>920</v>
      </c>
      <c r="B516" t="s">
        <v>120</v>
      </c>
      <c r="C516" t="s">
        <v>16</v>
      </c>
      <c r="D516">
        <v>400</v>
      </c>
      <c r="E516" s="4">
        <v>46102</v>
      </c>
      <c r="F516" s="4">
        <v>46110</v>
      </c>
      <c r="G516" s="4">
        <v>46107</v>
      </c>
      <c r="H516">
        <v>396</v>
      </c>
      <c r="I516" t="s">
        <v>815</v>
      </c>
      <c r="J516">
        <v>0</v>
      </c>
      <c r="K516" t="s">
        <v>1563</v>
      </c>
      <c r="L516" t="str">
        <f t="shared" si="72"/>
        <v>Y</v>
      </c>
      <c r="M516" t="str">
        <f t="shared" si="73"/>
        <v>Y</v>
      </c>
      <c r="N516" t="str">
        <f t="shared" si="74"/>
        <v>Y</v>
      </c>
      <c r="O516">
        <f t="shared" si="75"/>
        <v>5</v>
      </c>
      <c r="P516" s="6">
        <f t="shared" si="76"/>
        <v>0.99</v>
      </c>
      <c r="Q516" s="6">
        <f t="shared" si="77"/>
        <v>0</v>
      </c>
      <c r="R516">
        <f t="shared" si="78"/>
        <v>1</v>
      </c>
      <c r="S516">
        <f t="shared" si="79"/>
        <v>0</v>
      </c>
      <c r="T516" t="str">
        <f t="shared" si="80"/>
        <v>Mar-26</v>
      </c>
    </row>
    <row r="517" spans="1:20">
      <c r="A517" t="s">
        <v>921</v>
      </c>
      <c r="B517" t="s">
        <v>29</v>
      </c>
      <c r="C517" t="s">
        <v>12</v>
      </c>
      <c r="D517">
        <v>884</v>
      </c>
      <c r="E517" s="4">
        <v>46043</v>
      </c>
      <c r="F517" s="4">
        <v>46049</v>
      </c>
      <c r="G517" s="4">
        <v>46050</v>
      </c>
      <c r="H517">
        <v>893</v>
      </c>
      <c r="I517" t="s">
        <v>105</v>
      </c>
      <c r="J517">
        <v>7</v>
      </c>
      <c r="K517" t="s">
        <v>1563</v>
      </c>
      <c r="L517" t="str">
        <f t="shared" si="72"/>
        <v>N</v>
      </c>
      <c r="M517" t="str">
        <f t="shared" si="73"/>
        <v>Y</v>
      </c>
      <c r="N517" t="str">
        <f t="shared" si="74"/>
        <v>N</v>
      </c>
      <c r="O517">
        <f t="shared" si="75"/>
        <v>7</v>
      </c>
      <c r="P517" s="6">
        <f t="shared" si="76"/>
        <v>1.0101809954751131</v>
      </c>
      <c r="Q517" s="6">
        <f t="shared" si="77"/>
        <v>7.8387458006718928E-3</v>
      </c>
      <c r="R517">
        <f t="shared" si="78"/>
        <v>0</v>
      </c>
      <c r="S517">
        <f t="shared" si="79"/>
        <v>1</v>
      </c>
      <c r="T517" t="str">
        <f t="shared" si="80"/>
        <v>Jan-26</v>
      </c>
    </row>
    <row r="518" spans="1:20">
      <c r="A518" t="s">
        <v>922</v>
      </c>
      <c r="B518" t="s">
        <v>11</v>
      </c>
      <c r="C518" t="s">
        <v>16</v>
      </c>
      <c r="D518">
        <v>758</v>
      </c>
      <c r="E518" s="4">
        <v>46041</v>
      </c>
      <c r="F518" s="4">
        <v>46052</v>
      </c>
      <c r="G518" s="4">
        <v>46052</v>
      </c>
      <c r="H518">
        <v>754</v>
      </c>
      <c r="I518" t="s">
        <v>923</v>
      </c>
      <c r="J518">
        <v>6</v>
      </c>
      <c r="K518" t="s">
        <v>1563</v>
      </c>
      <c r="L518" t="str">
        <f t="shared" si="72"/>
        <v>Y</v>
      </c>
      <c r="M518" t="str">
        <f t="shared" si="73"/>
        <v>Y</v>
      </c>
      <c r="N518" t="str">
        <f t="shared" si="74"/>
        <v>Y</v>
      </c>
      <c r="O518">
        <f t="shared" si="75"/>
        <v>11</v>
      </c>
      <c r="P518" s="6">
        <f t="shared" si="76"/>
        <v>0.99472295514511877</v>
      </c>
      <c r="Q518" s="6">
        <f t="shared" si="77"/>
        <v>7.9575596816976128E-3</v>
      </c>
      <c r="R518">
        <f t="shared" si="78"/>
        <v>1</v>
      </c>
      <c r="S518">
        <f t="shared" si="79"/>
        <v>0</v>
      </c>
      <c r="T518" t="str">
        <f t="shared" si="80"/>
        <v>Jan-26</v>
      </c>
    </row>
    <row r="519" spans="1:20">
      <c r="A519" t="s">
        <v>924</v>
      </c>
      <c r="B519" t="s">
        <v>32</v>
      </c>
      <c r="C519" t="s">
        <v>12</v>
      </c>
      <c r="D519">
        <v>85</v>
      </c>
      <c r="E519" s="4">
        <v>46151</v>
      </c>
      <c r="F519" s="4">
        <v>46158</v>
      </c>
      <c r="G519" s="4">
        <v>46156</v>
      </c>
      <c r="H519">
        <v>84</v>
      </c>
      <c r="I519" t="s">
        <v>77</v>
      </c>
      <c r="J519">
        <v>4</v>
      </c>
      <c r="K519" t="s">
        <v>1563</v>
      </c>
      <c r="L519" t="str">
        <f t="shared" si="72"/>
        <v>Y</v>
      </c>
      <c r="M519" t="str">
        <f t="shared" si="73"/>
        <v>Y</v>
      </c>
      <c r="N519" t="str">
        <f t="shared" si="74"/>
        <v>Y</v>
      </c>
      <c r="O519">
        <f t="shared" si="75"/>
        <v>5</v>
      </c>
      <c r="P519" s="6">
        <f t="shared" si="76"/>
        <v>0.9882352941176471</v>
      </c>
      <c r="Q519" s="6">
        <f t="shared" si="77"/>
        <v>4.7619047619047616E-2</v>
      </c>
      <c r="R519">
        <f t="shared" si="78"/>
        <v>1</v>
      </c>
      <c r="S519">
        <f t="shared" si="79"/>
        <v>0</v>
      </c>
      <c r="T519" t="str">
        <f t="shared" si="80"/>
        <v>May-26</v>
      </c>
    </row>
    <row r="520" spans="1:20">
      <c r="A520" t="s">
        <v>925</v>
      </c>
      <c r="B520" t="s">
        <v>177</v>
      </c>
      <c r="C520" t="s">
        <v>12</v>
      </c>
      <c r="D520">
        <v>624</v>
      </c>
      <c r="E520" s="4">
        <v>46094</v>
      </c>
      <c r="F520" s="4">
        <v>46103</v>
      </c>
      <c r="G520" s="4">
        <v>46112</v>
      </c>
      <c r="H520">
        <v>635</v>
      </c>
      <c r="I520" t="s">
        <v>753</v>
      </c>
      <c r="J520">
        <v>7</v>
      </c>
      <c r="K520" t="s">
        <v>1563</v>
      </c>
      <c r="L520" t="str">
        <f t="shared" si="72"/>
        <v>N</v>
      </c>
      <c r="M520" t="str">
        <f t="shared" si="73"/>
        <v>Y</v>
      </c>
      <c r="N520" t="str">
        <f t="shared" si="74"/>
        <v>N</v>
      </c>
      <c r="O520">
        <f t="shared" si="75"/>
        <v>18</v>
      </c>
      <c r="P520" s="6">
        <f t="shared" si="76"/>
        <v>1.0176282051282051</v>
      </c>
      <c r="Q520" s="6">
        <f t="shared" si="77"/>
        <v>1.1023622047244094E-2</v>
      </c>
      <c r="R520">
        <f t="shared" si="78"/>
        <v>0</v>
      </c>
      <c r="S520">
        <f t="shared" si="79"/>
        <v>9</v>
      </c>
      <c r="T520" t="str">
        <f t="shared" si="80"/>
        <v>Mar-26</v>
      </c>
    </row>
    <row r="521" spans="1:20">
      <c r="A521" t="s">
        <v>926</v>
      </c>
      <c r="B521" t="s">
        <v>64</v>
      </c>
      <c r="C521" t="s">
        <v>12</v>
      </c>
      <c r="D521">
        <v>806</v>
      </c>
      <c r="E521" s="4">
        <v>46070</v>
      </c>
      <c r="F521" s="4">
        <v>46077</v>
      </c>
      <c r="G521" s="4">
        <v>46075</v>
      </c>
      <c r="H521">
        <v>751</v>
      </c>
      <c r="I521" t="s">
        <v>547</v>
      </c>
      <c r="J521">
        <v>35</v>
      </c>
      <c r="K521" t="s">
        <v>1563</v>
      </c>
      <c r="L521" t="str">
        <f t="shared" si="72"/>
        <v>Y</v>
      </c>
      <c r="M521" t="str">
        <f t="shared" si="73"/>
        <v>N</v>
      </c>
      <c r="N521" t="str">
        <f t="shared" si="74"/>
        <v>N</v>
      </c>
      <c r="O521">
        <f t="shared" si="75"/>
        <v>5</v>
      </c>
      <c r="P521" s="6">
        <f t="shared" si="76"/>
        <v>0.93176178660049624</v>
      </c>
      <c r="Q521" s="6">
        <f t="shared" si="77"/>
        <v>4.6604527296937419E-2</v>
      </c>
      <c r="R521">
        <f t="shared" si="78"/>
        <v>0</v>
      </c>
      <c r="S521">
        <f t="shared" si="79"/>
        <v>0</v>
      </c>
      <c r="T521" t="str">
        <f t="shared" si="80"/>
        <v>Feb-26</v>
      </c>
    </row>
    <row r="522" spans="1:20">
      <c r="A522" t="s">
        <v>927</v>
      </c>
      <c r="B522" t="s">
        <v>52</v>
      </c>
      <c r="C522" t="s">
        <v>12</v>
      </c>
      <c r="D522">
        <v>251</v>
      </c>
      <c r="E522" s="4">
        <v>46039</v>
      </c>
      <c r="F522" s="4">
        <v>46054</v>
      </c>
      <c r="G522" s="4">
        <v>46062</v>
      </c>
      <c r="H522">
        <v>248</v>
      </c>
      <c r="I522" t="s">
        <v>156</v>
      </c>
      <c r="J522">
        <v>1</v>
      </c>
      <c r="K522" t="s">
        <v>1563</v>
      </c>
      <c r="L522" t="str">
        <f t="shared" si="72"/>
        <v>N</v>
      </c>
      <c r="M522" t="str">
        <f t="shared" si="73"/>
        <v>Y</v>
      </c>
      <c r="N522" t="str">
        <f t="shared" si="74"/>
        <v>N</v>
      </c>
      <c r="O522">
        <f t="shared" si="75"/>
        <v>23</v>
      </c>
      <c r="P522" s="6">
        <f t="shared" si="76"/>
        <v>0.98804780876494025</v>
      </c>
      <c r="Q522" s="6">
        <f t="shared" si="77"/>
        <v>4.0322580645161289E-3</v>
      </c>
      <c r="R522">
        <f t="shared" si="78"/>
        <v>0</v>
      </c>
      <c r="S522">
        <f t="shared" si="79"/>
        <v>8</v>
      </c>
      <c r="T522" t="str">
        <f t="shared" si="80"/>
        <v>Feb-26</v>
      </c>
    </row>
    <row r="523" spans="1:20">
      <c r="A523" t="s">
        <v>928</v>
      </c>
      <c r="B523" t="s">
        <v>11</v>
      </c>
      <c r="C523" t="s">
        <v>12</v>
      </c>
      <c r="D523">
        <v>189</v>
      </c>
      <c r="E523" s="4">
        <v>46130</v>
      </c>
      <c r="F523" s="4">
        <v>46145</v>
      </c>
      <c r="G523" s="4">
        <v>46142</v>
      </c>
      <c r="H523">
        <v>186</v>
      </c>
      <c r="I523" t="s">
        <v>385</v>
      </c>
      <c r="J523">
        <v>2</v>
      </c>
      <c r="K523" t="s">
        <v>1563</v>
      </c>
      <c r="L523" t="str">
        <f t="shared" si="72"/>
        <v>Y</v>
      </c>
      <c r="M523" t="str">
        <f t="shared" si="73"/>
        <v>Y</v>
      </c>
      <c r="N523" t="str">
        <f t="shared" si="74"/>
        <v>Y</v>
      </c>
      <c r="O523">
        <f t="shared" si="75"/>
        <v>12</v>
      </c>
      <c r="P523" s="6">
        <f t="shared" si="76"/>
        <v>0.98412698412698407</v>
      </c>
      <c r="Q523" s="6">
        <f t="shared" si="77"/>
        <v>1.0752688172043012E-2</v>
      </c>
      <c r="R523">
        <f t="shared" si="78"/>
        <v>1</v>
      </c>
      <c r="S523">
        <f t="shared" si="79"/>
        <v>0</v>
      </c>
      <c r="T523" t="str">
        <f t="shared" si="80"/>
        <v>Apr-26</v>
      </c>
    </row>
    <row r="524" spans="1:20">
      <c r="A524" t="s">
        <v>930</v>
      </c>
      <c r="B524" t="s">
        <v>40</v>
      </c>
      <c r="C524" t="s">
        <v>12</v>
      </c>
      <c r="D524">
        <v>722</v>
      </c>
      <c r="E524" s="4">
        <v>46081</v>
      </c>
      <c r="F524" s="4">
        <v>46092</v>
      </c>
      <c r="G524" s="4">
        <v>46095</v>
      </c>
      <c r="H524">
        <v>719</v>
      </c>
      <c r="I524" t="s">
        <v>931</v>
      </c>
      <c r="J524">
        <v>2</v>
      </c>
      <c r="K524" t="s">
        <v>1563</v>
      </c>
      <c r="L524" t="str">
        <f t="shared" si="72"/>
        <v>N</v>
      </c>
      <c r="M524" t="str">
        <f t="shared" si="73"/>
        <v>Y</v>
      </c>
      <c r="N524" t="str">
        <f t="shared" si="74"/>
        <v>N</v>
      </c>
      <c r="O524">
        <f t="shared" si="75"/>
        <v>14</v>
      </c>
      <c r="P524" s="6">
        <f t="shared" si="76"/>
        <v>0.99584487534626043</v>
      </c>
      <c r="Q524" s="6">
        <f t="shared" si="77"/>
        <v>2.7816411682892906E-3</v>
      </c>
      <c r="R524">
        <f t="shared" si="78"/>
        <v>0</v>
      </c>
      <c r="S524">
        <f t="shared" si="79"/>
        <v>3</v>
      </c>
      <c r="T524" t="str">
        <f t="shared" si="80"/>
        <v>Mar-26</v>
      </c>
    </row>
    <row r="525" spans="1:20">
      <c r="A525" t="s">
        <v>932</v>
      </c>
      <c r="B525" t="s">
        <v>43</v>
      </c>
      <c r="C525" t="s">
        <v>12</v>
      </c>
      <c r="D525">
        <v>775</v>
      </c>
      <c r="E525" s="4">
        <v>46071</v>
      </c>
      <c r="F525" s="4">
        <v>46079</v>
      </c>
      <c r="G525" s="4">
        <v>46081</v>
      </c>
      <c r="H525">
        <v>764</v>
      </c>
      <c r="I525" t="s">
        <v>421</v>
      </c>
      <c r="J525">
        <v>29</v>
      </c>
      <c r="K525" t="s">
        <v>1563</v>
      </c>
      <c r="L525" t="str">
        <f t="shared" si="72"/>
        <v>N</v>
      </c>
      <c r="M525" t="str">
        <f t="shared" si="73"/>
        <v>Y</v>
      </c>
      <c r="N525" t="str">
        <f t="shared" si="74"/>
        <v>N</v>
      </c>
      <c r="O525">
        <f t="shared" si="75"/>
        <v>10</v>
      </c>
      <c r="P525" s="6">
        <f t="shared" si="76"/>
        <v>0.98580645161290326</v>
      </c>
      <c r="Q525" s="6">
        <f t="shared" si="77"/>
        <v>3.7958115183246072E-2</v>
      </c>
      <c r="R525">
        <f t="shared" si="78"/>
        <v>0</v>
      </c>
      <c r="S525">
        <f t="shared" si="79"/>
        <v>2</v>
      </c>
      <c r="T525" t="str">
        <f t="shared" si="80"/>
        <v>Feb-26</v>
      </c>
    </row>
    <row r="526" spans="1:20">
      <c r="A526" t="s">
        <v>933</v>
      </c>
      <c r="B526" t="s">
        <v>26</v>
      </c>
      <c r="C526" t="s">
        <v>16</v>
      </c>
      <c r="D526">
        <v>752</v>
      </c>
      <c r="E526" s="4">
        <v>46118</v>
      </c>
      <c r="F526" s="4">
        <v>46126</v>
      </c>
      <c r="G526" s="4"/>
      <c r="I526" t="s">
        <v>934</v>
      </c>
      <c r="K526" t="s">
        <v>1565</v>
      </c>
      <c r="L526" t="str">
        <f t="shared" si="72"/>
        <v>N/A</v>
      </c>
      <c r="M526" t="str">
        <f t="shared" si="73"/>
        <v>N/A</v>
      </c>
      <c r="N526" t="str">
        <f t="shared" si="74"/>
        <v>N/A</v>
      </c>
      <c r="O526" t="str">
        <f t="shared" si="75"/>
        <v>N/A</v>
      </c>
      <c r="P526" s="6" t="str">
        <f t="shared" si="76"/>
        <v>N/A</v>
      </c>
      <c r="Q526" s="6" t="str">
        <f t="shared" si="77"/>
        <v>N/A</v>
      </c>
      <c r="R526" t="str">
        <f t="shared" si="78"/>
        <v/>
      </c>
      <c r="S526" t="str">
        <f t="shared" si="79"/>
        <v>N/A</v>
      </c>
      <c r="T526" t="str">
        <f t="shared" si="80"/>
        <v>N/A</v>
      </c>
    </row>
    <row r="527" spans="1:20">
      <c r="A527" t="s">
        <v>935</v>
      </c>
      <c r="B527" t="s">
        <v>81</v>
      </c>
      <c r="C527" t="s">
        <v>12</v>
      </c>
      <c r="D527">
        <v>753</v>
      </c>
      <c r="E527" s="4">
        <v>46141</v>
      </c>
      <c r="F527" s="4">
        <v>46149</v>
      </c>
      <c r="G527" s="4">
        <v>46149</v>
      </c>
      <c r="H527">
        <v>624</v>
      </c>
      <c r="I527" t="s">
        <v>936</v>
      </c>
      <c r="J527">
        <v>3</v>
      </c>
      <c r="K527" t="s">
        <v>1563</v>
      </c>
      <c r="L527" t="str">
        <f t="shared" si="72"/>
        <v>Y</v>
      </c>
      <c r="M527" t="str">
        <f t="shared" si="73"/>
        <v>N</v>
      </c>
      <c r="N527" t="str">
        <f t="shared" si="74"/>
        <v>N</v>
      </c>
      <c r="O527">
        <f t="shared" si="75"/>
        <v>8</v>
      </c>
      <c r="P527" s="6">
        <f t="shared" si="76"/>
        <v>0.82868525896414347</v>
      </c>
      <c r="Q527" s="6">
        <f t="shared" si="77"/>
        <v>4.807692307692308E-3</v>
      </c>
      <c r="R527">
        <f t="shared" si="78"/>
        <v>0</v>
      </c>
      <c r="S527">
        <f t="shared" si="79"/>
        <v>0</v>
      </c>
      <c r="T527" t="str">
        <f t="shared" si="80"/>
        <v>May-26</v>
      </c>
    </row>
    <row r="528" spans="1:20">
      <c r="A528" t="s">
        <v>937</v>
      </c>
      <c r="B528" t="s">
        <v>32</v>
      </c>
      <c r="C528" t="s">
        <v>12</v>
      </c>
      <c r="D528">
        <v>824</v>
      </c>
      <c r="E528" s="4">
        <v>46147</v>
      </c>
      <c r="F528" s="4">
        <v>46155</v>
      </c>
      <c r="G528" s="4">
        <v>46153</v>
      </c>
      <c r="H528">
        <v>821</v>
      </c>
      <c r="I528" t="s">
        <v>938</v>
      </c>
      <c r="J528">
        <v>14</v>
      </c>
      <c r="K528" t="s">
        <v>1563</v>
      </c>
      <c r="L528" t="str">
        <f t="shared" si="72"/>
        <v>Y</v>
      </c>
      <c r="M528" t="str">
        <f t="shared" si="73"/>
        <v>Y</v>
      </c>
      <c r="N528" t="str">
        <f t="shared" si="74"/>
        <v>Y</v>
      </c>
      <c r="O528">
        <f t="shared" si="75"/>
        <v>6</v>
      </c>
      <c r="P528" s="6">
        <f t="shared" si="76"/>
        <v>0.99635922330097082</v>
      </c>
      <c r="Q528" s="6">
        <f t="shared" si="77"/>
        <v>1.705237515225335E-2</v>
      </c>
      <c r="R528">
        <f t="shared" si="78"/>
        <v>1</v>
      </c>
      <c r="S528">
        <f t="shared" si="79"/>
        <v>0</v>
      </c>
      <c r="T528" t="str">
        <f t="shared" si="80"/>
        <v>May-26</v>
      </c>
    </row>
    <row r="529" spans="1:20">
      <c r="A529" t="s">
        <v>939</v>
      </c>
      <c r="B529" t="s">
        <v>22</v>
      </c>
      <c r="C529" t="s">
        <v>16</v>
      </c>
      <c r="D529">
        <v>761</v>
      </c>
      <c r="E529" s="4">
        <v>46160</v>
      </c>
      <c r="F529" s="4">
        <v>46172</v>
      </c>
      <c r="G529" s="4">
        <v>46176</v>
      </c>
      <c r="H529">
        <v>750</v>
      </c>
      <c r="I529" t="s">
        <v>716</v>
      </c>
      <c r="J529">
        <v>56</v>
      </c>
      <c r="K529" t="s">
        <v>1563</v>
      </c>
      <c r="L529" t="str">
        <f t="shared" si="72"/>
        <v>N</v>
      </c>
      <c r="M529" t="str">
        <f t="shared" si="73"/>
        <v>Y</v>
      </c>
      <c r="N529" t="str">
        <f t="shared" si="74"/>
        <v>N</v>
      </c>
      <c r="O529">
        <f t="shared" si="75"/>
        <v>16</v>
      </c>
      <c r="P529" s="6">
        <f t="shared" si="76"/>
        <v>0.98554533508541398</v>
      </c>
      <c r="Q529" s="6">
        <f t="shared" si="77"/>
        <v>7.4666666666666673E-2</v>
      </c>
      <c r="R529">
        <f t="shared" si="78"/>
        <v>0</v>
      </c>
      <c r="S529">
        <f t="shared" si="79"/>
        <v>4</v>
      </c>
      <c r="T529" t="str">
        <f t="shared" si="80"/>
        <v>Jun-26</v>
      </c>
    </row>
    <row r="530" spans="1:20">
      <c r="A530" t="s">
        <v>940</v>
      </c>
      <c r="B530" t="s">
        <v>81</v>
      </c>
      <c r="C530" t="s">
        <v>12</v>
      </c>
      <c r="D530">
        <v>168</v>
      </c>
      <c r="E530" s="4">
        <v>46069</v>
      </c>
      <c r="F530" s="4">
        <v>46083</v>
      </c>
      <c r="G530" s="4">
        <v>46087</v>
      </c>
      <c r="H530">
        <v>167</v>
      </c>
      <c r="I530" t="s">
        <v>941</v>
      </c>
      <c r="J530">
        <v>2</v>
      </c>
      <c r="K530" t="s">
        <v>1563</v>
      </c>
      <c r="L530" t="str">
        <f t="shared" si="72"/>
        <v>N</v>
      </c>
      <c r="M530" t="str">
        <f t="shared" si="73"/>
        <v>Y</v>
      </c>
      <c r="N530" t="str">
        <f t="shared" si="74"/>
        <v>N</v>
      </c>
      <c r="O530">
        <f t="shared" si="75"/>
        <v>18</v>
      </c>
      <c r="P530" s="6">
        <f t="shared" si="76"/>
        <v>0.99404761904761907</v>
      </c>
      <c r="Q530" s="6">
        <f t="shared" si="77"/>
        <v>1.1976047904191617E-2</v>
      </c>
      <c r="R530">
        <f t="shared" si="78"/>
        <v>0</v>
      </c>
      <c r="S530">
        <f t="shared" si="79"/>
        <v>4</v>
      </c>
      <c r="T530" t="str">
        <f t="shared" si="80"/>
        <v>Mar-26</v>
      </c>
    </row>
    <row r="531" spans="1:20">
      <c r="A531" t="s">
        <v>942</v>
      </c>
      <c r="B531" t="s">
        <v>46</v>
      </c>
      <c r="C531" t="s">
        <v>16</v>
      </c>
      <c r="D531">
        <v>494</v>
      </c>
      <c r="E531" s="4">
        <v>46052</v>
      </c>
      <c r="F531" s="4">
        <v>46061</v>
      </c>
      <c r="G531" s="4">
        <v>46059</v>
      </c>
      <c r="H531">
        <v>493</v>
      </c>
      <c r="I531" t="s">
        <v>320</v>
      </c>
      <c r="J531">
        <v>20</v>
      </c>
      <c r="K531" t="s">
        <v>1563</v>
      </c>
      <c r="L531" t="str">
        <f t="shared" si="72"/>
        <v>Y</v>
      </c>
      <c r="M531" t="str">
        <f t="shared" si="73"/>
        <v>Y</v>
      </c>
      <c r="N531" t="str">
        <f t="shared" si="74"/>
        <v>Y</v>
      </c>
      <c r="O531">
        <f t="shared" si="75"/>
        <v>7</v>
      </c>
      <c r="P531" s="6">
        <f t="shared" si="76"/>
        <v>0.99797570850202433</v>
      </c>
      <c r="Q531" s="6">
        <f t="shared" si="77"/>
        <v>4.0567951318458417E-2</v>
      </c>
      <c r="R531">
        <f t="shared" si="78"/>
        <v>1</v>
      </c>
      <c r="S531">
        <f t="shared" si="79"/>
        <v>0</v>
      </c>
      <c r="T531" t="str">
        <f t="shared" si="80"/>
        <v>Feb-26</v>
      </c>
    </row>
    <row r="532" spans="1:20">
      <c r="A532" t="s">
        <v>943</v>
      </c>
      <c r="B532" t="s">
        <v>22</v>
      </c>
      <c r="C532" t="s">
        <v>16</v>
      </c>
      <c r="D532">
        <v>633</v>
      </c>
      <c r="E532" s="4">
        <v>46068</v>
      </c>
      <c r="F532" s="4">
        <v>46077</v>
      </c>
      <c r="G532" s="4">
        <v>46074</v>
      </c>
      <c r="H532">
        <v>577</v>
      </c>
      <c r="I532" t="s">
        <v>944</v>
      </c>
      <c r="J532">
        <v>49</v>
      </c>
      <c r="K532" t="s">
        <v>1563</v>
      </c>
      <c r="L532" t="str">
        <f t="shared" si="72"/>
        <v>Y</v>
      </c>
      <c r="M532" t="str">
        <f t="shared" si="73"/>
        <v>N</v>
      </c>
      <c r="N532" t="str">
        <f t="shared" si="74"/>
        <v>N</v>
      </c>
      <c r="O532">
        <f t="shared" si="75"/>
        <v>6</v>
      </c>
      <c r="P532" s="6">
        <f t="shared" si="76"/>
        <v>0.91153238546603477</v>
      </c>
      <c r="Q532" s="6">
        <f t="shared" si="77"/>
        <v>8.4922010398613523E-2</v>
      </c>
      <c r="R532">
        <f t="shared" si="78"/>
        <v>0</v>
      </c>
      <c r="S532">
        <f t="shared" si="79"/>
        <v>0</v>
      </c>
      <c r="T532" t="str">
        <f t="shared" si="80"/>
        <v>Feb-26</v>
      </c>
    </row>
    <row r="533" spans="1:20">
      <c r="A533" t="s">
        <v>945</v>
      </c>
      <c r="B533" t="s">
        <v>100</v>
      </c>
      <c r="C533" t="s">
        <v>16</v>
      </c>
      <c r="D533">
        <v>193</v>
      </c>
      <c r="E533" s="4">
        <v>46094</v>
      </c>
      <c r="F533" s="4">
        <v>46099</v>
      </c>
      <c r="G533" s="4">
        <v>46097</v>
      </c>
      <c r="H533">
        <v>190</v>
      </c>
      <c r="I533" t="s">
        <v>906</v>
      </c>
      <c r="J533">
        <v>4</v>
      </c>
      <c r="K533" t="s">
        <v>1563</v>
      </c>
      <c r="L533" t="str">
        <f t="shared" si="72"/>
        <v>Y</v>
      </c>
      <c r="M533" t="str">
        <f t="shared" si="73"/>
        <v>Y</v>
      </c>
      <c r="N533" t="str">
        <f t="shared" si="74"/>
        <v>Y</v>
      </c>
      <c r="O533">
        <f t="shared" si="75"/>
        <v>3</v>
      </c>
      <c r="P533" s="6">
        <f t="shared" si="76"/>
        <v>0.98445595854922274</v>
      </c>
      <c r="Q533" s="6">
        <f t="shared" si="77"/>
        <v>2.1052631578947368E-2</v>
      </c>
      <c r="R533">
        <f t="shared" si="78"/>
        <v>1</v>
      </c>
      <c r="S533">
        <f t="shared" si="79"/>
        <v>0</v>
      </c>
      <c r="T533" t="str">
        <f t="shared" si="80"/>
        <v>Mar-26</v>
      </c>
    </row>
    <row r="534" spans="1:20">
      <c r="A534" t="s">
        <v>947</v>
      </c>
      <c r="B534" t="s">
        <v>29</v>
      </c>
      <c r="C534" t="s">
        <v>23</v>
      </c>
      <c r="D534">
        <v>302</v>
      </c>
      <c r="E534" s="4">
        <v>46060</v>
      </c>
      <c r="F534" s="4">
        <v>46068</v>
      </c>
      <c r="G534" s="4">
        <v>46071</v>
      </c>
      <c r="H534">
        <v>306</v>
      </c>
      <c r="I534" t="s">
        <v>948</v>
      </c>
      <c r="J534">
        <v>3</v>
      </c>
      <c r="K534" t="s">
        <v>1563</v>
      </c>
      <c r="L534" t="str">
        <f t="shared" si="72"/>
        <v>N</v>
      </c>
      <c r="M534" t="str">
        <f t="shared" si="73"/>
        <v>Y</v>
      </c>
      <c r="N534" t="str">
        <f t="shared" si="74"/>
        <v>N</v>
      </c>
      <c r="O534">
        <f t="shared" si="75"/>
        <v>11</v>
      </c>
      <c r="P534" s="6">
        <f t="shared" si="76"/>
        <v>1.0132450331125828</v>
      </c>
      <c r="Q534" s="6">
        <f t="shared" si="77"/>
        <v>9.8039215686274508E-3</v>
      </c>
      <c r="R534">
        <f t="shared" si="78"/>
        <v>0</v>
      </c>
      <c r="S534">
        <f t="shared" si="79"/>
        <v>3</v>
      </c>
      <c r="T534" t="str">
        <f t="shared" si="80"/>
        <v>Feb-26</v>
      </c>
    </row>
    <row r="535" spans="1:20">
      <c r="A535" t="s">
        <v>949</v>
      </c>
      <c r="B535" t="s">
        <v>11</v>
      </c>
      <c r="C535" t="s">
        <v>12</v>
      </c>
      <c r="D535">
        <v>738</v>
      </c>
      <c r="E535" s="4">
        <v>46073</v>
      </c>
      <c r="F535" s="4">
        <v>46086</v>
      </c>
      <c r="G535" s="4">
        <v>46083</v>
      </c>
      <c r="H535">
        <v>751</v>
      </c>
      <c r="I535" t="s">
        <v>647</v>
      </c>
      <c r="J535">
        <v>14</v>
      </c>
      <c r="K535" t="s">
        <v>1563</v>
      </c>
      <c r="L535" t="str">
        <f t="shared" si="72"/>
        <v>Y</v>
      </c>
      <c r="M535" t="str">
        <f t="shared" si="73"/>
        <v>Y</v>
      </c>
      <c r="N535" t="str">
        <f t="shared" si="74"/>
        <v>Y</v>
      </c>
      <c r="O535">
        <f t="shared" si="75"/>
        <v>10</v>
      </c>
      <c r="P535" s="6">
        <f t="shared" si="76"/>
        <v>1.0176151761517616</v>
      </c>
      <c r="Q535" s="6">
        <f t="shared" si="77"/>
        <v>1.8641810918774968E-2</v>
      </c>
      <c r="R535">
        <f t="shared" si="78"/>
        <v>1</v>
      </c>
      <c r="S535">
        <f t="shared" si="79"/>
        <v>0</v>
      </c>
      <c r="T535" t="str">
        <f t="shared" si="80"/>
        <v>Mar-26</v>
      </c>
    </row>
    <row r="536" spans="1:20">
      <c r="A536" t="s">
        <v>950</v>
      </c>
      <c r="B536" t="s">
        <v>32</v>
      </c>
      <c r="C536" t="s">
        <v>16</v>
      </c>
      <c r="D536">
        <v>217</v>
      </c>
      <c r="E536" s="4">
        <v>46087</v>
      </c>
      <c r="F536" s="4">
        <v>46095</v>
      </c>
      <c r="G536" s="4">
        <v>46093</v>
      </c>
      <c r="H536">
        <v>220</v>
      </c>
      <c r="I536" t="s">
        <v>951</v>
      </c>
      <c r="J536">
        <v>9</v>
      </c>
      <c r="K536" t="s">
        <v>1563</v>
      </c>
      <c r="L536" t="str">
        <f t="shared" si="72"/>
        <v>Y</v>
      </c>
      <c r="M536" t="str">
        <f t="shared" si="73"/>
        <v>Y</v>
      </c>
      <c r="N536" t="str">
        <f t="shared" si="74"/>
        <v>Y</v>
      </c>
      <c r="O536">
        <f t="shared" si="75"/>
        <v>6</v>
      </c>
      <c r="P536" s="6">
        <f t="shared" si="76"/>
        <v>1.0138248847926268</v>
      </c>
      <c r="Q536" s="6">
        <f t="shared" si="77"/>
        <v>4.0909090909090909E-2</v>
      </c>
      <c r="R536">
        <f t="shared" si="78"/>
        <v>1</v>
      </c>
      <c r="S536">
        <f t="shared" si="79"/>
        <v>0</v>
      </c>
      <c r="T536" t="str">
        <f t="shared" si="80"/>
        <v>Mar-26</v>
      </c>
    </row>
    <row r="537" spans="1:20">
      <c r="A537" t="s">
        <v>952</v>
      </c>
      <c r="B537" t="s">
        <v>100</v>
      </c>
      <c r="C537" t="s">
        <v>16</v>
      </c>
      <c r="D537">
        <v>863</v>
      </c>
      <c r="E537" s="4">
        <v>46058</v>
      </c>
      <c r="F537" s="4">
        <v>46063</v>
      </c>
      <c r="G537" s="4">
        <v>46063</v>
      </c>
      <c r="H537">
        <v>847</v>
      </c>
      <c r="I537" t="s">
        <v>209</v>
      </c>
      <c r="J537">
        <v>10</v>
      </c>
      <c r="K537" t="s">
        <v>1563</v>
      </c>
      <c r="L537" t="str">
        <f t="shared" si="72"/>
        <v>Y</v>
      </c>
      <c r="M537" t="str">
        <f t="shared" si="73"/>
        <v>Y</v>
      </c>
      <c r="N537" t="str">
        <f t="shared" si="74"/>
        <v>Y</v>
      </c>
      <c r="O537">
        <f t="shared" si="75"/>
        <v>5</v>
      </c>
      <c r="P537" s="6">
        <f t="shared" si="76"/>
        <v>0.98146002317497105</v>
      </c>
      <c r="Q537" s="6">
        <f t="shared" si="77"/>
        <v>1.1806375442739079E-2</v>
      </c>
      <c r="R537">
        <f t="shared" si="78"/>
        <v>1</v>
      </c>
      <c r="S537">
        <f t="shared" si="79"/>
        <v>0</v>
      </c>
      <c r="T537" t="str">
        <f t="shared" si="80"/>
        <v>Feb-26</v>
      </c>
    </row>
    <row r="538" spans="1:20">
      <c r="A538" t="s">
        <v>953</v>
      </c>
      <c r="B538" t="s">
        <v>49</v>
      </c>
      <c r="C538" t="s">
        <v>12</v>
      </c>
      <c r="D538">
        <v>896</v>
      </c>
      <c r="E538" s="4">
        <v>46114</v>
      </c>
      <c r="F538" s="4">
        <v>46123</v>
      </c>
      <c r="G538" s="4">
        <v>46123</v>
      </c>
      <c r="H538">
        <v>910</v>
      </c>
      <c r="I538" t="s">
        <v>461</v>
      </c>
      <c r="J538">
        <v>8</v>
      </c>
      <c r="K538" t="s">
        <v>1563</v>
      </c>
      <c r="L538" t="str">
        <f t="shared" si="72"/>
        <v>Y</v>
      </c>
      <c r="M538" t="str">
        <f t="shared" si="73"/>
        <v>Y</v>
      </c>
      <c r="N538" t="str">
        <f t="shared" si="74"/>
        <v>Y</v>
      </c>
      <c r="O538">
        <f t="shared" si="75"/>
        <v>9</v>
      </c>
      <c r="P538" s="6">
        <f t="shared" si="76"/>
        <v>1.015625</v>
      </c>
      <c r="Q538" s="6">
        <f t="shared" si="77"/>
        <v>8.7912087912087912E-3</v>
      </c>
      <c r="R538">
        <f t="shared" si="78"/>
        <v>1</v>
      </c>
      <c r="S538">
        <f t="shared" si="79"/>
        <v>0</v>
      </c>
      <c r="T538" t="str">
        <f t="shared" si="80"/>
        <v>Apr-26</v>
      </c>
    </row>
    <row r="539" spans="1:20">
      <c r="A539" t="s">
        <v>954</v>
      </c>
      <c r="B539" t="s">
        <v>46</v>
      </c>
      <c r="C539" t="s">
        <v>12</v>
      </c>
      <c r="D539">
        <v>132</v>
      </c>
      <c r="E539" s="4">
        <v>46060</v>
      </c>
      <c r="F539" s="4">
        <v>46070</v>
      </c>
      <c r="G539" s="4">
        <v>46068</v>
      </c>
      <c r="H539">
        <v>131</v>
      </c>
      <c r="I539" t="s">
        <v>731</v>
      </c>
      <c r="J539">
        <v>1</v>
      </c>
      <c r="K539" t="s">
        <v>1563</v>
      </c>
      <c r="L539" t="str">
        <f t="shared" si="72"/>
        <v>Y</v>
      </c>
      <c r="M539" t="str">
        <f t="shared" si="73"/>
        <v>Y</v>
      </c>
      <c r="N539" t="str">
        <f t="shared" si="74"/>
        <v>Y</v>
      </c>
      <c r="O539">
        <f t="shared" si="75"/>
        <v>8</v>
      </c>
      <c r="P539" s="6">
        <f t="shared" si="76"/>
        <v>0.99242424242424243</v>
      </c>
      <c r="Q539" s="6">
        <f t="shared" si="77"/>
        <v>7.6335877862595417E-3</v>
      </c>
      <c r="R539">
        <f t="shared" si="78"/>
        <v>1</v>
      </c>
      <c r="S539">
        <f t="shared" si="79"/>
        <v>0</v>
      </c>
      <c r="T539" t="str">
        <f t="shared" si="80"/>
        <v>Feb-26</v>
      </c>
    </row>
    <row r="540" spans="1:20">
      <c r="A540" t="s">
        <v>955</v>
      </c>
      <c r="B540" t="s">
        <v>177</v>
      </c>
      <c r="C540" t="s">
        <v>23</v>
      </c>
      <c r="D540">
        <v>89</v>
      </c>
      <c r="E540" s="4">
        <v>46108</v>
      </c>
      <c r="F540" s="4">
        <v>46115</v>
      </c>
      <c r="G540" s="4">
        <v>46114</v>
      </c>
      <c r="H540">
        <v>90</v>
      </c>
      <c r="I540" t="s">
        <v>956</v>
      </c>
      <c r="J540">
        <v>2</v>
      </c>
      <c r="K540" t="s">
        <v>1563</v>
      </c>
      <c r="L540" t="str">
        <f t="shared" si="72"/>
        <v>Y</v>
      </c>
      <c r="M540" t="str">
        <f t="shared" si="73"/>
        <v>Y</v>
      </c>
      <c r="N540" t="str">
        <f t="shared" si="74"/>
        <v>Y</v>
      </c>
      <c r="O540">
        <f t="shared" si="75"/>
        <v>6</v>
      </c>
      <c r="P540" s="6">
        <f t="shared" si="76"/>
        <v>1.0112359550561798</v>
      </c>
      <c r="Q540" s="6">
        <f t="shared" si="77"/>
        <v>2.2222222222222223E-2</v>
      </c>
      <c r="R540">
        <f t="shared" si="78"/>
        <v>1</v>
      </c>
      <c r="S540">
        <f t="shared" si="79"/>
        <v>0</v>
      </c>
      <c r="T540" t="str">
        <f t="shared" si="80"/>
        <v>Apr-26</v>
      </c>
    </row>
    <row r="541" spans="1:20">
      <c r="A541" t="s">
        <v>957</v>
      </c>
      <c r="B541" t="s">
        <v>46</v>
      </c>
      <c r="C541" t="s">
        <v>12</v>
      </c>
      <c r="D541">
        <v>308</v>
      </c>
      <c r="E541" s="4">
        <v>46092</v>
      </c>
      <c r="F541" s="4">
        <v>46099</v>
      </c>
      <c r="G541" s="4">
        <v>46100</v>
      </c>
      <c r="H541">
        <v>303</v>
      </c>
      <c r="I541" t="s">
        <v>958</v>
      </c>
      <c r="J541">
        <v>29</v>
      </c>
      <c r="K541" t="s">
        <v>1563</v>
      </c>
      <c r="L541" t="str">
        <f t="shared" si="72"/>
        <v>N</v>
      </c>
      <c r="M541" t="str">
        <f t="shared" si="73"/>
        <v>Y</v>
      </c>
      <c r="N541" t="str">
        <f t="shared" si="74"/>
        <v>N</v>
      </c>
      <c r="O541">
        <f t="shared" si="75"/>
        <v>8</v>
      </c>
      <c r="P541" s="6">
        <f t="shared" si="76"/>
        <v>0.98376623376623373</v>
      </c>
      <c r="Q541" s="6">
        <f t="shared" si="77"/>
        <v>9.5709570957095716E-2</v>
      </c>
      <c r="R541">
        <f t="shared" si="78"/>
        <v>0</v>
      </c>
      <c r="S541">
        <f t="shared" si="79"/>
        <v>1</v>
      </c>
      <c r="T541" t="str">
        <f t="shared" si="80"/>
        <v>Mar-26</v>
      </c>
    </row>
    <row r="542" spans="1:20">
      <c r="A542" t="s">
        <v>959</v>
      </c>
      <c r="B542" t="s">
        <v>22</v>
      </c>
      <c r="C542" t="s">
        <v>23</v>
      </c>
      <c r="D542">
        <v>838</v>
      </c>
      <c r="E542" s="4">
        <v>46091</v>
      </c>
      <c r="F542" s="4">
        <v>46104</v>
      </c>
      <c r="G542" s="4">
        <v>46111</v>
      </c>
      <c r="H542">
        <v>822</v>
      </c>
      <c r="I542" t="s">
        <v>960</v>
      </c>
      <c r="J542">
        <v>8</v>
      </c>
      <c r="K542" t="s">
        <v>1563</v>
      </c>
      <c r="L542" t="str">
        <f t="shared" si="72"/>
        <v>N</v>
      </c>
      <c r="M542" t="str">
        <f t="shared" si="73"/>
        <v>Y</v>
      </c>
      <c r="N542" t="str">
        <f t="shared" si="74"/>
        <v>N</v>
      </c>
      <c r="O542">
        <f t="shared" si="75"/>
        <v>20</v>
      </c>
      <c r="P542" s="6">
        <f t="shared" si="76"/>
        <v>0.98090692124105017</v>
      </c>
      <c r="Q542" s="6">
        <f t="shared" si="77"/>
        <v>9.7323600973236012E-3</v>
      </c>
      <c r="R542">
        <f t="shared" si="78"/>
        <v>0</v>
      </c>
      <c r="S542">
        <f t="shared" si="79"/>
        <v>7</v>
      </c>
      <c r="T542" t="str">
        <f t="shared" si="80"/>
        <v>Mar-26</v>
      </c>
    </row>
    <row r="543" spans="1:20">
      <c r="A543" t="s">
        <v>961</v>
      </c>
      <c r="B543" t="s">
        <v>64</v>
      </c>
      <c r="C543" t="s">
        <v>16</v>
      </c>
      <c r="D543">
        <v>728</v>
      </c>
      <c r="E543" s="4">
        <v>46083</v>
      </c>
      <c r="F543" s="4">
        <v>46091</v>
      </c>
      <c r="G543" s="4">
        <v>46088</v>
      </c>
      <c r="H543">
        <v>735</v>
      </c>
      <c r="I543" t="s">
        <v>490</v>
      </c>
      <c r="J543">
        <v>13</v>
      </c>
      <c r="K543" t="s">
        <v>1563</v>
      </c>
      <c r="L543" t="str">
        <f t="shared" si="72"/>
        <v>Y</v>
      </c>
      <c r="M543" t="str">
        <f t="shared" si="73"/>
        <v>Y</v>
      </c>
      <c r="N543" t="str">
        <f t="shared" si="74"/>
        <v>Y</v>
      </c>
      <c r="O543">
        <f t="shared" si="75"/>
        <v>5</v>
      </c>
      <c r="P543" s="6">
        <f t="shared" si="76"/>
        <v>1.0096153846153846</v>
      </c>
      <c r="Q543" s="6">
        <f t="shared" si="77"/>
        <v>1.7687074829931974E-2</v>
      </c>
      <c r="R543">
        <f t="shared" si="78"/>
        <v>1</v>
      </c>
      <c r="S543">
        <f t="shared" si="79"/>
        <v>0</v>
      </c>
      <c r="T543" t="str">
        <f t="shared" si="80"/>
        <v>Mar-26</v>
      </c>
    </row>
    <row r="544" spans="1:20">
      <c r="A544" t="s">
        <v>962</v>
      </c>
      <c r="B544" t="s">
        <v>52</v>
      </c>
      <c r="C544" t="s">
        <v>12</v>
      </c>
      <c r="D544">
        <v>436</v>
      </c>
      <c r="E544" s="4">
        <v>46080</v>
      </c>
      <c r="F544" s="4">
        <v>46090</v>
      </c>
      <c r="G544" s="4">
        <v>46090</v>
      </c>
      <c r="H544">
        <v>371</v>
      </c>
      <c r="I544" t="s">
        <v>963</v>
      </c>
      <c r="J544">
        <v>3</v>
      </c>
      <c r="K544" t="s">
        <v>1563</v>
      </c>
      <c r="L544" t="str">
        <f t="shared" si="72"/>
        <v>Y</v>
      </c>
      <c r="M544" t="str">
        <f t="shared" si="73"/>
        <v>N</v>
      </c>
      <c r="N544" t="str">
        <f t="shared" si="74"/>
        <v>N</v>
      </c>
      <c r="O544">
        <f t="shared" si="75"/>
        <v>10</v>
      </c>
      <c r="P544" s="6">
        <f t="shared" si="76"/>
        <v>0.8509174311926605</v>
      </c>
      <c r="Q544" s="6">
        <f t="shared" si="77"/>
        <v>8.0862533692722376E-3</v>
      </c>
      <c r="R544">
        <f t="shared" si="78"/>
        <v>0</v>
      </c>
      <c r="S544">
        <f t="shared" si="79"/>
        <v>0</v>
      </c>
      <c r="T544" t="str">
        <f t="shared" si="80"/>
        <v>Mar-26</v>
      </c>
    </row>
    <row r="545" spans="1:20">
      <c r="A545" t="s">
        <v>964</v>
      </c>
      <c r="B545" t="s">
        <v>67</v>
      </c>
      <c r="C545" t="s">
        <v>12</v>
      </c>
      <c r="D545">
        <v>316</v>
      </c>
      <c r="E545" s="4">
        <v>46083</v>
      </c>
      <c r="F545" s="4">
        <v>46095</v>
      </c>
      <c r="G545" s="4">
        <v>46096</v>
      </c>
      <c r="H545">
        <v>311</v>
      </c>
      <c r="I545" t="s">
        <v>101</v>
      </c>
      <c r="J545">
        <v>8</v>
      </c>
      <c r="K545" t="s">
        <v>1563</v>
      </c>
      <c r="L545" t="str">
        <f t="shared" si="72"/>
        <v>N</v>
      </c>
      <c r="M545" t="str">
        <f t="shared" si="73"/>
        <v>Y</v>
      </c>
      <c r="N545" t="str">
        <f t="shared" si="74"/>
        <v>N</v>
      </c>
      <c r="O545">
        <f t="shared" si="75"/>
        <v>13</v>
      </c>
      <c r="P545" s="6">
        <f t="shared" si="76"/>
        <v>0.98417721518987344</v>
      </c>
      <c r="Q545" s="6">
        <f t="shared" si="77"/>
        <v>2.5723472668810289E-2</v>
      </c>
      <c r="R545">
        <f t="shared" si="78"/>
        <v>0</v>
      </c>
      <c r="S545">
        <f t="shared" si="79"/>
        <v>1</v>
      </c>
      <c r="T545" t="str">
        <f t="shared" si="80"/>
        <v>Mar-26</v>
      </c>
    </row>
    <row r="546" spans="1:20">
      <c r="A546" t="s">
        <v>966</v>
      </c>
      <c r="B546" t="s">
        <v>40</v>
      </c>
      <c r="C546" t="s">
        <v>16</v>
      </c>
      <c r="D546">
        <v>894</v>
      </c>
      <c r="E546" s="4">
        <v>46028</v>
      </c>
      <c r="F546" s="4">
        <v>46033</v>
      </c>
      <c r="G546" s="4">
        <v>46032</v>
      </c>
      <c r="H546">
        <v>890</v>
      </c>
      <c r="I546" t="s">
        <v>906</v>
      </c>
      <c r="J546">
        <v>51</v>
      </c>
      <c r="K546" t="s">
        <v>1563</v>
      </c>
      <c r="L546" t="str">
        <f t="shared" si="72"/>
        <v>Y</v>
      </c>
      <c r="M546" t="str">
        <f t="shared" si="73"/>
        <v>Y</v>
      </c>
      <c r="N546" t="str">
        <f t="shared" si="74"/>
        <v>Y</v>
      </c>
      <c r="O546">
        <f t="shared" si="75"/>
        <v>4</v>
      </c>
      <c r="P546" s="6">
        <f t="shared" si="76"/>
        <v>0.99552572706935127</v>
      </c>
      <c r="Q546" s="6">
        <f t="shared" si="77"/>
        <v>5.7303370786516851E-2</v>
      </c>
      <c r="R546">
        <f t="shared" si="78"/>
        <v>1</v>
      </c>
      <c r="S546">
        <f t="shared" si="79"/>
        <v>0</v>
      </c>
      <c r="T546" t="str">
        <f t="shared" si="80"/>
        <v>Jan-26</v>
      </c>
    </row>
    <row r="547" spans="1:20">
      <c r="A547" t="s">
        <v>967</v>
      </c>
      <c r="B547" t="s">
        <v>120</v>
      </c>
      <c r="C547" t="s">
        <v>12</v>
      </c>
      <c r="D547">
        <v>906</v>
      </c>
      <c r="E547" s="4">
        <v>46139</v>
      </c>
      <c r="F547" s="4">
        <v>46144</v>
      </c>
      <c r="G547" s="4">
        <v>46144</v>
      </c>
      <c r="H547">
        <v>919</v>
      </c>
      <c r="I547" t="s">
        <v>968</v>
      </c>
      <c r="J547">
        <v>21</v>
      </c>
      <c r="K547" t="s">
        <v>1563</v>
      </c>
      <c r="L547" t="str">
        <f t="shared" si="72"/>
        <v>Y</v>
      </c>
      <c r="M547" t="str">
        <f t="shared" si="73"/>
        <v>Y</v>
      </c>
      <c r="N547" t="str">
        <f t="shared" si="74"/>
        <v>Y</v>
      </c>
      <c r="O547">
        <f t="shared" si="75"/>
        <v>5</v>
      </c>
      <c r="P547" s="6">
        <f t="shared" si="76"/>
        <v>1.0143487858719646</v>
      </c>
      <c r="Q547" s="6">
        <f t="shared" si="77"/>
        <v>2.2850924918389554E-2</v>
      </c>
      <c r="R547">
        <f t="shared" si="78"/>
        <v>1</v>
      </c>
      <c r="S547">
        <f t="shared" si="79"/>
        <v>0</v>
      </c>
      <c r="T547" t="str">
        <f t="shared" si="80"/>
        <v>May-26</v>
      </c>
    </row>
    <row r="548" spans="1:20">
      <c r="A548" t="s">
        <v>969</v>
      </c>
      <c r="B548" t="s">
        <v>70</v>
      </c>
      <c r="C548" t="s">
        <v>12</v>
      </c>
      <c r="D548">
        <v>255</v>
      </c>
      <c r="E548" s="4">
        <v>46034</v>
      </c>
      <c r="F548" s="4">
        <v>46044</v>
      </c>
      <c r="G548" s="4">
        <v>46041</v>
      </c>
      <c r="H548">
        <v>252</v>
      </c>
      <c r="I548" t="s">
        <v>970</v>
      </c>
      <c r="J548">
        <v>1</v>
      </c>
      <c r="K548" t="s">
        <v>1563</v>
      </c>
      <c r="L548" t="str">
        <f t="shared" si="72"/>
        <v>Y</v>
      </c>
      <c r="M548" t="str">
        <f t="shared" si="73"/>
        <v>Y</v>
      </c>
      <c r="N548" t="str">
        <f t="shared" si="74"/>
        <v>Y</v>
      </c>
      <c r="O548">
        <f t="shared" si="75"/>
        <v>7</v>
      </c>
      <c r="P548" s="6">
        <f t="shared" si="76"/>
        <v>0.9882352941176471</v>
      </c>
      <c r="Q548" s="6">
        <f t="shared" si="77"/>
        <v>3.968253968253968E-3</v>
      </c>
      <c r="R548">
        <f t="shared" si="78"/>
        <v>1</v>
      </c>
      <c r="S548">
        <f t="shared" si="79"/>
        <v>0</v>
      </c>
      <c r="T548" t="str">
        <f t="shared" si="80"/>
        <v>Jan-26</v>
      </c>
    </row>
    <row r="549" spans="1:20">
      <c r="A549" t="s">
        <v>971</v>
      </c>
      <c r="B549" t="s">
        <v>177</v>
      </c>
      <c r="C549" t="s">
        <v>12</v>
      </c>
      <c r="D549">
        <v>864</v>
      </c>
      <c r="E549" s="4">
        <v>46145</v>
      </c>
      <c r="F549" s="4">
        <v>46150</v>
      </c>
      <c r="G549" s="4">
        <v>46148</v>
      </c>
      <c r="H549">
        <v>866</v>
      </c>
      <c r="I549" t="s">
        <v>240</v>
      </c>
      <c r="J549">
        <v>37</v>
      </c>
      <c r="K549" t="s">
        <v>1563</v>
      </c>
      <c r="L549" t="str">
        <f t="shared" si="72"/>
        <v>Y</v>
      </c>
      <c r="M549" t="str">
        <f t="shared" si="73"/>
        <v>Y</v>
      </c>
      <c r="N549" t="str">
        <f t="shared" si="74"/>
        <v>Y</v>
      </c>
      <c r="O549">
        <f t="shared" si="75"/>
        <v>3</v>
      </c>
      <c r="P549" s="6">
        <f t="shared" si="76"/>
        <v>1.0023148148148149</v>
      </c>
      <c r="Q549" s="6">
        <f t="shared" si="77"/>
        <v>4.2725173210161664E-2</v>
      </c>
      <c r="R549">
        <f t="shared" si="78"/>
        <v>1</v>
      </c>
      <c r="S549">
        <f t="shared" si="79"/>
        <v>0</v>
      </c>
      <c r="T549" t="str">
        <f t="shared" si="80"/>
        <v>May-26</v>
      </c>
    </row>
    <row r="550" spans="1:20">
      <c r="A550" t="s">
        <v>972</v>
      </c>
      <c r="B550" t="s">
        <v>32</v>
      </c>
      <c r="C550" t="s">
        <v>16</v>
      </c>
      <c r="D550">
        <v>221</v>
      </c>
      <c r="E550" s="4">
        <v>46125</v>
      </c>
      <c r="F550" s="4">
        <v>46137</v>
      </c>
      <c r="G550" s="4">
        <v>46134</v>
      </c>
      <c r="H550">
        <v>222</v>
      </c>
      <c r="I550" t="s">
        <v>815</v>
      </c>
      <c r="J550">
        <v>9</v>
      </c>
      <c r="K550" t="s">
        <v>1563</v>
      </c>
      <c r="L550" t="str">
        <f t="shared" si="72"/>
        <v>Y</v>
      </c>
      <c r="M550" t="str">
        <f t="shared" si="73"/>
        <v>Y</v>
      </c>
      <c r="N550" t="str">
        <f t="shared" si="74"/>
        <v>Y</v>
      </c>
      <c r="O550">
        <f t="shared" si="75"/>
        <v>9</v>
      </c>
      <c r="P550" s="6">
        <f t="shared" si="76"/>
        <v>1.004524886877828</v>
      </c>
      <c r="Q550" s="6">
        <f t="shared" si="77"/>
        <v>4.0540540540540543E-2</v>
      </c>
      <c r="R550">
        <f t="shared" si="78"/>
        <v>1</v>
      </c>
      <c r="S550">
        <f t="shared" si="79"/>
        <v>0</v>
      </c>
      <c r="T550" t="str">
        <f t="shared" si="80"/>
        <v>Apr-26</v>
      </c>
    </row>
    <row r="551" spans="1:20">
      <c r="A551" t="s">
        <v>973</v>
      </c>
      <c r="B551" t="s">
        <v>52</v>
      </c>
      <c r="C551" t="s">
        <v>16</v>
      </c>
      <c r="D551">
        <v>160</v>
      </c>
      <c r="E551" s="4">
        <v>46095</v>
      </c>
      <c r="F551" s="4">
        <v>46104</v>
      </c>
      <c r="G551" s="4">
        <v>46102</v>
      </c>
      <c r="H551">
        <v>145</v>
      </c>
      <c r="I551" t="s">
        <v>294</v>
      </c>
      <c r="J551">
        <v>3</v>
      </c>
      <c r="K551" t="s">
        <v>1563</v>
      </c>
      <c r="L551" t="str">
        <f t="shared" si="72"/>
        <v>Y</v>
      </c>
      <c r="M551" t="str">
        <f t="shared" si="73"/>
        <v>N</v>
      </c>
      <c r="N551" t="str">
        <f t="shared" si="74"/>
        <v>N</v>
      </c>
      <c r="O551">
        <f t="shared" si="75"/>
        <v>7</v>
      </c>
      <c r="P551" s="6">
        <f t="shared" si="76"/>
        <v>0.90625</v>
      </c>
      <c r="Q551" s="6">
        <f t="shared" si="77"/>
        <v>2.0689655172413793E-2</v>
      </c>
      <c r="R551">
        <f t="shared" si="78"/>
        <v>0</v>
      </c>
      <c r="S551">
        <f t="shared" si="79"/>
        <v>0</v>
      </c>
      <c r="T551" t="str">
        <f t="shared" si="80"/>
        <v>Mar-26</v>
      </c>
    </row>
    <row r="552" spans="1:20">
      <c r="A552" t="s">
        <v>974</v>
      </c>
      <c r="B552" t="s">
        <v>35</v>
      </c>
      <c r="C552" t="s">
        <v>16</v>
      </c>
      <c r="D552">
        <v>802</v>
      </c>
      <c r="E552" s="4">
        <v>46149</v>
      </c>
      <c r="F552" s="4">
        <v>46161</v>
      </c>
      <c r="G552" s="4">
        <v>46159</v>
      </c>
      <c r="H552">
        <v>787</v>
      </c>
      <c r="I552" t="s">
        <v>904</v>
      </c>
      <c r="J552">
        <v>24</v>
      </c>
      <c r="K552" t="s">
        <v>1563</v>
      </c>
      <c r="L552" t="str">
        <f t="shared" si="72"/>
        <v>Y</v>
      </c>
      <c r="M552" t="str">
        <f t="shared" si="73"/>
        <v>Y</v>
      </c>
      <c r="N552" t="str">
        <f t="shared" si="74"/>
        <v>Y</v>
      </c>
      <c r="O552">
        <f t="shared" si="75"/>
        <v>10</v>
      </c>
      <c r="P552" s="6">
        <f t="shared" si="76"/>
        <v>0.98129675810473815</v>
      </c>
      <c r="Q552" s="6">
        <f t="shared" si="77"/>
        <v>3.0495552731893267E-2</v>
      </c>
      <c r="R552">
        <f t="shared" si="78"/>
        <v>1</v>
      </c>
      <c r="S552">
        <f t="shared" si="79"/>
        <v>0</v>
      </c>
      <c r="T552" t="str">
        <f t="shared" si="80"/>
        <v>May-26</v>
      </c>
    </row>
    <row r="553" spans="1:20">
      <c r="A553" t="s">
        <v>975</v>
      </c>
      <c r="B553" t="s">
        <v>32</v>
      </c>
      <c r="C553" t="s">
        <v>16</v>
      </c>
      <c r="D553">
        <v>751</v>
      </c>
      <c r="E553" s="4">
        <v>46153</v>
      </c>
      <c r="F553" s="4">
        <v>46159</v>
      </c>
      <c r="G553" s="4">
        <v>46159</v>
      </c>
      <c r="H553">
        <v>713</v>
      </c>
      <c r="I553" t="s">
        <v>366</v>
      </c>
      <c r="J553">
        <v>21</v>
      </c>
      <c r="K553" t="s">
        <v>1563</v>
      </c>
      <c r="L553" t="str">
        <f t="shared" si="72"/>
        <v>Y</v>
      </c>
      <c r="M553" t="str">
        <f t="shared" si="73"/>
        <v>N</v>
      </c>
      <c r="N553" t="str">
        <f t="shared" si="74"/>
        <v>N</v>
      </c>
      <c r="O553">
        <f t="shared" si="75"/>
        <v>6</v>
      </c>
      <c r="P553" s="6">
        <f t="shared" si="76"/>
        <v>0.94940079893475371</v>
      </c>
      <c r="Q553" s="6">
        <f t="shared" si="77"/>
        <v>2.9453015427769985E-2</v>
      </c>
      <c r="R553">
        <f t="shared" si="78"/>
        <v>0</v>
      </c>
      <c r="S553">
        <f t="shared" si="79"/>
        <v>0</v>
      </c>
      <c r="T553" t="str">
        <f t="shared" si="80"/>
        <v>May-26</v>
      </c>
    </row>
    <row r="554" spans="1:20">
      <c r="A554" t="s">
        <v>976</v>
      </c>
      <c r="B554" t="s">
        <v>49</v>
      </c>
      <c r="C554" t="s">
        <v>12</v>
      </c>
      <c r="D554">
        <v>646</v>
      </c>
      <c r="E554" s="4">
        <v>46116</v>
      </c>
      <c r="F554" s="4">
        <v>46128</v>
      </c>
      <c r="G554" s="4">
        <v>46125</v>
      </c>
      <c r="H554">
        <v>651</v>
      </c>
      <c r="I554" t="s">
        <v>113</v>
      </c>
      <c r="J554">
        <v>7</v>
      </c>
      <c r="K554" t="s">
        <v>1563</v>
      </c>
      <c r="L554" t="str">
        <f t="shared" si="72"/>
        <v>Y</v>
      </c>
      <c r="M554" t="str">
        <f t="shared" si="73"/>
        <v>Y</v>
      </c>
      <c r="N554" t="str">
        <f t="shared" si="74"/>
        <v>Y</v>
      </c>
      <c r="O554">
        <f t="shared" si="75"/>
        <v>9</v>
      </c>
      <c r="P554" s="6">
        <f t="shared" si="76"/>
        <v>1.0077399380804954</v>
      </c>
      <c r="Q554" s="6">
        <f t="shared" si="77"/>
        <v>1.0752688172043012E-2</v>
      </c>
      <c r="R554">
        <f t="shared" si="78"/>
        <v>1</v>
      </c>
      <c r="S554">
        <f t="shared" si="79"/>
        <v>0</v>
      </c>
      <c r="T554" t="str">
        <f t="shared" si="80"/>
        <v>Apr-26</v>
      </c>
    </row>
    <row r="555" spans="1:20">
      <c r="A555" t="s">
        <v>977</v>
      </c>
      <c r="B555" t="s">
        <v>67</v>
      </c>
      <c r="C555" t="s">
        <v>16</v>
      </c>
      <c r="D555">
        <v>427</v>
      </c>
      <c r="E555" s="4">
        <v>46170</v>
      </c>
      <c r="F555" s="4">
        <v>46181</v>
      </c>
      <c r="G555" s="4">
        <v>46179</v>
      </c>
      <c r="H555">
        <v>434</v>
      </c>
      <c r="I555" t="s">
        <v>978</v>
      </c>
      <c r="J555">
        <v>13</v>
      </c>
      <c r="K555" t="s">
        <v>1563</v>
      </c>
      <c r="L555" t="str">
        <f t="shared" si="72"/>
        <v>Y</v>
      </c>
      <c r="M555" t="str">
        <f t="shared" si="73"/>
        <v>Y</v>
      </c>
      <c r="N555" t="str">
        <f t="shared" si="74"/>
        <v>Y</v>
      </c>
      <c r="O555">
        <f t="shared" si="75"/>
        <v>9</v>
      </c>
      <c r="P555" s="6">
        <f t="shared" si="76"/>
        <v>1.0163934426229508</v>
      </c>
      <c r="Q555" s="6">
        <f t="shared" si="77"/>
        <v>2.9953917050691243E-2</v>
      </c>
      <c r="R555">
        <f t="shared" si="78"/>
        <v>1</v>
      </c>
      <c r="S555">
        <f t="shared" si="79"/>
        <v>0</v>
      </c>
      <c r="T555" t="str">
        <f t="shared" si="80"/>
        <v>Jun-26</v>
      </c>
    </row>
    <row r="556" spans="1:20">
      <c r="A556" t="s">
        <v>979</v>
      </c>
      <c r="B556" t="s">
        <v>11</v>
      </c>
      <c r="C556" t="s">
        <v>23</v>
      </c>
      <c r="D556">
        <v>940</v>
      </c>
      <c r="E556" s="4">
        <v>46054</v>
      </c>
      <c r="F556" s="4">
        <v>46064</v>
      </c>
      <c r="G556" s="4">
        <v>46061</v>
      </c>
      <c r="H556">
        <v>786</v>
      </c>
      <c r="I556" t="s">
        <v>980</v>
      </c>
      <c r="J556">
        <v>25</v>
      </c>
      <c r="K556" t="s">
        <v>1563</v>
      </c>
      <c r="L556" t="str">
        <f t="shared" si="72"/>
        <v>Y</v>
      </c>
      <c r="M556" t="str">
        <f t="shared" si="73"/>
        <v>N</v>
      </c>
      <c r="N556" t="str">
        <f t="shared" si="74"/>
        <v>N</v>
      </c>
      <c r="O556">
        <f t="shared" si="75"/>
        <v>7</v>
      </c>
      <c r="P556" s="6">
        <f t="shared" si="76"/>
        <v>0.83617021276595749</v>
      </c>
      <c r="Q556" s="6">
        <f t="shared" si="77"/>
        <v>3.1806615776081425E-2</v>
      </c>
      <c r="R556">
        <f t="shared" si="78"/>
        <v>0</v>
      </c>
      <c r="S556">
        <f t="shared" si="79"/>
        <v>0</v>
      </c>
      <c r="T556" t="str">
        <f t="shared" si="80"/>
        <v>Feb-26</v>
      </c>
    </row>
    <row r="557" spans="1:20">
      <c r="A557" t="s">
        <v>981</v>
      </c>
      <c r="B557" t="s">
        <v>35</v>
      </c>
      <c r="C557" t="s">
        <v>16</v>
      </c>
      <c r="D557">
        <v>85</v>
      </c>
      <c r="E557" s="4">
        <v>46049</v>
      </c>
      <c r="F557" s="4">
        <v>46061</v>
      </c>
      <c r="G557" s="4">
        <v>46065</v>
      </c>
      <c r="H557">
        <v>70</v>
      </c>
      <c r="I557" t="s">
        <v>944</v>
      </c>
      <c r="J557">
        <v>0</v>
      </c>
      <c r="K557" t="s">
        <v>1563</v>
      </c>
      <c r="L557" t="str">
        <f t="shared" si="72"/>
        <v>N</v>
      </c>
      <c r="M557" t="str">
        <f t="shared" si="73"/>
        <v>N</v>
      </c>
      <c r="N557" t="str">
        <f t="shared" si="74"/>
        <v>N</v>
      </c>
      <c r="O557">
        <f t="shared" si="75"/>
        <v>16</v>
      </c>
      <c r="P557" s="6">
        <f t="shared" si="76"/>
        <v>0.82352941176470584</v>
      </c>
      <c r="Q557" s="6">
        <f t="shared" si="77"/>
        <v>0</v>
      </c>
      <c r="R557">
        <f t="shared" si="78"/>
        <v>0</v>
      </c>
      <c r="S557">
        <f t="shared" si="79"/>
        <v>4</v>
      </c>
      <c r="T557" t="str">
        <f t="shared" si="80"/>
        <v>Feb-26</v>
      </c>
    </row>
    <row r="558" spans="1:20">
      <c r="A558" t="s">
        <v>982</v>
      </c>
      <c r="B558" t="s">
        <v>43</v>
      </c>
      <c r="C558" t="s">
        <v>12</v>
      </c>
      <c r="D558">
        <v>171</v>
      </c>
      <c r="E558" s="4">
        <v>46173</v>
      </c>
      <c r="F558" s="4">
        <v>46185</v>
      </c>
      <c r="G558" s="4">
        <v>46184</v>
      </c>
      <c r="H558">
        <v>170</v>
      </c>
      <c r="I558" t="s">
        <v>983</v>
      </c>
      <c r="J558">
        <v>3</v>
      </c>
      <c r="K558" t="s">
        <v>1563</v>
      </c>
      <c r="L558" t="str">
        <f t="shared" si="72"/>
        <v>Y</v>
      </c>
      <c r="M558" t="str">
        <f t="shared" si="73"/>
        <v>Y</v>
      </c>
      <c r="N558" t="str">
        <f t="shared" si="74"/>
        <v>Y</v>
      </c>
      <c r="O558">
        <f t="shared" si="75"/>
        <v>11</v>
      </c>
      <c r="P558" s="6">
        <f t="shared" si="76"/>
        <v>0.99415204678362568</v>
      </c>
      <c r="Q558" s="6">
        <f t="shared" si="77"/>
        <v>1.7647058823529412E-2</v>
      </c>
      <c r="R558">
        <f t="shared" si="78"/>
        <v>1</v>
      </c>
      <c r="S558">
        <f t="shared" si="79"/>
        <v>0</v>
      </c>
      <c r="T558" t="str">
        <f t="shared" si="80"/>
        <v>Jun-26</v>
      </c>
    </row>
    <row r="559" spans="1:20">
      <c r="A559" t="s">
        <v>984</v>
      </c>
      <c r="B559" t="s">
        <v>29</v>
      </c>
      <c r="C559" t="s">
        <v>12</v>
      </c>
      <c r="D559">
        <v>826</v>
      </c>
      <c r="E559" s="4">
        <v>46033</v>
      </c>
      <c r="F559" s="4">
        <v>46042</v>
      </c>
      <c r="G559" s="4"/>
      <c r="I559" t="s">
        <v>985</v>
      </c>
      <c r="K559" t="s">
        <v>1565</v>
      </c>
      <c r="L559" t="str">
        <f t="shared" si="72"/>
        <v>N/A</v>
      </c>
      <c r="M559" t="str">
        <f t="shared" si="73"/>
        <v>N/A</v>
      </c>
      <c r="N559" t="str">
        <f t="shared" si="74"/>
        <v>N/A</v>
      </c>
      <c r="O559" t="str">
        <f t="shared" si="75"/>
        <v>N/A</v>
      </c>
      <c r="P559" s="6" t="str">
        <f t="shared" si="76"/>
        <v>N/A</v>
      </c>
      <c r="Q559" s="6" t="str">
        <f t="shared" si="77"/>
        <v>N/A</v>
      </c>
      <c r="R559" t="str">
        <f t="shared" si="78"/>
        <v/>
      </c>
      <c r="S559" t="str">
        <f t="shared" si="79"/>
        <v>N/A</v>
      </c>
      <c r="T559" t="str">
        <f t="shared" si="80"/>
        <v>N/A</v>
      </c>
    </row>
    <row r="560" spans="1:20">
      <c r="A560" t="s">
        <v>986</v>
      </c>
      <c r="B560" t="s">
        <v>35</v>
      </c>
      <c r="C560" t="s">
        <v>23</v>
      </c>
      <c r="D560">
        <v>921</v>
      </c>
      <c r="E560" s="4">
        <v>46079</v>
      </c>
      <c r="F560" s="4">
        <v>46090</v>
      </c>
      <c r="G560" s="4">
        <v>46097</v>
      </c>
      <c r="H560">
        <v>775</v>
      </c>
      <c r="I560" t="s">
        <v>987</v>
      </c>
      <c r="J560">
        <v>44</v>
      </c>
      <c r="K560" t="s">
        <v>1563</v>
      </c>
      <c r="L560" t="str">
        <f t="shared" si="72"/>
        <v>N</v>
      </c>
      <c r="M560" t="str">
        <f t="shared" si="73"/>
        <v>N</v>
      </c>
      <c r="N560" t="str">
        <f t="shared" si="74"/>
        <v>N</v>
      </c>
      <c r="O560">
        <f t="shared" si="75"/>
        <v>18</v>
      </c>
      <c r="P560" s="6">
        <f t="shared" si="76"/>
        <v>0.84147665580890341</v>
      </c>
      <c r="Q560" s="6">
        <f t="shared" si="77"/>
        <v>5.67741935483871E-2</v>
      </c>
      <c r="R560">
        <f t="shared" si="78"/>
        <v>0</v>
      </c>
      <c r="S560">
        <f t="shared" si="79"/>
        <v>7</v>
      </c>
      <c r="T560" t="str">
        <f t="shared" si="80"/>
        <v>Mar-26</v>
      </c>
    </row>
    <row r="561" spans="1:20">
      <c r="A561" t="s">
        <v>988</v>
      </c>
      <c r="B561" t="s">
        <v>67</v>
      </c>
      <c r="C561" t="s">
        <v>16</v>
      </c>
      <c r="D561">
        <v>296</v>
      </c>
      <c r="E561" s="4">
        <v>46079</v>
      </c>
      <c r="F561" s="4">
        <v>46091</v>
      </c>
      <c r="G561" s="4">
        <v>46100</v>
      </c>
      <c r="H561">
        <v>292</v>
      </c>
      <c r="I561" t="s">
        <v>989</v>
      </c>
      <c r="J561">
        <v>0</v>
      </c>
      <c r="K561" t="s">
        <v>1563</v>
      </c>
      <c r="L561" t="str">
        <f t="shared" si="72"/>
        <v>N</v>
      </c>
      <c r="M561" t="str">
        <f t="shared" si="73"/>
        <v>Y</v>
      </c>
      <c r="N561" t="str">
        <f t="shared" si="74"/>
        <v>N</v>
      </c>
      <c r="O561">
        <f t="shared" si="75"/>
        <v>21</v>
      </c>
      <c r="P561" s="6">
        <f t="shared" si="76"/>
        <v>0.98648648648648651</v>
      </c>
      <c r="Q561" s="6">
        <f t="shared" si="77"/>
        <v>0</v>
      </c>
      <c r="R561">
        <f t="shared" si="78"/>
        <v>0</v>
      </c>
      <c r="S561">
        <f t="shared" si="79"/>
        <v>9</v>
      </c>
      <c r="T561" t="str">
        <f t="shared" si="80"/>
        <v>Mar-26</v>
      </c>
    </row>
    <row r="562" spans="1:20">
      <c r="A562" t="s">
        <v>990</v>
      </c>
      <c r="B562" t="s">
        <v>35</v>
      </c>
      <c r="C562" t="s">
        <v>12</v>
      </c>
      <c r="D562">
        <v>486</v>
      </c>
      <c r="E562" s="4">
        <v>46111</v>
      </c>
      <c r="F562" s="4">
        <v>46123</v>
      </c>
      <c r="G562" s="4">
        <v>46121</v>
      </c>
      <c r="H562">
        <v>390</v>
      </c>
      <c r="I562" t="s">
        <v>589</v>
      </c>
      <c r="J562">
        <v>21</v>
      </c>
      <c r="K562" t="s">
        <v>1563</v>
      </c>
      <c r="L562" t="str">
        <f t="shared" si="72"/>
        <v>Y</v>
      </c>
      <c r="M562" t="str">
        <f t="shared" si="73"/>
        <v>N</v>
      </c>
      <c r="N562" t="str">
        <f t="shared" si="74"/>
        <v>N</v>
      </c>
      <c r="O562">
        <f t="shared" si="75"/>
        <v>10</v>
      </c>
      <c r="P562" s="6">
        <f t="shared" si="76"/>
        <v>0.80246913580246915</v>
      </c>
      <c r="Q562" s="6">
        <f t="shared" si="77"/>
        <v>5.3846153846153849E-2</v>
      </c>
      <c r="R562">
        <f t="shared" si="78"/>
        <v>0</v>
      </c>
      <c r="S562">
        <f t="shared" si="79"/>
        <v>0</v>
      </c>
      <c r="T562" t="str">
        <f t="shared" si="80"/>
        <v>Apr-26</v>
      </c>
    </row>
    <row r="563" spans="1:20">
      <c r="A563" t="s">
        <v>991</v>
      </c>
      <c r="B563" t="s">
        <v>120</v>
      </c>
      <c r="C563" t="s">
        <v>12</v>
      </c>
      <c r="D563">
        <v>766</v>
      </c>
      <c r="E563" s="4">
        <v>46070</v>
      </c>
      <c r="F563" s="4">
        <v>46084</v>
      </c>
      <c r="G563" s="4">
        <v>46083</v>
      </c>
      <c r="H563">
        <v>711</v>
      </c>
      <c r="I563" t="s">
        <v>992</v>
      </c>
      <c r="J563">
        <v>13</v>
      </c>
      <c r="K563" t="s">
        <v>1563</v>
      </c>
      <c r="L563" t="str">
        <f t="shared" si="72"/>
        <v>Y</v>
      </c>
      <c r="M563" t="str">
        <f t="shared" si="73"/>
        <v>N</v>
      </c>
      <c r="N563" t="str">
        <f t="shared" si="74"/>
        <v>N</v>
      </c>
      <c r="O563">
        <f t="shared" si="75"/>
        <v>13</v>
      </c>
      <c r="P563" s="6">
        <f t="shared" si="76"/>
        <v>0.92819843342036557</v>
      </c>
      <c r="Q563" s="6">
        <f t="shared" si="77"/>
        <v>1.8284106891701828E-2</v>
      </c>
      <c r="R563">
        <f t="shared" si="78"/>
        <v>0</v>
      </c>
      <c r="S563">
        <f t="shared" si="79"/>
        <v>0</v>
      </c>
      <c r="T563" t="str">
        <f t="shared" si="80"/>
        <v>Mar-26</v>
      </c>
    </row>
    <row r="564" spans="1:20">
      <c r="A564" t="s">
        <v>993</v>
      </c>
      <c r="B564" t="s">
        <v>67</v>
      </c>
      <c r="C564" t="s">
        <v>12</v>
      </c>
      <c r="D564">
        <v>740</v>
      </c>
      <c r="E564" s="4">
        <v>46117</v>
      </c>
      <c r="F564" s="4">
        <v>46123</v>
      </c>
      <c r="G564" s="4">
        <v>46121</v>
      </c>
      <c r="H564">
        <v>746</v>
      </c>
      <c r="I564" t="s">
        <v>994</v>
      </c>
      <c r="J564">
        <v>17</v>
      </c>
      <c r="K564" t="s">
        <v>1563</v>
      </c>
      <c r="L564" t="str">
        <f t="shared" si="72"/>
        <v>Y</v>
      </c>
      <c r="M564" t="str">
        <f t="shared" si="73"/>
        <v>Y</v>
      </c>
      <c r="N564" t="str">
        <f t="shared" si="74"/>
        <v>Y</v>
      </c>
      <c r="O564">
        <f t="shared" si="75"/>
        <v>4</v>
      </c>
      <c r="P564" s="6">
        <f t="shared" si="76"/>
        <v>1.008108108108108</v>
      </c>
      <c r="Q564" s="6">
        <f t="shared" si="77"/>
        <v>2.2788203753351208E-2</v>
      </c>
      <c r="R564">
        <f t="shared" si="78"/>
        <v>1</v>
      </c>
      <c r="S564">
        <f t="shared" si="79"/>
        <v>0</v>
      </c>
      <c r="T564" t="str">
        <f t="shared" si="80"/>
        <v>Apr-26</v>
      </c>
    </row>
    <row r="565" spans="1:20">
      <c r="A565" t="s">
        <v>995</v>
      </c>
      <c r="B565" t="s">
        <v>70</v>
      </c>
      <c r="C565" t="s">
        <v>16</v>
      </c>
      <c r="D565">
        <v>250</v>
      </c>
      <c r="E565" s="4">
        <v>46058</v>
      </c>
      <c r="F565" s="4">
        <v>46072</v>
      </c>
      <c r="G565" s="4">
        <v>46081</v>
      </c>
      <c r="H565">
        <v>250</v>
      </c>
      <c r="I565" t="s">
        <v>923</v>
      </c>
      <c r="J565">
        <v>6</v>
      </c>
      <c r="K565" t="s">
        <v>1563</v>
      </c>
      <c r="L565" t="str">
        <f t="shared" si="72"/>
        <v>N</v>
      </c>
      <c r="M565" t="str">
        <f t="shared" si="73"/>
        <v>Y</v>
      </c>
      <c r="N565" t="str">
        <f t="shared" si="74"/>
        <v>N</v>
      </c>
      <c r="O565">
        <f t="shared" si="75"/>
        <v>23</v>
      </c>
      <c r="P565" s="6">
        <f t="shared" si="76"/>
        <v>1</v>
      </c>
      <c r="Q565" s="6">
        <f t="shared" si="77"/>
        <v>2.4E-2</v>
      </c>
      <c r="R565">
        <f t="shared" si="78"/>
        <v>0</v>
      </c>
      <c r="S565">
        <f t="shared" si="79"/>
        <v>9</v>
      </c>
      <c r="T565" t="str">
        <f t="shared" si="80"/>
        <v>Feb-26</v>
      </c>
    </row>
    <row r="566" spans="1:20">
      <c r="A566" t="s">
        <v>996</v>
      </c>
      <c r="B566" t="s">
        <v>49</v>
      </c>
      <c r="C566" t="s">
        <v>12</v>
      </c>
      <c r="D566">
        <v>846</v>
      </c>
      <c r="E566" s="4">
        <v>46056</v>
      </c>
      <c r="F566" s="4">
        <v>46067</v>
      </c>
      <c r="G566" s="4">
        <v>46066</v>
      </c>
      <c r="H566">
        <v>830</v>
      </c>
      <c r="I566" t="s">
        <v>968</v>
      </c>
      <c r="J566">
        <v>8</v>
      </c>
      <c r="K566" t="s">
        <v>1563</v>
      </c>
      <c r="L566" t="str">
        <f t="shared" si="72"/>
        <v>Y</v>
      </c>
      <c r="M566" t="str">
        <f t="shared" si="73"/>
        <v>Y</v>
      </c>
      <c r="N566" t="str">
        <f t="shared" si="74"/>
        <v>Y</v>
      </c>
      <c r="O566">
        <f t="shared" si="75"/>
        <v>10</v>
      </c>
      <c r="P566" s="6">
        <f t="shared" si="76"/>
        <v>0.98108747044917255</v>
      </c>
      <c r="Q566" s="6">
        <f t="shared" si="77"/>
        <v>9.6385542168674707E-3</v>
      </c>
      <c r="R566">
        <f t="shared" si="78"/>
        <v>1</v>
      </c>
      <c r="S566">
        <f t="shared" si="79"/>
        <v>0</v>
      </c>
      <c r="T566" t="str">
        <f t="shared" si="80"/>
        <v>Feb-26</v>
      </c>
    </row>
    <row r="567" spans="1:20">
      <c r="A567" t="s">
        <v>997</v>
      </c>
      <c r="B567" t="s">
        <v>49</v>
      </c>
      <c r="C567" t="s">
        <v>12</v>
      </c>
      <c r="D567">
        <v>988</v>
      </c>
      <c r="E567" s="4">
        <v>46100</v>
      </c>
      <c r="F567" s="4">
        <v>46111</v>
      </c>
      <c r="G567" s="4">
        <v>46119</v>
      </c>
      <c r="H567">
        <v>976</v>
      </c>
      <c r="I567" t="s">
        <v>68</v>
      </c>
      <c r="J567">
        <v>14</v>
      </c>
      <c r="K567" t="s">
        <v>1563</v>
      </c>
      <c r="L567" t="str">
        <f t="shared" si="72"/>
        <v>N</v>
      </c>
      <c r="M567" t="str">
        <f t="shared" si="73"/>
        <v>Y</v>
      </c>
      <c r="N567" t="str">
        <f t="shared" si="74"/>
        <v>N</v>
      </c>
      <c r="O567">
        <f t="shared" si="75"/>
        <v>19</v>
      </c>
      <c r="P567" s="6">
        <f t="shared" si="76"/>
        <v>0.98785425101214575</v>
      </c>
      <c r="Q567" s="6">
        <f t="shared" si="77"/>
        <v>1.4344262295081968E-2</v>
      </c>
      <c r="R567">
        <f t="shared" si="78"/>
        <v>0</v>
      </c>
      <c r="S567">
        <f t="shared" si="79"/>
        <v>8</v>
      </c>
      <c r="T567" t="str">
        <f t="shared" si="80"/>
        <v>Apr-26</v>
      </c>
    </row>
    <row r="568" spans="1:20">
      <c r="A568" t="s">
        <v>998</v>
      </c>
      <c r="B568" t="s">
        <v>26</v>
      </c>
      <c r="C568" t="s">
        <v>12</v>
      </c>
      <c r="D568">
        <v>969</v>
      </c>
      <c r="E568" s="4">
        <v>46125</v>
      </c>
      <c r="F568" s="4">
        <v>46133</v>
      </c>
      <c r="G568" s="4">
        <v>46132</v>
      </c>
      <c r="H568">
        <v>900</v>
      </c>
      <c r="I568" t="s">
        <v>461</v>
      </c>
      <c r="J568">
        <v>21</v>
      </c>
      <c r="K568" t="s">
        <v>1563</v>
      </c>
      <c r="L568" t="str">
        <f t="shared" si="72"/>
        <v>Y</v>
      </c>
      <c r="M568" t="str">
        <f t="shared" si="73"/>
        <v>N</v>
      </c>
      <c r="N568" t="str">
        <f t="shared" si="74"/>
        <v>N</v>
      </c>
      <c r="O568">
        <f t="shared" si="75"/>
        <v>7</v>
      </c>
      <c r="P568" s="6">
        <f t="shared" si="76"/>
        <v>0.92879256965944268</v>
      </c>
      <c r="Q568" s="6">
        <f t="shared" si="77"/>
        <v>2.3333333333333334E-2</v>
      </c>
      <c r="R568">
        <f t="shared" si="78"/>
        <v>0</v>
      </c>
      <c r="S568">
        <f t="shared" si="79"/>
        <v>0</v>
      </c>
      <c r="T568" t="str">
        <f t="shared" si="80"/>
        <v>Apr-26</v>
      </c>
    </row>
    <row r="569" spans="1:20">
      <c r="A569" t="s">
        <v>999</v>
      </c>
      <c r="B569" t="s">
        <v>49</v>
      </c>
      <c r="C569" t="s">
        <v>12</v>
      </c>
      <c r="D569">
        <v>118</v>
      </c>
      <c r="E569" s="4">
        <v>46055</v>
      </c>
      <c r="F569" s="4">
        <v>46068</v>
      </c>
      <c r="G569" s="4">
        <v>46067</v>
      </c>
      <c r="H569">
        <v>117</v>
      </c>
      <c r="I569" t="s">
        <v>187</v>
      </c>
      <c r="J569">
        <v>1</v>
      </c>
      <c r="K569" t="s">
        <v>1563</v>
      </c>
      <c r="L569" t="str">
        <f t="shared" si="72"/>
        <v>Y</v>
      </c>
      <c r="M569" t="str">
        <f t="shared" si="73"/>
        <v>Y</v>
      </c>
      <c r="N569" t="str">
        <f t="shared" si="74"/>
        <v>Y</v>
      </c>
      <c r="O569">
        <f t="shared" si="75"/>
        <v>12</v>
      </c>
      <c r="P569" s="6">
        <f t="shared" si="76"/>
        <v>0.99152542372881358</v>
      </c>
      <c r="Q569" s="6">
        <f t="shared" si="77"/>
        <v>8.5470085470085479E-3</v>
      </c>
      <c r="R569">
        <f t="shared" si="78"/>
        <v>1</v>
      </c>
      <c r="S569">
        <f t="shared" si="79"/>
        <v>0</v>
      </c>
      <c r="T569" t="str">
        <f t="shared" si="80"/>
        <v>Feb-26</v>
      </c>
    </row>
    <row r="570" spans="1:20">
      <c r="A570" t="s">
        <v>1000</v>
      </c>
      <c r="B570" t="s">
        <v>11</v>
      </c>
      <c r="C570" t="s">
        <v>12</v>
      </c>
      <c r="D570">
        <v>967</v>
      </c>
      <c r="E570" s="4">
        <v>46061</v>
      </c>
      <c r="F570" s="4">
        <v>46068</v>
      </c>
      <c r="G570" s="4">
        <v>46067</v>
      </c>
      <c r="H570">
        <v>954</v>
      </c>
      <c r="I570" t="s">
        <v>891</v>
      </c>
      <c r="J570">
        <v>22</v>
      </c>
      <c r="K570" t="s">
        <v>1563</v>
      </c>
      <c r="L570" t="str">
        <f t="shared" si="72"/>
        <v>Y</v>
      </c>
      <c r="M570" t="str">
        <f t="shared" si="73"/>
        <v>Y</v>
      </c>
      <c r="N570" t="str">
        <f t="shared" si="74"/>
        <v>Y</v>
      </c>
      <c r="O570">
        <f t="shared" si="75"/>
        <v>6</v>
      </c>
      <c r="P570" s="6">
        <f t="shared" si="76"/>
        <v>0.98655635987590484</v>
      </c>
      <c r="Q570" s="6">
        <f t="shared" si="77"/>
        <v>2.3060796645702306E-2</v>
      </c>
      <c r="R570">
        <f t="shared" si="78"/>
        <v>1</v>
      </c>
      <c r="S570">
        <f t="shared" si="79"/>
        <v>0</v>
      </c>
      <c r="T570" t="str">
        <f t="shared" si="80"/>
        <v>Feb-26</v>
      </c>
    </row>
    <row r="571" spans="1:20">
      <c r="A571" t="s">
        <v>1001</v>
      </c>
      <c r="B571" t="s">
        <v>100</v>
      </c>
      <c r="C571" t="s">
        <v>12</v>
      </c>
      <c r="D571">
        <v>296</v>
      </c>
      <c r="E571" s="4">
        <v>46094</v>
      </c>
      <c r="F571" s="4">
        <v>46106</v>
      </c>
      <c r="G571" s="4">
        <v>46103</v>
      </c>
      <c r="H571">
        <v>285</v>
      </c>
      <c r="I571" t="s">
        <v>503</v>
      </c>
      <c r="J571">
        <v>8</v>
      </c>
      <c r="K571" t="s">
        <v>1563</v>
      </c>
      <c r="L571" t="str">
        <f t="shared" si="72"/>
        <v>Y</v>
      </c>
      <c r="M571" t="str">
        <f t="shared" si="73"/>
        <v>N</v>
      </c>
      <c r="N571" t="str">
        <f t="shared" si="74"/>
        <v>N</v>
      </c>
      <c r="O571">
        <f t="shared" si="75"/>
        <v>9</v>
      </c>
      <c r="P571" s="6">
        <f t="shared" si="76"/>
        <v>0.96283783783783783</v>
      </c>
      <c r="Q571" s="6">
        <f t="shared" si="77"/>
        <v>2.8070175438596492E-2</v>
      </c>
      <c r="R571">
        <f t="shared" si="78"/>
        <v>0</v>
      </c>
      <c r="S571">
        <f t="shared" si="79"/>
        <v>0</v>
      </c>
      <c r="T571" t="str">
        <f t="shared" si="80"/>
        <v>Mar-26</v>
      </c>
    </row>
    <row r="572" spans="1:20">
      <c r="A572" t="s">
        <v>1002</v>
      </c>
      <c r="B572" t="s">
        <v>26</v>
      </c>
      <c r="C572" t="s">
        <v>12</v>
      </c>
      <c r="D572">
        <v>469</v>
      </c>
      <c r="E572" s="4">
        <v>46047</v>
      </c>
      <c r="F572" s="4">
        <v>46056</v>
      </c>
      <c r="G572" s="4">
        <v>46054</v>
      </c>
      <c r="H572">
        <v>470</v>
      </c>
      <c r="I572" t="s">
        <v>1003</v>
      </c>
      <c r="J572">
        <v>3</v>
      </c>
      <c r="K572" t="s">
        <v>1563</v>
      </c>
      <c r="L572" t="str">
        <f t="shared" si="72"/>
        <v>Y</v>
      </c>
      <c r="M572" t="str">
        <f t="shared" si="73"/>
        <v>Y</v>
      </c>
      <c r="N572" t="str">
        <f t="shared" si="74"/>
        <v>Y</v>
      </c>
      <c r="O572">
        <f t="shared" si="75"/>
        <v>7</v>
      </c>
      <c r="P572" s="6">
        <f t="shared" si="76"/>
        <v>1.0021321961620469</v>
      </c>
      <c r="Q572" s="6">
        <f t="shared" si="77"/>
        <v>6.382978723404255E-3</v>
      </c>
      <c r="R572">
        <f t="shared" si="78"/>
        <v>1</v>
      </c>
      <c r="S572">
        <f t="shared" si="79"/>
        <v>0</v>
      </c>
      <c r="T572" t="str">
        <f t="shared" si="80"/>
        <v>Feb-26</v>
      </c>
    </row>
    <row r="573" spans="1:20">
      <c r="A573" t="s">
        <v>1004</v>
      </c>
      <c r="B573" t="s">
        <v>49</v>
      </c>
      <c r="C573" t="s">
        <v>23</v>
      </c>
      <c r="D573">
        <v>270</v>
      </c>
      <c r="E573" s="4">
        <v>46054</v>
      </c>
      <c r="F573" s="4">
        <v>46063</v>
      </c>
      <c r="G573" s="4"/>
      <c r="I573" t="s">
        <v>1005</v>
      </c>
      <c r="K573" t="s">
        <v>1565</v>
      </c>
      <c r="L573" t="str">
        <f t="shared" si="72"/>
        <v>N/A</v>
      </c>
      <c r="M573" t="str">
        <f t="shared" si="73"/>
        <v>N/A</v>
      </c>
      <c r="N573" t="str">
        <f t="shared" si="74"/>
        <v>N/A</v>
      </c>
      <c r="O573" t="str">
        <f t="shared" si="75"/>
        <v>N/A</v>
      </c>
      <c r="P573" s="6" t="str">
        <f t="shared" si="76"/>
        <v>N/A</v>
      </c>
      <c r="Q573" s="6" t="str">
        <f t="shared" si="77"/>
        <v>N/A</v>
      </c>
      <c r="R573" t="str">
        <f t="shared" si="78"/>
        <v/>
      </c>
      <c r="S573" t="str">
        <f t="shared" si="79"/>
        <v>N/A</v>
      </c>
      <c r="T573" t="str">
        <f t="shared" si="80"/>
        <v>N/A</v>
      </c>
    </row>
    <row r="574" spans="1:20">
      <c r="A574" t="s">
        <v>1006</v>
      </c>
      <c r="B574" t="s">
        <v>49</v>
      </c>
      <c r="C574" t="s">
        <v>12</v>
      </c>
      <c r="D574">
        <v>883</v>
      </c>
      <c r="E574" s="4">
        <v>46138</v>
      </c>
      <c r="F574" s="4">
        <v>46150</v>
      </c>
      <c r="G574" s="4">
        <v>46156</v>
      </c>
      <c r="H574">
        <v>894</v>
      </c>
      <c r="I574" t="s">
        <v>310</v>
      </c>
      <c r="J574">
        <v>2</v>
      </c>
      <c r="K574" t="s">
        <v>1563</v>
      </c>
      <c r="L574" t="str">
        <f t="shared" si="72"/>
        <v>N</v>
      </c>
      <c r="M574" t="str">
        <f t="shared" si="73"/>
        <v>Y</v>
      </c>
      <c r="N574" t="str">
        <f t="shared" si="74"/>
        <v>N</v>
      </c>
      <c r="O574">
        <f t="shared" si="75"/>
        <v>18</v>
      </c>
      <c r="P574" s="6">
        <f t="shared" si="76"/>
        <v>1.0124575311438277</v>
      </c>
      <c r="Q574" s="6">
        <f t="shared" si="77"/>
        <v>2.2371364653243847E-3</v>
      </c>
      <c r="R574">
        <f t="shared" si="78"/>
        <v>0</v>
      </c>
      <c r="S574">
        <f t="shared" si="79"/>
        <v>6</v>
      </c>
      <c r="T574" t="str">
        <f t="shared" si="80"/>
        <v>May-26</v>
      </c>
    </row>
    <row r="575" spans="1:20">
      <c r="A575" t="s">
        <v>1007</v>
      </c>
      <c r="B575" t="s">
        <v>100</v>
      </c>
      <c r="C575" t="s">
        <v>23</v>
      </c>
      <c r="D575">
        <v>690</v>
      </c>
      <c r="E575" s="4">
        <v>46063</v>
      </c>
      <c r="F575" s="4">
        <v>46077</v>
      </c>
      <c r="G575" s="4">
        <v>46080</v>
      </c>
      <c r="H575">
        <v>695</v>
      </c>
      <c r="I575" t="s">
        <v>833</v>
      </c>
      <c r="J575">
        <v>17</v>
      </c>
      <c r="K575" t="s">
        <v>1563</v>
      </c>
      <c r="L575" t="str">
        <f t="shared" si="72"/>
        <v>N</v>
      </c>
      <c r="M575" t="str">
        <f t="shared" si="73"/>
        <v>Y</v>
      </c>
      <c r="N575" t="str">
        <f t="shared" si="74"/>
        <v>N</v>
      </c>
      <c r="O575">
        <f t="shared" si="75"/>
        <v>17</v>
      </c>
      <c r="P575" s="6">
        <f t="shared" si="76"/>
        <v>1.0072463768115942</v>
      </c>
      <c r="Q575" s="6">
        <f t="shared" si="77"/>
        <v>2.4460431654676259E-2</v>
      </c>
      <c r="R575">
        <f t="shared" si="78"/>
        <v>0</v>
      </c>
      <c r="S575">
        <f t="shared" si="79"/>
        <v>3</v>
      </c>
      <c r="T575" t="str">
        <f t="shared" si="80"/>
        <v>Feb-26</v>
      </c>
    </row>
    <row r="576" spans="1:20">
      <c r="A576" t="s">
        <v>1008</v>
      </c>
      <c r="B576" t="s">
        <v>29</v>
      </c>
      <c r="C576" t="s">
        <v>12</v>
      </c>
      <c r="D576">
        <v>991</v>
      </c>
      <c r="E576" s="4">
        <v>46118</v>
      </c>
      <c r="F576" s="4">
        <v>46128</v>
      </c>
      <c r="G576" s="4">
        <v>46127</v>
      </c>
      <c r="H576">
        <v>993</v>
      </c>
      <c r="I576" t="s">
        <v>1009</v>
      </c>
      <c r="J576">
        <v>3</v>
      </c>
      <c r="K576" t="s">
        <v>1563</v>
      </c>
      <c r="L576" t="str">
        <f t="shared" si="72"/>
        <v>Y</v>
      </c>
      <c r="M576" t="str">
        <f t="shared" si="73"/>
        <v>Y</v>
      </c>
      <c r="N576" t="str">
        <f t="shared" si="74"/>
        <v>Y</v>
      </c>
      <c r="O576">
        <f t="shared" si="75"/>
        <v>9</v>
      </c>
      <c r="P576" s="6">
        <f t="shared" si="76"/>
        <v>1.0020181634712411</v>
      </c>
      <c r="Q576" s="6">
        <f t="shared" si="77"/>
        <v>3.0211480362537764E-3</v>
      </c>
      <c r="R576">
        <f t="shared" si="78"/>
        <v>1</v>
      </c>
      <c r="S576">
        <f t="shared" si="79"/>
        <v>0</v>
      </c>
      <c r="T576" t="str">
        <f t="shared" si="80"/>
        <v>Apr-26</v>
      </c>
    </row>
    <row r="577" spans="1:20">
      <c r="A577" t="s">
        <v>1010</v>
      </c>
      <c r="B577" t="s">
        <v>43</v>
      </c>
      <c r="C577" t="s">
        <v>12</v>
      </c>
      <c r="D577">
        <v>197</v>
      </c>
      <c r="E577" s="4">
        <v>46099</v>
      </c>
      <c r="F577" s="4">
        <v>46112</v>
      </c>
      <c r="G577" s="4">
        <v>46120</v>
      </c>
      <c r="H577">
        <v>199</v>
      </c>
      <c r="I577" t="s">
        <v>189</v>
      </c>
      <c r="J577">
        <v>10</v>
      </c>
      <c r="K577" t="s">
        <v>1563</v>
      </c>
      <c r="L577" t="str">
        <f t="shared" si="72"/>
        <v>N</v>
      </c>
      <c r="M577" t="str">
        <f t="shared" si="73"/>
        <v>Y</v>
      </c>
      <c r="N577" t="str">
        <f t="shared" si="74"/>
        <v>N</v>
      </c>
      <c r="O577">
        <f t="shared" si="75"/>
        <v>21</v>
      </c>
      <c r="P577" s="6">
        <f t="shared" si="76"/>
        <v>1.0101522842639594</v>
      </c>
      <c r="Q577" s="6">
        <f t="shared" si="77"/>
        <v>5.0251256281407038E-2</v>
      </c>
      <c r="R577">
        <f t="shared" si="78"/>
        <v>0</v>
      </c>
      <c r="S577">
        <f t="shared" si="79"/>
        <v>8</v>
      </c>
      <c r="T577" t="str">
        <f t="shared" si="80"/>
        <v>Apr-26</v>
      </c>
    </row>
    <row r="578" spans="1:20">
      <c r="A578" t="s">
        <v>1011</v>
      </c>
      <c r="B578" t="s">
        <v>35</v>
      </c>
      <c r="C578" t="s">
        <v>23</v>
      </c>
      <c r="D578">
        <v>557</v>
      </c>
      <c r="E578" s="4">
        <v>46143</v>
      </c>
      <c r="F578" s="4">
        <v>46152</v>
      </c>
      <c r="G578" s="4">
        <v>46152</v>
      </c>
      <c r="H578">
        <v>549</v>
      </c>
      <c r="I578" t="s">
        <v>1012</v>
      </c>
      <c r="J578">
        <v>25</v>
      </c>
      <c r="K578" t="s">
        <v>1563</v>
      </c>
      <c r="L578" t="str">
        <f t="shared" ref="L578:L641" si="81">IF(G578="","N/A",IF(G578&lt;=F578,"Y","N"))</f>
        <v>Y</v>
      </c>
      <c r="M578" t="str">
        <f t="shared" ref="M578:M641" si="82">IF(H578="","N/A",IF(H578&gt;=D578*0.98,"Y","N"))</f>
        <v>Y</v>
      </c>
      <c r="N578" t="str">
        <f t="shared" ref="N578:N641" si="83">IF(OR(L578="N/A",M578="N/A"),"N/A",IF(AND(L578="Y",M578="Y"),"Y","N"))</f>
        <v>Y</v>
      </c>
      <c r="O578">
        <f t="shared" ref="O578:O641" si="84">IF(G578="","N/A",G578-E578)</f>
        <v>9</v>
      </c>
      <c r="P578" s="6">
        <f t="shared" ref="P578:P641" si="85">IF(H578="","N/A",H578/D578)</f>
        <v>0.98563734290843807</v>
      </c>
      <c r="Q578" s="6">
        <f t="shared" ref="Q578:Q641" si="86">IF(H578="","N/A",IF(H578=0,0,J578/H578))</f>
        <v>4.553734061930783E-2</v>
      </c>
      <c r="R578">
        <f t="shared" ref="R578:R641" si="87">IF(N578="Y",1,IF(N578="N",0,""))</f>
        <v>1</v>
      </c>
      <c r="S578">
        <f t="shared" ref="S578:S641" si="88">IF(G578="","N/A",MAX(G578-F578,0))</f>
        <v>0</v>
      </c>
      <c r="T578" t="str">
        <f t="shared" ref="T578:T641" si="89">IF(G578="","N/A",TEXT(G578,"mmm-yy"))</f>
        <v>May-26</v>
      </c>
    </row>
    <row r="579" spans="1:20">
      <c r="A579" t="s">
        <v>1013</v>
      </c>
      <c r="B579" t="s">
        <v>19</v>
      </c>
      <c r="C579" t="s">
        <v>12</v>
      </c>
      <c r="D579">
        <v>808</v>
      </c>
      <c r="E579" s="4">
        <v>46121</v>
      </c>
      <c r="F579" s="4">
        <v>46126</v>
      </c>
      <c r="G579" s="4">
        <v>46126</v>
      </c>
      <c r="H579">
        <v>810</v>
      </c>
      <c r="I579" t="s">
        <v>1014</v>
      </c>
      <c r="J579">
        <v>24</v>
      </c>
      <c r="K579" t="s">
        <v>1563</v>
      </c>
      <c r="L579" t="str">
        <f t="shared" si="81"/>
        <v>Y</v>
      </c>
      <c r="M579" t="str">
        <f t="shared" si="82"/>
        <v>Y</v>
      </c>
      <c r="N579" t="str">
        <f t="shared" si="83"/>
        <v>Y</v>
      </c>
      <c r="O579">
        <f t="shared" si="84"/>
        <v>5</v>
      </c>
      <c r="P579" s="6">
        <f t="shared" si="85"/>
        <v>1.0024752475247525</v>
      </c>
      <c r="Q579" s="6">
        <f t="shared" si="86"/>
        <v>2.9629629629629631E-2</v>
      </c>
      <c r="R579">
        <f t="shared" si="87"/>
        <v>1</v>
      </c>
      <c r="S579">
        <f t="shared" si="88"/>
        <v>0</v>
      </c>
      <c r="T579" t="str">
        <f t="shared" si="89"/>
        <v>Apr-26</v>
      </c>
    </row>
    <row r="580" spans="1:20">
      <c r="A580" t="s">
        <v>1015</v>
      </c>
      <c r="B580" t="s">
        <v>29</v>
      </c>
      <c r="C580" t="s">
        <v>12</v>
      </c>
      <c r="D580">
        <v>621</v>
      </c>
      <c r="E580" s="4">
        <v>46085</v>
      </c>
      <c r="F580" s="4">
        <v>46094</v>
      </c>
      <c r="G580" s="4">
        <v>46099</v>
      </c>
      <c r="H580">
        <v>616</v>
      </c>
      <c r="I580" t="s">
        <v>983</v>
      </c>
      <c r="J580">
        <v>8</v>
      </c>
      <c r="K580" t="s">
        <v>1563</v>
      </c>
      <c r="L580" t="str">
        <f t="shared" si="81"/>
        <v>N</v>
      </c>
      <c r="M580" t="str">
        <f t="shared" si="82"/>
        <v>Y</v>
      </c>
      <c r="N580" t="str">
        <f t="shared" si="83"/>
        <v>N</v>
      </c>
      <c r="O580">
        <f t="shared" si="84"/>
        <v>14</v>
      </c>
      <c r="P580" s="6">
        <f t="shared" si="85"/>
        <v>0.99194847020933974</v>
      </c>
      <c r="Q580" s="6">
        <f t="shared" si="86"/>
        <v>1.2987012987012988E-2</v>
      </c>
      <c r="R580">
        <f t="shared" si="87"/>
        <v>0</v>
      </c>
      <c r="S580">
        <f t="shared" si="88"/>
        <v>5</v>
      </c>
      <c r="T580" t="str">
        <f t="shared" si="89"/>
        <v>Mar-26</v>
      </c>
    </row>
    <row r="581" spans="1:20">
      <c r="A581" t="s">
        <v>1016</v>
      </c>
      <c r="B581" t="s">
        <v>52</v>
      </c>
      <c r="C581" t="s">
        <v>12</v>
      </c>
      <c r="D581">
        <v>447</v>
      </c>
      <c r="E581" s="4">
        <v>46136</v>
      </c>
      <c r="F581" s="4">
        <v>46142</v>
      </c>
      <c r="G581" s="4">
        <v>46142</v>
      </c>
      <c r="H581">
        <v>445</v>
      </c>
      <c r="I581" t="s">
        <v>664</v>
      </c>
      <c r="J581">
        <v>9</v>
      </c>
      <c r="K581" t="s">
        <v>1563</v>
      </c>
      <c r="L581" t="str">
        <f t="shared" si="81"/>
        <v>Y</v>
      </c>
      <c r="M581" t="str">
        <f t="shared" si="82"/>
        <v>Y</v>
      </c>
      <c r="N581" t="str">
        <f t="shared" si="83"/>
        <v>Y</v>
      </c>
      <c r="O581">
        <f t="shared" si="84"/>
        <v>6</v>
      </c>
      <c r="P581" s="6">
        <f t="shared" si="85"/>
        <v>0.99552572706935127</v>
      </c>
      <c r="Q581" s="6">
        <f t="shared" si="86"/>
        <v>2.0224719101123594E-2</v>
      </c>
      <c r="R581">
        <f t="shared" si="87"/>
        <v>1</v>
      </c>
      <c r="S581">
        <f t="shared" si="88"/>
        <v>0</v>
      </c>
      <c r="T581" t="str">
        <f t="shared" si="89"/>
        <v>Apr-26</v>
      </c>
    </row>
    <row r="582" spans="1:20">
      <c r="A582" t="s">
        <v>1017</v>
      </c>
      <c r="B582" t="s">
        <v>26</v>
      </c>
      <c r="C582" t="s">
        <v>12</v>
      </c>
      <c r="D582">
        <v>396</v>
      </c>
      <c r="E582" s="4">
        <v>46075</v>
      </c>
      <c r="F582" s="4">
        <v>46087</v>
      </c>
      <c r="G582" s="4">
        <v>46085</v>
      </c>
      <c r="H582">
        <v>398</v>
      </c>
      <c r="I582" t="s">
        <v>434</v>
      </c>
      <c r="J582">
        <v>8</v>
      </c>
      <c r="K582" t="s">
        <v>1563</v>
      </c>
      <c r="L582" t="str">
        <f t="shared" si="81"/>
        <v>Y</v>
      </c>
      <c r="M582" t="str">
        <f t="shared" si="82"/>
        <v>Y</v>
      </c>
      <c r="N582" t="str">
        <f t="shared" si="83"/>
        <v>Y</v>
      </c>
      <c r="O582">
        <f t="shared" si="84"/>
        <v>10</v>
      </c>
      <c r="P582" s="6">
        <f t="shared" si="85"/>
        <v>1.005050505050505</v>
      </c>
      <c r="Q582" s="6">
        <f t="shared" si="86"/>
        <v>2.0100502512562814E-2</v>
      </c>
      <c r="R582">
        <f t="shared" si="87"/>
        <v>1</v>
      </c>
      <c r="S582">
        <f t="shared" si="88"/>
        <v>0</v>
      </c>
      <c r="T582" t="str">
        <f t="shared" si="89"/>
        <v>Mar-26</v>
      </c>
    </row>
    <row r="583" spans="1:20">
      <c r="A583" t="s">
        <v>1018</v>
      </c>
      <c r="B583" t="s">
        <v>81</v>
      </c>
      <c r="C583" t="s">
        <v>16</v>
      </c>
      <c r="D583">
        <v>678</v>
      </c>
      <c r="E583" s="4">
        <v>46173</v>
      </c>
      <c r="F583" s="4">
        <v>46182</v>
      </c>
      <c r="G583" s="4">
        <v>46183</v>
      </c>
      <c r="H583">
        <v>610</v>
      </c>
      <c r="I583" t="s">
        <v>1019</v>
      </c>
      <c r="J583">
        <v>3</v>
      </c>
      <c r="K583" t="s">
        <v>1563</v>
      </c>
      <c r="L583" t="str">
        <f t="shared" si="81"/>
        <v>N</v>
      </c>
      <c r="M583" t="str">
        <f t="shared" si="82"/>
        <v>N</v>
      </c>
      <c r="N583" t="str">
        <f t="shared" si="83"/>
        <v>N</v>
      </c>
      <c r="O583">
        <f t="shared" si="84"/>
        <v>10</v>
      </c>
      <c r="P583" s="6">
        <f t="shared" si="85"/>
        <v>0.89970501474926257</v>
      </c>
      <c r="Q583" s="6">
        <f t="shared" si="86"/>
        <v>4.9180327868852463E-3</v>
      </c>
      <c r="R583">
        <f t="shared" si="87"/>
        <v>0</v>
      </c>
      <c r="S583">
        <f t="shared" si="88"/>
        <v>1</v>
      </c>
      <c r="T583" t="str">
        <f t="shared" si="89"/>
        <v>Jun-26</v>
      </c>
    </row>
    <row r="584" spans="1:20">
      <c r="A584" t="s">
        <v>1020</v>
      </c>
      <c r="B584" t="s">
        <v>52</v>
      </c>
      <c r="C584" t="s">
        <v>16</v>
      </c>
      <c r="D584">
        <v>379</v>
      </c>
      <c r="E584" s="4">
        <v>46135</v>
      </c>
      <c r="F584" s="4">
        <v>46150</v>
      </c>
      <c r="G584" s="4">
        <v>46147</v>
      </c>
      <c r="H584">
        <v>304</v>
      </c>
      <c r="I584" t="s">
        <v>831</v>
      </c>
      <c r="J584">
        <v>7</v>
      </c>
      <c r="K584" t="s">
        <v>1563</v>
      </c>
      <c r="L584" t="str">
        <f t="shared" si="81"/>
        <v>Y</v>
      </c>
      <c r="M584" t="str">
        <f t="shared" si="82"/>
        <v>N</v>
      </c>
      <c r="N584" t="str">
        <f t="shared" si="83"/>
        <v>N</v>
      </c>
      <c r="O584">
        <f t="shared" si="84"/>
        <v>12</v>
      </c>
      <c r="P584" s="6">
        <f t="shared" si="85"/>
        <v>0.80211081794195249</v>
      </c>
      <c r="Q584" s="6">
        <f t="shared" si="86"/>
        <v>2.3026315789473683E-2</v>
      </c>
      <c r="R584">
        <f t="shared" si="87"/>
        <v>0</v>
      </c>
      <c r="S584">
        <f t="shared" si="88"/>
        <v>0</v>
      </c>
      <c r="T584" t="str">
        <f t="shared" si="89"/>
        <v>May-26</v>
      </c>
    </row>
    <row r="585" spans="1:20">
      <c r="A585" t="s">
        <v>1021</v>
      </c>
      <c r="B585" t="s">
        <v>54</v>
      </c>
      <c r="C585" t="s">
        <v>12</v>
      </c>
      <c r="D585">
        <v>630</v>
      </c>
      <c r="E585" s="4">
        <v>46166</v>
      </c>
      <c r="F585" s="4">
        <v>46177</v>
      </c>
      <c r="G585" s="4">
        <v>46176</v>
      </c>
      <c r="H585">
        <v>625</v>
      </c>
      <c r="I585" t="s">
        <v>854</v>
      </c>
      <c r="J585">
        <v>9</v>
      </c>
      <c r="K585" t="s">
        <v>1563</v>
      </c>
      <c r="L585" t="str">
        <f t="shared" si="81"/>
        <v>Y</v>
      </c>
      <c r="M585" t="str">
        <f t="shared" si="82"/>
        <v>Y</v>
      </c>
      <c r="N585" t="str">
        <f t="shared" si="83"/>
        <v>Y</v>
      </c>
      <c r="O585">
        <f t="shared" si="84"/>
        <v>10</v>
      </c>
      <c r="P585" s="6">
        <f t="shared" si="85"/>
        <v>0.99206349206349209</v>
      </c>
      <c r="Q585" s="6">
        <f t="shared" si="86"/>
        <v>1.44E-2</v>
      </c>
      <c r="R585">
        <f t="shared" si="87"/>
        <v>1</v>
      </c>
      <c r="S585">
        <f t="shared" si="88"/>
        <v>0</v>
      </c>
      <c r="T585" t="str">
        <f t="shared" si="89"/>
        <v>Jun-26</v>
      </c>
    </row>
    <row r="586" spans="1:20">
      <c r="A586" t="s">
        <v>1022</v>
      </c>
      <c r="B586" t="s">
        <v>46</v>
      </c>
      <c r="C586" t="s">
        <v>12</v>
      </c>
      <c r="D586">
        <v>612</v>
      </c>
      <c r="E586" s="4">
        <v>46081</v>
      </c>
      <c r="F586" s="4">
        <v>46086</v>
      </c>
      <c r="G586" s="4">
        <v>46090</v>
      </c>
      <c r="H586">
        <v>607</v>
      </c>
      <c r="I586" t="s">
        <v>994</v>
      </c>
      <c r="J586">
        <v>11</v>
      </c>
      <c r="K586" t="s">
        <v>1563</v>
      </c>
      <c r="L586" t="str">
        <f t="shared" si="81"/>
        <v>N</v>
      </c>
      <c r="M586" t="str">
        <f t="shared" si="82"/>
        <v>Y</v>
      </c>
      <c r="N586" t="str">
        <f t="shared" si="83"/>
        <v>N</v>
      </c>
      <c r="O586">
        <f t="shared" si="84"/>
        <v>9</v>
      </c>
      <c r="P586" s="6">
        <f t="shared" si="85"/>
        <v>0.99183006535947715</v>
      </c>
      <c r="Q586" s="6">
        <f t="shared" si="86"/>
        <v>1.8121911037891267E-2</v>
      </c>
      <c r="R586">
        <f t="shared" si="87"/>
        <v>0</v>
      </c>
      <c r="S586">
        <f t="shared" si="88"/>
        <v>4</v>
      </c>
      <c r="T586" t="str">
        <f t="shared" si="89"/>
        <v>Mar-26</v>
      </c>
    </row>
    <row r="587" spans="1:20">
      <c r="A587" t="s">
        <v>1023</v>
      </c>
      <c r="B587" t="s">
        <v>46</v>
      </c>
      <c r="C587" t="s">
        <v>12</v>
      </c>
      <c r="D587">
        <v>581</v>
      </c>
      <c r="E587" s="4">
        <v>46108</v>
      </c>
      <c r="F587" s="4">
        <v>46114</v>
      </c>
      <c r="G587" s="4">
        <v>46113</v>
      </c>
      <c r="H587">
        <v>499</v>
      </c>
      <c r="I587" t="s">
        <v>1024</v>
      </c>
      <c r="J587">
        <v>42</v>
      </c>
      <c r="K587" t="s">
        <v>1563</v>
      </c>
      <c r="L587" t="str">
        <f t="shared" si="81"/>
        <v>Y</v>
      </c>
      <c r="M587" t="str">
        <f t="shared" si="82"/>
        <v>N</v>
      </c>
      <c r="N587" t="str">
        <f t="shared" si="83"/>
        <v>N</v>
      </c>
      <c r="O587">
        <f t="shared" si="84"/>
        <v>5</v>
      </c>
      <c r="P587" s="6">
        <f t="shared" si="85"/>
        <v>0.85886402753872637</v>
      </c>
      <c r="Q587" s="6">
        <f t="shared" si="86"/>
        <v>8.4168336673346694E-2</v>
      </c>
      <c r="R587">
        <f t="shared" si="87"/>
        <v>0</v>
      </c>
      <c r="S587">
        <f t="shared" si="88"/>
        <v>0</v>
      </c>
      <c r="T587" t="str">
        <f t="shared" si="89"/>
        <v>Apr-26</v>
      </c>
    </row>
    <row r="588" spans="1:20">
      <c r="A588" t="s">
        <v>1025</v>
      </c>
      <c r="B588" t="s">
        <v>67</v>
      </c>
      <c r="C588" t="s">
        <v>12</v>
      </c>
      <c r="D588">
        <v>457</v>
      </c>
      <c r="E588" s="4">
        <v>46037</v>
      </c>
      <c r="F588" s="4">
        <v>46044</v>
      </c>
      <c r="G588" s="4">
        <v>46041</v>
      </c>
      <c r="H588">
        <v>459</v>
      </c>
      <c r="I588" t="s">
        <v>731</v>
      </c>
      <c r="J588">
        <v>5</v>
      </c>
      <c r="K588" t="s">
        <v>1563</v>
      </c>
      <c r="L588" t="str">
        <f t="shared" si="81"/>
        <v>Y</v>
      </c>
      <c r="M588" t="str">
        <f t="shared" si="82"/>
        <v>Y</v>
      </c>
      <c r="N588" t="str">
        <f t="shared" si="83"/>
        <v>Y</v>
      </c>
      <c r="O588">
        <f t="shared" si="84"/>
        <v>4</v>
      </c>
      <c r="P588" s="6">
        <f t="shared" si="85"/>
        <v>1.0043763676148796</v>
      </c>
      <c r="Q588" s="6">
        <f t="shared" si="86"/>
        <v>1.0893246187363835E-2</v>
      </c>
      <c r="R588">
        <f t="shared" si="87"/>
        <v>1</v>
      </c>
      <c r="S588">
        <f t="shared" si="88"/>
        <v>0</v>
      </c>
      <c r="T588" t="str">
        <f t="shared" si="89"/>
        <v>Jan-26</v>
      </c>
    </row>
    <row r="589" spans="1:20">
      <c r="A589" t="s">
        <v>1026</v>
      </c>
      <c r="B589" t="s">
        <v>29</v>
      </c>
      <c r="C589" t="s">
        <v>12</v>
      </c>
      <c r="D589">
        <v>938</v>
      </c>
      <c r="E589" s="4">
        <v>46050</v>
      </c>
      <c r="F589" s="4">
        <v>46060</v>
      </c>
      <c r="G589" s="4">
        <v>46060</v>
      </c>
      <c r="H589">
        <v>771</v>
      </c>
      <c r="I589" t="s">
        <v>1027</v>
      </c>
      <c r="J589">
        <v>10</v>
      </c>
      <c r="K589" t="s">
        <v>1563</v>
      </c>
      <c r="L589" t="str">
        <f t="shared" si="81"/>
        <v>Y</v>
      </c>
      <c r="M589" t="str">
        <f t="shared" si="82"/>
        <v>N</v>
      </c>
      <c r="N589" t="str">
        <f t="shared" si="83"/>
        <v>N</v>
      </c>
      <c r="O589">
        <f t="shared" si="84"/>
        <v>10</v>
      </c>
      <c r="P589" s="6">
        <f t="shared" si="85"/>
        <v>0.82196162046908317</v>
      </c>
      <c r="Q589" s="6">
        <f t="shared" si="86"/>
        <v>1.2970168612191959E-2</v>
      </c>
      <c r="R589">
        <f t="shared" si="87"/>
        <v>0</v>
      </c>
      <c r="S589">
        <f t="shared" si="88"/>
        <v>0</v>
      </c>
      <c r="T589" t="str">
        <f t="shared" si="89"/>
        <v>Feb-26</v>
      </c>
    </row>
    <row r="590" spans="1:20">
      <c r="A590" t="s">
        <v>1028</v>
      </c>
      <c r="B590" t="s">
        <v>70</v>
      </c>
      <c r="C590" t="s">
        <v>16</v>
      </c>
      <c r="D590">
        <v>547</v>
      </c>
      <c r="E590" s="4">
        <v>46030</v>
      </c>
      <c r="F590" s="4">
        <v>46041</v>
      </c>
      <c r="G590" s="4">
        <v>46043</v>
      </c>
      <c r="H590">
        <v>551</v>
      </c>
      <c r="I590" t="s">
        <v>279</v>
      </c>
      <c r="J590">
        <v>4</v>
      </c>
      <c r="K590" t="s">
        <v>1563</v>
      </c>
      <c r="L590" t="str">
        <f t="shared" si="81"/>
        <v>N</v>
      </c>
      <c r="M590" t="str">
        <f t="shared" si="82"/>
        <v>Y</v>
      </c>
      <c r="N590" t="str">
        <f t="shared" si="83"/>
        <v>N</v>
      </c>
      <c r="O590">
        <f t="shared" si="84"/>
        <v>13</v>
      </c>
      <c r="P590" s="6">
        <f t="shared" si="85"/>
        <v>1.0073126142595978</v>
      </c>
      <c r="Q590" s="6">
        <f t="shared" si="86"/>
        <v>7.2595281306715061E-3</v>
      </c>
      <c r="R590">
        <f t="shared" si="87"/>
        <v>0</v>
      </c>
      <c r="S590">
        <f t="shared" si="88"/>
        <v>2</v>
      </c>
      <c r="T590" t="str">
        <f t="shared" si="89"/>
        <v>Jan-26</v>
      </c>
    </row>
    <row r="591" spans="1:20">
      <c r="A591" t="s">
        <v>1029</v>
      </c>
      <c r="B591" t="s">
        <v>52</v>
      </c>
      <c r="C591" t="s">
        <v>12</v>
      </c>
      <c r="D591">
        <v>741</v>
      </c>
      <c r="E591" s="4">
        <v>46061</v>
      </c>
      <c r="F591" s="4">
        <v>46072</v>
      </c>
      <c r="G591" s="4">
        <v>46069</v>
      </c>
      <c r="H591">
        <v>751</v>
      </c>
      <c r="I591" t="s">
        <v>734</v>
      </c>
      <c r="J591">
        <v>18</v>
      </c>
      <c r="K591" t="s">
        <v>1563</v>
      </c>
      <c r="L591" t="str">
        <f t="shared" si="81"/>
        <v>Y</v>
      </c>
      <c r="M591" t="str">
        <f t="shared" si="82"/>
        <v>Y</v>
      </c>
      <c r="N591" t="str">
        <f t="shared" si="83"/>
        <v>Y</v>
      </c>
      <c r="O591">
        <f t="shared" si="84"/>
        <v>8</v>
      </c>
      <c r="P591" s="6">
        <f t="shared" si="85"/>
        <v>1.0134952766531713</v>
      </c>
      <c r="Q591" s="6">
        <f t="shared" si="86"/>
        <v>2.3968042609853527E-2</v>
      </c>
      <c r="R591">
        <f t="shared" si="87"/>
        <v>1</v>
      </c>
      <c r="S591">
        <f t="shared" si="88"/>
        <v>0</v>
      </c>
      <c r="T591" t="str">
        <f t="shared" si="89"/>
        <v>Feb-26</v>
      </c>
    </row>
    <row r="592" spans="1:20">
      <c r="A592" t="s">
        <v>1030</v>
      </c>
      <c r="B592" t="s">
        <v>49</v>
      </c>
      <c r="C592" t="s">
        <v>16</v>
      </c>
      <c r="D592">
        <v>215</v>
      </c>
      <c r="E592" s="4">
        <v>46075</v>
      </c>
      <c r="F592" s="4">
        <v>46085</v>
      </c>
      <c r="G592" s="4">
        <v>46084</v>
      </c>
      <c r="H592">
        <v>185</v>
      </c>
      <c r="I592" t="s">
        <v>266</v>
      </c>
      <c r="J592">
        <v>2</v>
      </c>
      <c r="K592" t="s">
        <v>1563</v>
      </c>
      <c r="L592" t="str">
        <f t="shared" si="81"/>
        <v>Y</v>
      </c>
      <c r="M592" t="str">
        <f t="shared" si="82"/>
        <v>N</v>
      </c>
      <c r="N592" t="str">
        <f t="shared" si="83"/>
        <v>N</v>
      </c>
      <c r="O592">
        <f t="shared" si="84"/>
        <v>9</v>
      </c>
      <c r="P592" s="6">
        <f t="shared" si="85"/>
        <v>0.86046511627906974</v>
      </c>
      <c r="Q592" s="6">
        <f t="shared" si="86"/>
        <v>1.0810810810810811E-2</v>
      </c>
      <c r="R592">
        <f t="shared" si="87"/>
        <v>0</v>
      </c>
      <c r="S592">
        <f t="shared" si="88"/>
        <v>0</v>
      </c>
      <c r="T592" t="str">
        <f t="shared" si="89"/>
        <v>Mar-26</v>
      </c>
    </row>
    <row r="593" spans="1:20">
      <c r="A593" t="s">
        <v>1031</v>
      </c>
      <c r="B593" t="s">
        <v>52</v>
      </c>
      <c r="C593" t="s">
        <v>16</v>
      </c>
      <c r="D593">
        <v>431</v>
      </c>
      <c r="E593" s="4">
        <v>46073</v>
      </c>
      <c r="F593" s="4">
        <v>46079</v>
      </c>
      <c r="G593" s="4">
        <v>46077</v>
      </c>
      <c r="H593">
        <v>423</v>
      </c>
      <c r="I593" t="s">
        <v>92</v>
      </c>
      <c r="J593">
        <v>7</v>
      </c>
      <c r="K593" t="s">
        <v>1563</v>
      </c>
      <c r="L593" t="str">
        <f t="shared" si="81"/>
        <v>Y</v>
      </c>
      <c r="M593" t="str">
        <f t="shared" si="82"/>
        <v>Y</v>
      </c>
      <c r="N593" t="str">
        <f t="shared" si="83"/>
        <v>Y</v>
      </c>
      <c r="O593">
        <f t="shared" si="84"/>
        <v>4</v>
      </c>
      <c r="P593" s="6">
        <f t="shared" si="85"/>
        <v>0.9814385150812065</v>
      </c>
      <c r="Q593" s="6">
        <f t="shared" si="86"/>
        <v>1.6548463356973995E-2</v>
      </c>
      <c r="R593">
        <f t="shared" si="87"/>
        <v>1</v>
      </c>
      <c r="S593">
        <f t="shared" si="88"/>
        <v>0</v>
      </c>
      <c r="T593" t="str">
        <f t="shared" si="89"/>
        <v>Feb-26</v>
      </c>
    </row>
    <row r="594" spans="1:20">
      <c r="A594" t="s">
        <v>1032</v>
      </c>
      <c r="B594" t="s">
        <v>11</v>
      </c>
      <c r="C594" t="s">
        <v>23</v>
      </c>
      <c r="D594">
        <v>766</v>
      </c>
      <c r="E594" s="4">
        <v>46091</v>
      </c>
      <c r="F594" s="4">
        <v>46096</v>
      </c>
      <c r="G594" s="4">
        <v>46096</v>
      </c>
      <c r="H594">
        <v>767</v>
      </c>
      <c r="I594" t="s">
        <v>785</v>
      </c>
      <c r="J594">
        <v>2</v>
      </c>
      <c r="K594" t="s">
        <v>1563</v>
      </c>
      <c r="L594" t="str">
        <f t="shared" si="81"/>
        <v>Y</v>
      </c>
      <c r="M594" t="str">
        <f t="shared" si="82"/>
        <v>Y</v>
      </c>
      <c r="N594" t="str">
        <f t="shared" si="83"/>
        <v>Y</v>
      </c>
      <c r="O594">
        <f t="shared" si="84"/>
        <v>5</v>
      </c>
      <c r="P594" s="6">
        <f t="shared" si="85"/>
        <v>1.0013054830287207</v>
      </c>
      <c r="Q594" s="6">
        <f t="shared" si="86"/>
        <v>2.6075619295958278E-3</v>
      </c>
      <c r="R594">
        <f t="shared" si="87"/>
        <v>1</v>
      </c>
      <c r="S594">
        <f t="shared" si="88"/>
        <v>0</v>
      </c>
      <c r="T594" t="str">
        <f t="shared" si="89"/>
        <v>Mar-26</v>
      </c>
    </row>
    <row r="595" spans="1:20">
      <c r="A595" t="s">
        <v>1033</v>
      </c>
      <c r="B595" t="s">
        <v>19</v>
      </c>
      <c r="C595" t="s">
        <v>12</v>
      </c>
      <c r="D595">
        <v>261</v>
      </c>
      <c r="E595" s="4">
        <v>46101</v>
      </c>
      <c r="F595" s="4">
        <v>46106</v>
      </c>
      <c r="G595" s="4">
        <v>46104</v>
      </c>
      <c r="H595">
        <v>253</v>
      </c>
      <c r="I595" t="s">
        <v>57</v>
      </c>
      <c r="J595">
        <v>5</v>
      </c>
      <c r="K595" t="s">
        <v>1563</v>
      </c>
      <c r="L595" t="str">
        <f t="shared" si="81"/>
        <v>Y</v>
      </c>
      <c r="M595" t="str">
        <f t="shared" si="82"/>
        <v>N</v>
      </c>
      <c r="N595" t="str">
        <f t="shared" si="83"/>
        <v>N</v>
      </c>
      <c r="O595">
        <f t="shared" si="84"/>
        <v>3</v>
      </c>
      <c r="P595" s="6">
        <f t="shared" si="85"/>
        <v>0.96934865900383138</v>
      </c>
      <c r="Q595" s="6">
        <f t="shared" si="86"/>
        <v>1.9762845849802372E-2</v>
      </c>
      <c r="R595">
        <f t="shared" si="87"/>
        <v>0</v>
      </c>
      <c r="S595">
        <f t="shared" si="88"/>
        <v>0</v>
      </c>
      <c r="T595" t="str">
        <f t="shared" si="89"/>
        <v>Mar-26</v>
      </c>
    </row>
    <row r="596" spans="1:20">
      <c r="A596" t="s">
        <v>1034</v>
      </c>
      <c r="B596" t="s">
        <v>26</v>
      </c>
      <c r="C596" t="s">
        <v>23</v>
      </c>
      <c r="D596">
        <v>724</v>
      </c>
      <c r="E596" s="4">
        <v>46052</v>
      </c>
      <c r="F596" s="4">
        <v>46064</v>
      </c>
      <c r="G596" s="4">
        <v>46061</v>
      </c>
      <c r="H596">
        <v>722</v>
      </c>
      <c r="I596" t="s">
        <v>1035</v>
      </c>
      <c r="J596">
        <v>6</v>
      </c>
      <c r="K596" t="s">
        <v>1563</v>
      </c>
      <c r="L596" t="str">
        <f t="shared" si="81"/>
        <v>Y</v>
      </c>
      <c r="M596" t="str">
        <f t="shared" si="82"/>
        <v>Y</v>
      </c>
      <c r="N596" t="str">
        <f t="shared" si="83"/>
        <v>Y</v>
      </c>
      <c r="O596">
        <f t="shared" si="84"/>
        <v>9</v>
      </c>
      <c r="P596" s="6">
        <f t="shared" si="85"/>
        <v>0.99723756906077343</v>
      </c>
      <c r="Q596" s="6">
        <f t="shared" si="86"/>
        <v>8.3102493074792248E-3</v>
      </c>
      <c r="R596">
        <f t="shared" si="87"/>
        <v>1</v>
      </c>
      <c r="S596">
        <f t="shared" si="88"/>
        <v>0</v>
      </c>
      <c r="T596" t="str">
        <f t="shared" si="89"/>
        <v>Feb-26</v>
      </c>
    </row>
    <row r="597" spans="1:20">
      <c r="A597" t="s">
        <v>1036</v>
      </c>
      <c r="B597" t="s">
        <v>120</v>
      </c>
      <c r="C597" t="s">
        <v>12</v>
      </c>
      <c r="D597">
        <v>651</v>
      </c>
      <c r="E597" s="4">
        <v>46116</v>
      </c>
      <c r="F597" s="4">
        <v>46129</v>
      </c>
      <c r="G597" s="4">
        <v>46126</v>
      </c>
      <c r="H597">
        <v>620</v>
      </c>
      <c r="I597" t="s">
        <v>1009</v>
      </c>
      <c r="J597">
        <v>36</v>
      </c>
      <c r="K597" t="s">
        <v>1563</v>
      </c>
      <c r="L597" t="str">
        <f t="shared" si="81"/>
        <v>Y</v>
      </c>
      <c r="M597" t="str">
        <f t="shared" si="82"/>
        <v>N</v>
      </c>
      <c r="N597" t="str">
        <f t="shared" si="83"/>
        <v>N</v>
      </c>
      <c r="O597">
        <f t="shared" si="84"/>
        <v>10</v>
      </c>
      <c r="P597" s="6">
        <f t="shared" si="85"/>
        <v>0.95238095238095233</v>
      </c>
      <c r="Q597" s="6">
        <f t="shared" si="86"/>
        <v>5.8064516129032261E-2</v>
      </c>
      <c r="R597">
        <f t="shared" si="87"/>
        <v>0</v>
      </c>
      <c r="S597">
        <f t="shared" si="88"/>
        <v>0</v>
      </c>
      <c r="T597" t="str">
        <f t="shared" si="89"/>
        <v>Apr-26</v>
      </c>
    </row>
    <row r="598" spans="1:20">
      <c r="A598" t="s">
        <v>1037</v>
      </c>
      <c r="B598" t="s">
        <v>22</v>
      </c>
      <c r="C598" t="s">
        <v>16</v>
      </c>
      <c r="D598">
        <v>440</v>
      </c>
      <c r="E598" s="4">
        <v>46107</v>
      </c>
      <c r="F598" s="4">
        <v>46115</v>
      </c>
      <c r="G598" s="4">
        <v>46121</v>
      </c>
      <c r="H598">
        <v>441</v>
      </c>
      <c r="I598" t="s">
        <v>235</v>
      </c>
      <c r="J598">
        <v>7</v>
      </c>
      <c r="K598" t="s">
        <v>1563</v>
      </c>
      <c r="L598" t="str">
        <f t="shared" si="81"/>
        <v>N</v>
      </c>
      <c r="M598" t="str">
        <f t="shared" si="82"/>
        <v>Y</v>
      </c>
      <c r="N598" t="str">
        <f t="shared" si="83"/>
        <v>N</v>
      </c>
      <c r="O598">
        <f t="shared" si="84"/>
        <v>14</v>
      </c>
      <c r="P598" s="6">
        <f t="shared" si="85"/>
        <v>1.0022727272727272</v>
      </c>
      <c r="Q598" s="6">
        <f t="shared" si="86"/>
        <v>1.5873015873015872E-2</v>
      </c>
      <c r="R598">
        <f t="shared" si="87"/>
        <v>0</v>
      </c>
      <c r="S598">
        <f t="shared" si="88"/>
        <v>6</v>
      </c>
      <c r="T598" t="str">
        <f t="shared" si="89"/>
        <v>Apr-26</v>
      </c>
    </row>
    <row r="599" spans="1:20">
      <c r="A599" t="s">
        <v>1038</v>
      </c>
      <c r="B599" t="s">
        <v>49</v>
      </c>
      <c r="C599" t="s">
        <v>12</v>
      </c>
      <c r="D599">
        <v>650</v>
      </c>
      <c r="E599" s="4">
        <v>46113</v>
      </c>
      <c r="F599" s="4">
        <v>46126</v>
      </c>
      <c r="G599" s="4">
        <v>46123</v>
      </c>
      <c r="H599">
        <v>581</v>
      </c>
      <c r="I599" t="s">
        <v>1039</v>
      </c>
      <c r="J599">
        <v>7</v>
      </c>
      <c r="K599" t="s">
        <v>1563</v>
      </c>
      <c r="L599" t="str">
        <f t="shared" si="81"/>
        <v>Y</v>
      </c>
      <c r="M599" t="str">
        <f t="shared" si="82"/>
        <v>N</v>
      </c>
      <c r="N599" t="str">
        <f t="shared" si="83"/>
        <v>N</v>
      </c>
      <c r="O599">
        <f t="shared" si="84"/>
        <v>10</v>
      </c>
      <c r="P599" s="6">
        <f t="shared" si="85"/>
        <v>0.89384615384615385</v>
      </c>
      <c r="Q599" s="6">
        <f t="shared" si="86"/>
        <v>1.2048192771084338E-2</v>
      </c>
      <c r="R599">
        <f t="shared" si="87"/>
        <v>0</v>
      </c>
      <c r="S599">
        <f t="shared" si="88"/>
        <v>0</v>
      </c>
      <c r="T599" t="str">
        <f t="shared" si="89"/>
        <v>Apr-26</v>
      </c>
    </row>
    <row r="600" spans="1:20">
      <c r="A600" t="s">
        <v>1040</v>
      </c>
      <c r="B600" t="s">
        <v>81</v>
      </c>
      <c r="C600" t="s">
        <v>23</v>
      </c>
      <c r="D600">
        <v>994</v>
      </c>
      <c r="E600" s="4">
        <v>46115</v>
      </c>
      <c r="F600" s="4">
        <v>46121</v>
      </c>
      <c r="G600" s="4">
        <v>46118</v>
      </c>
      <c r="H600">
        <v>980</v>
      </c>
      <c r="I600" t="s">
        <v>1041</v>
      </c>
      <c r="J600">
        <v>4</v>
      </c>
      <c r="K600" t="s">
        <v>1563</v>
      </c>
      <c r="L600" t="str">
        <f t="shared" si="81"/>
        <v>Y</v>
      </c>
      <c r="M600" t="str">
        <f t="shared" si="82"/>
        <v>Y</v>
      </c>
      <c r="N600" t="str">
        <f t="shared" si="83"/>
        <v>Y</v>
      </c>
      <c r="O600">
        <f t="shared" si="84"/>
        <v>3</v>
      </c>
      <c r="P600" s="6">
        <f t="shared" si="85"/>
        <v>0.9859154929577465</v>
      </c>
      <c r="Q600" s="6">
        <f t="shared" si="86"/>
        <v>4.0816326530612249E-3</v>
      </c>
      <c r="R600">
        <f t="shared" si="87"/>
        <v>1</v>
      </c>
      <c r="S600">
        <f t="shared" si="88"/>
        <v>0</v>
      </c>
      <c r="T600" t="str">
        <f t="shared" si="89"/>
        <v>Apr-26</v>
      </c>
    </row>
    <row r="601" spans="1:20">
      <c r="A601" t="s">
        <v>1042</v>
      </c>
      <c r="B601" t="s">
        <v>67</v>
      </c>
      <c r="C601" t="s">
        <v>12</v>
      </c>
      <c r="D601">
        <v>880</v>
      </c>
      <c r="E601" s="4">
        <v>46149</v>
      </c>
      <c r="F601" s="4">
        <v>46156</v>
      </c>
      <c r="G601" s="4">
        <v>46153</v>
      </c>
      <c r="H601">
        <v>890</v>
      </c>
      <c r="I601" t="s">
        <v>1043</v>
      </c>
      <c r="J601">
        <v>22</v>
      </c>
      <c r="K601" t="s">
        <v>1563</v>
      </c>
      <c r="L601" t="str">
        <f t="shared" si="81"/>
        <v>Y</v>
      </c>
      <c r="M601" t="str">
        <f t="shared" si="82"/>
        <v>Y</v>
      </c>
      <c r="N601" t="str">
        <f t="shared" si="83"/>
        <v>Y</v>
      </c>
      <c r="O601">
        <f t="shared" si="84"/>
        <v>4</v>
      </c>
      <c r="P601" s="6">
        <f t="shared" si="85"/>
        <v>1.0113636363636365</v>
      </c>
      <c r="Q601" s="6">
        <f t="shared" si="86"/>
        <v>2.4719101123595506E-2</v>
      </c>
      <c r="R601">
        <f t="shared" si="87"/>
        <v>1</v>
      </c>
      <c r="S601">
        <f t="shared" si="88"/>
        <v>0</v>
      </c>
      <c r="T601" t="str">
        <f t="shared" si="89"/>
        <v>May-26</v>
      </c>
    </row>
    <row r="602" spans="1:20">
      <c r="A602" t="s">
        <v>1044</v>
      </c>
      <c r="B602" t="s">
        <v>32</v>
      </c>
      <c r="C602" t="s">
        <v>16</v>
      </c>
      <c r="D602">
        <v>729</v>
      </c>
      <c r="E602" s="4">
        <v>46120</v>
      </c>
      <c r="F602" s="4">
        <v>46131</v>
      </c>
      <c r="G602" s="4">
        <v>46130</v>
      </c>
      <c r="H602">
        <v>742</v>
      </c>
      <c r="I602" t="s">
        <v>906</v>
      </c>
      <c r="J602">
        <v>31</v>
      </c>
      <c r="K602" t="s">
        <v>1563</v>
      </c>
      <c r="L602" t="str">
        <f t="shared" si="81"/>
        <v>Y</v>
      </c>
      <c r="M602" t="str">
        <f t="shared" si="82"/>
        <v>Y</v>
      </c>
      <c r="N602" t="str">
        <f t="shared" si="83"/>
        <v>Y</v>
      </c>
      <c r="O602">
        <f t="shared" si="84"/>
        <v>10</v>
      </c>
      <c r="P602" s="6">
        <f t="shared" si="85"/>
        <v>1.0178326474622772</v>
      </c>
      <c r="Q602" s="6">
        <f t="shared" si="86"/>
        <v>4.1778975741239892E-2</v>
      </c>
      <c r="R602">
        <f t="shared" si="87"/>
        <v>1</v>
      </c>
      <c r="S602">
        <f t="shared" si="88"/>
        <v>0</v>
      </c>
      <c r="T602" t="str">
        <f t="shared" si="89"/>
        <v>Apr-26</v>
      </c>
    </row>
    <row r="603" spans="1:20">
      <c r="A603" t="s">
        <v>1045</v>
      </c>
      <c r="B603" t="s">
        <v>177</v>
      </c>
      <c r="C603" t="s">
        <v>12</v>
      </c>
      <c r="D603">
        <v>152</v>
      </c>
      <c r="E603" s="4">
        <v>46071</v>
      </c>
      <c r="F603" s="4">
        <v>46086</v>
      </c>
      <c r="G603" s="4">
        <v>46095</v>
      </c>
      <c r="H603">
        <v>152</v>
      </c>
      <c r="I603" t="s">
        <v>30</v>
      </c>
      <c r="J603">
        <v>1</v>
      </c>
      <c r="K603" t="s">
        <v>1563</v>
      </c>
      <c r="L603" t="str">
        <f t="shared" si="81"/>
        <v>N</v>
      </c>
      <c r="M603" t="str">
        <f t="shared" si="82"/>
        <v>Y</v>
      </c>
      <c r="N603" t="str">
        <f t="shared" si="83"/>
        <v>N</v>
      </c>
      <c r="O603">
        <f t="shared" si="84"/>
        <v>24</v>
      </c>
      <c r="P603" s="6">
        <f t="shared" si="85"/>
        <v>1</v>
      </c>
      <c r="Q603" s="6">
        <f t="shared" si="86"/>
        <v>6.5789473684210523E-3</v>
      </c>
      <c r="R603">
        <f t="shared" si="87"/>
        <v>0</v>
      </c>
      <c r="S603">
        <f t="shared" si="88"/>
        <v>9</v>
      </c>
      <c r="T603" t="str">
        <f t="shared" si="89"/>
        <v>Mar-26</v>
      </c>
    </row>
    <row r="604" spans="1:20">
      <c r="A604" t="s">
        <v>1046</v>
      </c>
      <c r="B604" t="s">
        <v>26</v>
      </c>
      <c r="C604" t="s">
        <v>12</v>
      </c>
      <c r="D604">
        <v>82</v>
      </c>
      <c r="E604" s="4">
        <v>46093</v>
      </c>
      <c r="F604" s="4">
        <v>46100</v>
      </c>
      <c r="G604" s="4">
        <v>46100</v>
      </c>
      <c r="H604">
        <v>83</v>
      </c>
      <c r="I604" t="s">
        <v>941</v>
      </c>
      <c r="J604">
        <v>1</v>
      </c>
      <c r="K604" t="s">
        <v>1563</v>
      </c>
      <c r="L604" t="str">
        <f t="shared" si="81"/>
        <v>Y</v>
      </c>
      <c r="M604" t="str">
        <f t="shared" si="82"/>
        <v>Y</v>
      </c>
      <c r="N604" t="str">
        <f t="shared" si="83"/>
        <v>Y</v>
      </c>
      <c r="O604">
        <f t="shared" si="84"/>
        <v>7</v>
      </c>
      <c r="P604" s="6">
        <f t="shared" si="85"/>
        <v>1.0121951219512195</v>
      </c>
      <c r="Q604" s="6">
        <f t="shared" si="86"/>
        <v>1.2048192771084338E-2</v>
      </c>
      <c r="R604">
        <f t="shared" si="87"/>
        <v>1</v>
      </c>
      <c r="S604">
        <f t="shared" si="88"/>
        <v>0</v>
      </c>
      <c r="T604" t="str">
        <f t="shared" si="89"/>
        <v>Mar-26</v>
      </c>
    </row>
    <row r="605" spans="1:20">
      <c r="A605" t="s">
        <v>1047</v>
      </c>
      <c r="B605" t="s">
        <v>26</v>
      </c>
      <c r="C605" t="s">
        <v>12</v>
      </c>
      <c r="D605">
        <v>654</v>
      </c>
      <c r="E605" s="4">
        <v>46137</v>
      </c>
      <c r="F605" s="4">
        <v>46148</v>
      </c>
      <c r="G605" s="4">
        <v>46149</v>
      </c>
      <c r="H605">
        <v>559</v>
      </c>
      <c r="I605" t="s">
        <v>1048</v>
      </c>
      <c r="J605">
        <v>5</v>
      </c>
      <c r="K605" t="s">
        <v>1563</v>
      </c>
      <c r="L605" t="str">
        <f t="shared" si="81"/>
        <v>N</v>
      </c>
      <c r="M605" t="str">
        <f t="shared" si="82"/>
        <v>N</v>
      </c>
      <c r="N605" t="str">
        <f t="shared" si="83"/>
        <v>N</v>
      </c>
      <c r="O605">
        <f t="shared" si="84"/>
        <v>12</v>
      </c>
      <c r="P605" s="6">
        <f t="shared" si="85"/>
        <v>0.85474006116207946</v>
      </c>
      <c r="Q605" s="6">
        <f t="shared" si="86"/>
        <v>8.9445438282647581E-3</v>
      </c>
      <c r="R605">
        <f t="shared" si="87"/>
        <v>0</v>
      </c>
      <c r="S605">
        <f t="shared" si="88"/>
        <v>1</v>
      </c>
      <c r="T605" t="str">
        <f t="shared" si="89"/>
        <v>May-26</v>
      </c>
    </row>
    <row r="606" spans="1:20">
      <c r="A606" t="s">
        <v>1049</v>
      </c>
      <c r="B606" t="s">
        <v>52</v>
      </c>
      <c r="C606" t="s">
        <v>12</v>
      </c>
      <c r="D606">
        <v>105</v>
      </c>
      <c r="E606" s="4">
        <v>46132</v>
      </c>
      <c r="F606" s="4">
        <v>46145</v>
      </c>
      <c r="G606" s="4">
        <v>46144</v>
      </c>
      <c r="H606">
        <v>104</v>
      </c>
      <c r="I606" t="s">
        <v>836</v>
      </c>
      <c r="J606">
        <v>2</v>
      </c>
      <c r="K606" t="s">
        <v>1563</v>
      </c>
      <c r="L606" t="str">
        <f t="shared" si="81"/>
        <v>Y</v>
      </c>
      <c r="M606" t="str">
        <f t="shared" si="82"/>
        <v>Y</v>
      </c>
      <c r="N606" t="str">
        <f t="shared" si="83"/>
        <v>Y</v>
      </c>
      <c r="O606">
        <f t="shared" si="84"/>
        <v>12</v>
      </c>
      <c r="P606" s="6">
        <f t="shared" si="85"/>
        <v>0.99047619047619051</v>
      </c>
      <c r="Q606" s="6">
        <f t="shared" si="86"/>
        <v>1.9230769230769232E-2</v>
      </c>
      <c r="R606">
        <f t="shared" si="87"/>
        <v>1</v>
      </c>
      <c r="S606">
        <f t="shared" si="88"/>
        <v>0</v>
      </c>
      <c r="T606" t="str">
        <f t="shared" si="89"/>
        <v>May-26</v>
      </c>
    </row>
    <row r="607" spans="1:20">
      <c r="A607" t="s">
        <v>1050</v>
      </c>
      <c r="B607" t="s">
        <v>22</v>
      </c>
      <c r="C607" t="s">
        <v>23</v>
      </c>
      <c r="D607">
        <v>501</v>
      </c>
      <c r="E607" s="4">
        <v>46031</v>
      </c>
      <c r="F607" s="4">
        <v>46040</v>
      </c>
      <c r="G607" s="4">
        <v>46040</v>
      </c>
      <c r="H607">
        <v>509</v>
      </c>
      <c r="I607" t="s">
        <v>535</v>
      </c>
      <c r="J607">
        <v>11</v>
      </c>
      <c r="K607" t="s">
        <v>1563</v>
      </c>
      <c r="L607" t="str">
        <f t="shared" si="81"/>
        <v>Y</v>
      </c>
      <c r="M607" t="str">
        <f t="shared" si="82"/>
        <v>Y</v>
      </c>
      <c r="N607" t="str">
        <f t="shared" si="83"/>
        <v>Y</v>
      </c>
      <c r="O607">
        <f t="shared" si="84"/>
        <v>9</v>
      </c>
      <c r="P607" s="6">
        <f t="shared" si="85"/>
        <v>1.0159680638722555</v>
      </c>
      <c r="Q607" s="6">
        <f t="shared" si="86"/>
        <v>2.1611001964636542E-2</v>
      </c>
      <c r="R607">
        <f t="shared" si="87"/>
        <v>1</v>
      </c>
      <c r="S607">
        <f t="shared" si="88"/>
        <v>0</v>
      </c>
      <c r="T607" t="str">
        <f t="shared" si="89"/>
        <v>Jan-26</v>
      </c>
    </row>
    <row r="608" spans="1:20">
      <c r="A608" t="s">
        <v>1051</v>
      </c>
      <c r="B608" t="s">
        <v>19</v>
      </c>
      <c r="C608" t="s">
        <v>12</v>
      </c>
      <c r="D608">
        <v>492</v>
      </c>
      <c r="E608" s="4">
        <v>46085</v>
      </c>
      <c r="F608" s="4">
        <v>46091</v>
      </c>
      <c r="G608" s="4">
        <v>46090</v>
      </c>
      <c r="H608">
        <v>407</v>
      </c>
      <c r="I608" t="s">
        <v>533</v>
      </c>
      <c r="J608">
        <v>22</v>
      </c>
      <c r="K608" t="s">
        <v>1563</v>
      </c>
      <c r="L608" t="str">
        <f t="shared" si="81"/>
        <v>Y</v>
      </c>
      <c r="M608" t="str">
        <f t="shared" si="82"/>
        <v>N</v>
      </c>
      <c r="N608" t="str">
        <f t="shared" si="83"/>
        <v>N</v>
      </c>
      <c r="O608">
        <f t="shared" si="84"/>
        <v>5</v>
      </c>
      <c r="P608" s="6">
        <f t="shared" si="85"/>
        <v>0.82723577235772361</v>
      </c>
      <c r="Q608" s="6">
        <f t="shared" si="86"/>
        <v>5.4054054054054057E-2</v>
      </c>
      <c r="R608">
        <f t="shared" si="87"/>
        <v>0</v>
      </c>
      <c r="S608">
        <f t="shared" si="88"/>
        <v>0</v>
      </c>
      <c r="T608" t="str">
        <f t="shared" si="89"/>
        <v>Mar-26</v>
      </c>
    </row>
    <row r="609" spans="1:20">
      <c r="A609" t="s">
        <v>1052</v>
      </c>
      <c r="B609" t="s">
        <v>35</v>
      </c>
      <c r="C609" t="s">
        <v>23</v>
      </c>
      <c r="D609">
        <v>974</v>
      </c>
      <c r="E609" s="4">
        <v>46127</v>
      </c>
      <c r="F609" s="4">
        <v>46133</v>
      </c>
      <c r="G609" s="4">
        <v>46137</v>
      </c>
      <c r="H609">
        <v>981</v>
      </c>
      <c r="I609" t="s">
        <v>824</v>
      </c>
      <c r="J609">
        <v>12</v>
      </c>
      <c r="K609" t="s">
        <v>1563</v>
      </c>
      <c r="L609" t="str">
        <f t="shared" si="81"/>
        <v>N</v>
      </c>
      <c r="M609" t="str">
        <f t="shared" si="82"/>
        <v>Y</v>
      </c>
      <c r="N609" t="str">
        <f t="shared" si="83"/>
        <v>N</v>
      </c>
      <c r="O609">
        <f t="shared" si="84"/>
        <v>10</v>
      </c>
      <c r="P609" s="6">
        <f t="shared" si="85"/>
        <v>1.0071868583162218</v>
      </c>
      <c r="Q609" s="6">
        <f t="shared" si="86"/>
        <v>1.2232415902140673E-2</v>
      </c>
      <c r="R609">
        <f t="shared" si="87"/>
        <v>0</v>
      </c>
      <c r="S609">
        <f t="shared" si="88"/>
        <v>4</v>
      </c>
      <c r="T609" t="str">
        <f t="shared" si="89"/>
        <v>Apr-26</v>
      </c>
    </row>
    <row r="610" spans="1:20">
      <c r="A610" t="s">
        <v>1053</v>
      </c>
      <c r="B610" t="s">
        <v>35</v>
      </c>
      <c r="C610" t="s">
        <v>12</v>
      </c>
      <c r="D610">
        <v>318</v>
      </c>
      <c r="E610" s="4">
        <v>46096</v>
      </c>
      <c r="F610" s="4">
        <v>46104</v>
      </c>
      <c r="G610" s="4">
        <v>46104</v>
      </c>
      <c r="H610">
        <v>322</v>
      </c>
      <c r="I610" t="s">
        <v>354</v>
      </c>
      <c r="J610">
        <v>8</v>
      </c>
      <c r="K610" t="s">
        <v>1563</v>
      </c>
      <c r="L610" t="str">
        <f t="shared" si="81"/>
        <v>Y</v>
      </c>
      <c r="M610" t="str">
        <f t="shared" si="82"/>
        <v>Y</v>
      </c>
      <c r="N610" t="str">
        <f t="shared" si="83"/>
        <v>Y</v>
      </c>
      <c r="O610">
        <f t="shared" si="84"/>
        <v>8</v>
      </c>
      <c r="P610" s="6">
        <f t="shared" si="85"/>
        <v>1.0125786163522013</v>
      </c>
      <c r="Q610" s="6">
        <f t="shared" si="86"/>
        <v>2.4844720496894408E-2</v>
      </c>
      <c r="R610">
        <f t="shared" si="87"/>
        <v>1</v>
      </c>
      <c r="S610">
        <f t="shared" si="88"/>
        <v>0</v>
      </c>
      <c r="T610" t="str">
        <f t="shared" si="89"/>
        <v>Mar-26</v>
      </c>
    </row>
    <row r="611" spans="1:20">
      <c r="A611" t="s">
        <v>1054</v>
      </c>
      <c r="B611" t="s">
        <v>81</v>
      </c>
      <c r="C611" t="s">
        <v>16</v>
      </c>
      <c r="D611">
        <v>148</v>
      </c>
      <c r="E611" s="4">
        <v>46069</v>
      </c>
      <c r="F611" s="4">
        <v>46084</v>
      </c>
      <c r="G611" s="4">
        <v>46082</v>
      </c>
      <c r="H611">
        <v>148</v>
      </c>
      <c r="I611" t="s">
        <v>244</v>
      </c>
      <c r="J611">
        <v>1</v>
      </c>
      <c r="K611" t="s">
        <v>1563</v>
      </c>
      <c r="L611" t="str">
        <f t="shared" si="81"/>
        <v>Y</v>
      </c>
      <c r="M611" t="str">
        <f t="shared" si="82"/>
        <v>Y</v>
      </c>
      <c r="N611" t="str">
        <f t="shared" si="83"/>
        <v>Y</v>
      </c>
      <c r="O611">
        <f t="shared" si="84"/>
        <v>13</v>
      </c>
      <c r="P611" s="6">
        <f t="shared" si="85"/>
        <v>1</v>
      </c>
      <c r="Q611" s="6">
        <f t="shared" si="86"/>
        <v>6.7567567567567571E-3</v>
      </c>
      <c r="R611">
        <f t="shared" si="87"/>
        <v>1</v>
      </c>
      <c r="S611">
        <f t="shared" si="88"/>
        <v>0</v>
      </c>
      <c r="T611" t="str">
        <f t="shared" si="89"/>
        <v>Mar-26</v>
      </c>
    </row>
    <row r="612" spans="1:20">
      <c r="A612" t="s">
        <v>1055</v>
      </c>
      <c r="B612" t="s">
        <v>32</v>
      </c>
      <c r="C612" t="s">
        <v>12</v>
      </c>
      <c r="D612">
        <v>639</v>
      </c>
      <c r="E612" s="4">
        <v>46152</v>
      </c>
      <c r="F612" s="4">
        <v>46162</v>
      </c>
      <c r="G612" s="4">
        <v>46167</v>
      </c>
      <c r="H612">
        <v>639</v>
      </c>
      <c r="I612" t="s">
        <v>152</v>
      </c>
      <c r="J612">
        <v>32</v>
      </c>
      <c r="K612" t="s">
        <v>1563</v>
      </c>
      <c r="L612" t="str">
        <f t="shared" si="81"/>
        <v>N</v>
      </c>
      <c r="M612" t="str">
        <f t="shared" si="82"/>
        <v>Y</v>
      </c>
      <c r="N612" t="str">
        <f t="shared" si="83"/>
        <v>N</v>
      </c>
      <c r="O612">
        <f t="shared" si="84"/>
        <v>15</v>
      </c>
      <c r="P612" s="6">
        <f t="shared" si="85"/>
        <v>1</v>
      </c>
      <c r="Q612" s="6">
        <f t="shared" si="86"/>
        <v>5.0078247261345854E-2</v>
      </c>
      <c r="R612">
        <f t="shared" si="87"/>
        <v>0</v>
      </c>
      <c r="S612">
        <f t="shared" si="88"/>
        <v>5</v>
      </c>
      <c r="T612" t="str">
        <f t="shared" si="89"/>
        <v>May-26</v>
      </c>
    </row>
    <row r="613" spans="1:20">
      <c r="A613" t="s">
        <v>1056</v>
      </c>
      <c r="B613" t="s">
        <v>49</v>
      </c>
      <c r="C613" t="s">
        <v>16</v>
      </c>
      <c r="D613">
        <v>459</v>
      </c>
      <c r="E613" s="4">
        <v>46144</v>
      </c>
      <c r="F613" s="4">
        <v>46152</v>
      </c>
      <c r="G613" s="4">
        <v>46151</v>
      </c>
      <c r="H613">
        <v>453</v>
      </c>
      <c r="I613" t="s">
        <v>383</v>
      </c>
      <c r="J613">
        <v>5</v>
      </c>
      <c r="K613" t="s">
        <v>1563</v>
      </c>
      <c r="L613" t="str">
        <f t="shared" si="81"/>
        <v>Y</v>
      </c>
      <c r="M613" t="str">
        <f t="shared" si="82"/>
        <v>Y</v>
      </c>
      <c r="N613" t="str">
        <f t="shared" si="83"/>
        <v>Y</v>
      </c>
      <c r="O613">
        <f t="shared" si="84"/>
        <v>7</v>
      </c>
      <c r="P613" s="6">
        <f t="shared" si="85"/>
        <v>0.98692810457516345</v>
      </c>
      <c r="Q613" s="6">
        <f t="shared" si="86"/>
        <v>1.1037527593818985E-2</v>
      </c>
      <c r="R613">
        <f t="shared" si="87"/>
        <v>1</v>
      </c>
      <c r="S613">
        <f t="shared" si="88"/>
        <v>0</v>
      </c>
      <c r="T613" t="str">
        <f t="shared" si="89"/>
        <v>May-26</v>
      </c>
    </row>
    <row r="614" spans="1:20">
      <c r="A614" t="s">
        <v>1057</v>
      </c>
      <c r="B614" t="s">
        <v>52</v>
      </c>
      <c r="C614" t="s">
        <v>12</v>
      </c>
      <c r="D614">
        <v>526</v>
      </c>
      <c r="E614" s="4">
        <v>46118</v>
      </c>
      <c r="F614" s="4">
        <v>46129</v>
      </c>
      <c r="G614" s="4">
        <v>46129</v>
      </c>
      <c r="H614">
        <v>534</v>
      </c>
      <c r="I614" t="s">
        <v>1058</v>
      </c>
      <c r="J614">
        <v>6</v>
      </c>
      <c r="K614" t="s">
        <v>1563</v>
      </c>
      <c r="L614" t="str">
        <f t="shared" si="81"/>
        <v>Y</v>
      </c>
      <c r="M614" t="str">
        <f t="shared" si="82"/>
        <v>Y</v>
      </c>
      <c r="N614" t="str">
        <f t="shared" si="83"/>
        <v>Y</v>
      </c>
      <c r="O614">
        <f t="shared" si="84"/>
        <v>11</v>
      </c>
      <c r="P614" s="6">
        <f t="shared" si="85"/>
        <v>1.0152091254752851</v>
      </c>
      <c r="Q614" s="6">
        <f t="shared" si="86"/>
        <v>1.1235955056179775E-2</v>
      </c>
      <c r="R614">
        <f t="shared" si="87"/>
        <v>1</v>
      </c>
      <c r="S614">
        <f t="shared" si="88"/>
        <v>0</v>
      </c>
      <c r="T614" t="str">
        <f t="shared" si="89"/>
        <v>Apr-26</v>
      </c>
    </row>
    <row r="615" spans="1:20">
      <c r="A615" t="s">
        <v>1059</v>
      </c>
      <c r="B615" t="s">
        <v>19</v>
      </c>
      <c r="C615" t="s">
        <v>23</v>
      </c>
      <c r="D615">
        <v>267</v>
      </c>
      <c r="E615" s="4">
        <v>46027</v>
      </c>
      <c r="F615" s="4">
        <v>46036</v>
      </c>
      <c r="G615" s="4">
        <v>46033</v>
      </c>
      <c r="H615">
        <v>269</v>
      </c>
      <c r="I615" t="s">
        <v>824</v>
      </c>
      <c r="J615">
        <v>3</v>
      </c>
      <c r="K615" t="s">
        <v>1563</v>
      </c>
      <c r="L615" t="str">
        <f t="shared" si="81"/>
        <v>Y</v>
      </c>
      <c r="M615" t="str">
        <f t="shared" si="82"/>
        <v>Y</v>
      </c>
      <c r="N615" t="str">
        <f t="shared" si="83"/>
        <v>Y</v>
      </c>
      <c r="O615">
        <f t="shared" si="84"/>
        <v>6</v>
      </c>
      <c r="P615" s="6">
        <f t="shared" si="85"/>
        <v>1.0074906367041199</v>
      </c>
      <c r="Q615" s="6">
        <f t="shared" si="86"/>
        <v>1.1152416356877323E-2</v>
      </c>
      <c r="R615">
        <f t="shared" si="87"/>
        <v>1</v>
      </c>
      <c r="S615">
        <f t="shared" si="88"/>
        <v>0</v>
      </c>
      <c r="T615" t="str">
        <f t="shared" si="89"/>
        <v>Jan-26</v>
      </c>
    </row>
    <row r="616" spans="1:20">
      <c r="A616" t="s">
        <v>1060</v>
      </c>
      <c r="B616" t="s">
        <v>22</v>
      </c>
      <c r="C616" t="s">
        <v>16</v>
      </c>
      <c r="D616">
        <v>290</v>
      </c>
      <c r="E616" s="4">
        <v>46102</v>
      </c>
      <c r="F616" s="4">
        <v>46112</v>
      </c>
      <c r="G616" s="4">
        <v>46109</v>
      </c>
      <c r="H616">
        <v>289</v>
      </c>
      <c r="I616" t="s">
        <v>1061</v>
      </c>
      <c r="J616">
        <v>9</v>
      </c>
      <c r="K616" t="s">
        <v>1563</v>
      </c>
      <c r="L616" t="str">
        <f t="shared" si="81"/>
        <v>Y</v>
      </c>
      <c r="M616" t="str">
        <f t="shared" si="82"/>
        <v>Y</v>
      </c>
      <c r="N616" t="str">
        <f t="shared" si="83"/>
        <v>Y</v>
      </c>
      <c r="O616">
        <f t="shared" si="84"/>
        <v>7</v>
      </c>
      <c r="P616" s="6">
        <f t="shared" si="85"/>
        <v>0.99655172413793103</v>
      </c>
      <c r="Q616" s="6">
        <f t="shared" si="86"/>
        <v>3.1141868512110725E-2</v>
      </c>
      <c r="R616">
        <f t="shared" si="87"/>
        <v>1</v>
      </c>
      <c r="S616">
        <f t="shared" si="88"/>
        <v>0</v>
      </c>
      <c r="T616" t="str">
        <f t="shared" si="89"/>
        <v>Mar-26</v>
      </c>
    </row>
    <row r="617" spans="1:20">
      <c r="A617" t="s">
        <v>1062</v>
      </c>
      <c r="B617" t="s">
        <v>11</v>
      </c>
      <c r="C617" t="s">
        <v>16</v>
      </c>
      <c r="D617">
        <v>281</v>
      </c>
      <c r="E617" s="4">
        <v>46057</v>
      </c>
      <c r="F617" s="4">
        <v>46071</v>
      </c>
      <c r="G617" s="4">
        <v>46073</v>
      </c>
      <c r="H617">
        <v>282</v>
      </c>
      <c r="I617" t="s">
        <v>1063</v>
      </c>
      <c r="J617">
        <v>12</v>
      </c>
      <c r="K617" t="s">
        <v>1563</v>
      </c>
      <c r="L617" t="str">
        <f t="shared" si="81"/>
        <v>N</v>
      </c>
      <c r="M617" t="str">
        <f t="shared" si="82"/>
        <v>Y</v>
      </c>
      <c r="N617" t="str">
        <f t="shared" si="83"/>
        <v>N</v>
      </c>
      <c r="O617">
        <f t="shared" si="84"/>
        <v>16</v>
      </c>
      <c r="P617" s="6">
        <f t="shared" si="85"/>
        <v>1.0035587188612101</v>
      </c>
      <c r="Q617" s="6">
        <f t="shared" si="86"/>
        <v>4.2553191489361701E-2</v>
      </c>
      <c r="R617">
        <f t="shared" si="87"/>
        <v>0</v>
      </c>
      <c r="S617">
        <f t="shared" si="88"/>
        <v>2</v>
      </c>
      <c r="T617" t="str">
        <f t="shared" si="89"/>
        <v>Feb-26</v>
      </c>
    </row>
    <row r="618" spans="1:20">
      <c r="A618" t="s">
        <v>1064</v>
      </c>
      <c r="B618" t="s">
        <v>52</v>
      </c>
      <c r="C618" t="s">
        <v>12</v>
      </c>
      <c r="D618">
        <v>885</v>
      </c>
      <c r="E618" s="4">
        <v>46116</v>
      </c>
      <c r="F618" s="4">
        <v>46131</v>
      </c>
      <c r="G618" s="4">
        <v>46129</v>
      </c>
      <c r="H618">
        <v>900</v>
      </c>
      <c r="I618" t="s">
        <v>376</v>
      </c>
      <c r="J618">
        <v>15</v>
      </c>
      <c r="K618" t="s">
        <v>1563</v>
      </c>
      <c r="L618" t="str">
        <f t="shared" si="81"/>
        <v>Y</v>
      </c>
      <c r="M618" t="str">
        <f t="shared" si="82"/>
        <v>Y</v>
      </c>
      <c r="N618" t="str">
        <f t="shared" si="83"/>
        <v>Y</v>
      </c>
      <c r="O618">
        <f t="shared" si="84"/>
        <v>13</v>
      </c>
      <c r="P618" s="6">
        <f t="shared" si="85"/>
        <v>1.0169491525423728</v>
      </c>
      <c r="Q618" s="6">
        <f t="shared" si="86"/>
        <v>1.6666666666666666E-2</v>
      </c>
      <c r="R618">
        <f t="shared" si="87"/>
        <v>1</v>
      </c>
      <c r="S618">
        <f t="shared" si="88"/>
        <v>0</v>
      </c>
      <c r="T618" t="str">
        <f t="shared" si="89"/>
        <v>Apr-26</v>
      </c>
    </row>
    <row r="619" spans="1:20">
      <c r="A619" t="s">
        <v>1065</v>
      </c>
      <c r="B619" t="s">
        <v>52</v>
      </c>
      <c r="C619" t="s">
        <v>12</v>
      </c>
      <c r="D619">
        <v>583</v>
      </c>
      <c r="E619" s="4">
        <v>46045</v>
      </c>
      <c r="F619" s="4">
        <v>46052</v>
      </c>
      <c r="G619" s="4">
        <v>46056</v>
      </c>
      <c r="H619">
        <v>572</v>
      </c>
      <c r="I619" t="s">
        <v>600</v>
      </c>
      <c r="J619">
        <v>9</v>
      </c>
      <c r="K619" t="s">
        <v>1563</v>
      </c>
      <c r="L619" t="str">
        <f t="shared" si="81"/>
        <v>N</v>
      </c>
      <c r="M619" t="str">
        <f t="shared" si="82"/>
        <v>Y</v>
      </c>
      <c r="N619" t="str">
        <f t="shared" si="83"/>
        <v>N</v>
      </c>
      <c r="O619">
        <f t="shared" si="84"/>
        <v>11</v>
      </c>
      <c r="P619" s="6">
        <f t="shared" si="85"/>
        <v>0.98113207547169812</v>
      </c>
      <c r="Q619" s="6">
        <f t="shared" si="86"/>
        <v>1.5734265734265736E-2</v>
      </c>
      <c r="R619">
        <f t="shared" si="87"/>
        <v>0</v>
      </c>
      <c r="S619">
        <f t="shared" si="88"/>
        <v>4</v>
      </c>
      <c r="T619" t="str">
        <f t="shared" si="89"/>
        <v>Feb-26</v>
      </c>
    </row>
    <row r="620" spans="1:20">
      <c r="A620" t="s">
        <v>1066</v>
      </c>
      <c r="B620" t="s">
        <v>52</v>
      </c>
      <c r="C620" t="s">
        <v>16</v>
      </c>
      <c r="D620">
        <v>939</v>
      </c>
      <c r="E620" s="4">
        <v>46098</v>
      </c>
      <c r="F620" s="4">
        <v>46104</v>
      </c>
      <c r="G620" s="4">
        <v>46102</v>
      </c>
      <c r="H620">
        <v>938</v>
      </c>
      <c r="I620" t="s">
        <v>1067</v>
      </c>
      <c r="J620">
        <v>17</v>
      </c>
      <c r="K620" t="s">
        <v>1563</v>
      </c>
      <c r="L620" t="str">
        <f t="shared" si="81"/>
        <v>Y</v>
      </c>
      <c r="M620" t="str">
        <f t="shared" si="82"/>
        <v>Y</v>
      </c>
      <c r="N620" t="str">
        <f t="shared" si="83"/>
        <v>Y</v>
      </c>
      <c r="O620">
        <f t="shared" si="84"/>
        <v>4</v>
      </c>
      <c r="P620" s="6">
        <f t="shared" si="85"/>
        <v>0.99893503727369537</v>
      </c>
      <c r="Q620" s="6">
        <f t="shared" si="86"/>
        <v>1.8123667377398719E-2</v>
      </c>
      <c r="R620">
        <f t="shared" si="87"/>
        <v>1</v>
      </c>
      <c r="S620">
        <f t="shared" si="88"/>
        <v>0</v>
      </c>
      <c r="T620" t="str">
        <f t="shared" si="89"/>
        <v>Mar-26</v>
      </c>
    </row>
    <row r="621" spans="1:20">
      <c r="A621" t="s">
        <v>1068</v>
      </c>
      <c r="B621" t="s">
        <v>177</v>
      </c>
      <c r="C621" t="s">
        <v>12</v>
      </c>
      <c r="D621">
        <v>423</v>
      </c>
      <c r="E621" s="4">
        <v>46075</v>
      </c>
      <c r="F621" s="4">
        <v>46088</v>
      </c>
      <c r="G621" s="4">
        <v>46093</v>
      </c>
      <c r="H621">
        <v>416</v>
      </c>
      <c r="I621" t="s">
        <v>75</v>
      </c>
      <c r="J621">
        <v>9</v>
      </c>
      <c r="K621" t="s">
        <v>1563</v>
      </c>
      <c r="L621" t="str">
        <f t="shared" si="81"/>
        <v>N</v>
      </c>
      <c r="M621" t="str">
        <f t="shared" si="82"/>
        <v>Y</v>
      </c>
      <c r="N621" t="str">
        <f t="shared" si="83"/>
        <v>N</v>
      </c>
      <c r="O621">
        <f t="shared" si="84"/>
        <v>18</v>
      </c>
      <c r="P621" s="6">
        <f t="shared" si="85"/>
        <v>0.98345153664302598</v>
      </c>
      <c r="Q621" s="6">
        <f t="shared" si="86"/>
        <v>2.1634615384615384E-2</v>
      </c>
      <c r="R621">
        <f t="shared" si="87"/>
        <v>0</v>
      </c>
      <c r="S621">
        <f t="shared" si="88"/>
        <v>5</v>
      </c>
      <c r="T621" t="str">
        <f t="shared" si="89"/>
        <v>Mar-26</v>
      </c>
    </row>
    <row r="622" spans="1:20">
      <c r="A622" t="s">
        <v>1069</v>
      </c>
      <c r="B622" t="s">
        <v>64</v>
      </c>
      <c r="C622" t="s">
        <v>16</v>
      </c>
      <c r="D622">
        <v>239</v>
      </c>
      <c r="E622" s="4">
        <v>46144</v>
      </c>
      <c r="F622" s="4">
        <v>46153</v>
      </c>
      <c r="G622" s="4">
        <v>46153</v>
      </c>
      <c r="H622">
        <v>236</v>
      </c>
      <c r="I622" t="s">
        <v>1070</v>
      </c>
      <c r="J622">
        <v>1</v>
      </c>
      <c r="K622" t="s">
        <v>1563</v>
      </c>
      <c r="L622" t="str">
        <f t="shared" si="81"/>
        <v>Y</v>
      </c>
      <c r="M622" t="str">
        <f t="shared" si="82"/>
        <v>Y</v>
      </c>
      <c r="N622" t="str">
        <f t="shared" si="83"/>
        <v>Y</v>
      </c>
      <c r="O622">
        <f t="shared" si="84"/>
        <v>9</v>
      </c>
      <c r="P622" s="6">
        <f t="shared" si="85"/>
        <v>0.9874476987447699</v>
      </c>
      <c r="Q622" s="6">
        <f t="shared" si="86"/>
        <v>4.2372881355932203E-3</v>
      </c>
      <c r="R622">
        <f t="shared" si="87"/>
        <v>1</v>
      </c>
      <c r="S622">
        <f t="shared" si="88"/>
        <v>0</v>
      </c>
      <c r="T622" t="str">
        <f t="shared" si="89"/>
        <v>May-26</v>
      </c>
    </row>
    <row r="623" spans="1:20">
      <c r="A623" t="s">
        <v>1071</v>
      </c>
      <c r="B623" t="s">
        <v>54</v>
      </c>
      <c r="C623" t="s">
        <v>12</v>
      </c>
      <c r="D623">
        <v>872</v>
      </c>
      <c r="E623" s="4">
        <v>46036</v>
      </c>
      <c r="F623" s="4">
        <v>46049</v>
      </c>
      <c r="G623" s="4">
        <v>46046</v>
      </c>
      <c r="H623">
        <v>872</v>
      </c>
      <c r="I623" t="s">
        <v>1072</v>
      </c>
      <c r="J623">
        <v>13</v>
      </c>
      <c r="K623" t="s">
        <v>1563</v>
      </c>
      <c r="L623" t="str">
        <f t="shared" si="81"/>
        <v>Y</v>
      </c>
      <c r="M623" t="str">
        <f t="shared" si="82"/>
        <v>Y</v>
      </c>
      <c r="N623" t="str">
        <f t="shared" si="83"/>
        <v>Y</v>
      </c>
      <c r="O623">
        <f t="shared" si="84"/>
        <v>10</v>
      </c>
      <c r="P623" s="6">
        <f t="shared" si="85"/>
        <v>1</v>
      </c>
      <c r="Q623" s="6">
        <f t="shared" si="86"/>
        <v>1.4908256880733946E-2</v>
      </c>
      <c r="R623">
        <f t="shared" si="87"/>
        <v>1</v>
      </c>
      <c r="S623">
        <f t="shared" si="88"/>
        <v>0</v>
      </c>
      <c r="T623" t="str">
        <f t="shared" si="89"/>
        <v>Jan-26</v>
      </c>
    </row>
    <row r="624" spans="1:20">
      <c r="A624" t="s">
        <v>1073</v>
      </c>
      <c r="B624" t="s">
        <v>81</v>
      </c>
      <c r="C624" t="s">
        <v>23</v>
      </c>
      <c r="D624">
        <v>241</v>
      </c>
      <c r="E624" s="4">
        <v>46104</v>
      </c>
      <c r="F624" s="4">
        <v>46110</v>
      </c>
      <c r="G624" s="4">
        <v>46110</v>
      </c>
      <c r="H624">
        <v>238</v>
      </c>
      <c r="I624" t="s">
        <v>552</v>
      </c>
      <c r="J624">
        <v>1</v>
      </c>
      <c r="K624" t="s">
        <v>1563</v>
      </c>
      <c r="L624" t="str">
        <f t="shared" si="81"/>
        <v>Y</v>
      </c>
      <c r="M624" t="str">
        <f t="shared" si="82"/>
        <v>Y</v>
      </c>
      <c r="N624" t="str">
        <f t="shared" si="83"/>
        <v>Y</v>
      </c>
      <c r="O624">
        <f t="shared" si="84"/>
        <v>6</v>
      </c>
      <c r="P624" s="6">
        <f t="shared" si="85"/>
        <v>0.98755186721991706</v>
      </c>
      <c r="Q624" s="6">
        <f t="shared" si="86"/>
        <v>4.2016806722689074E-3</v>
      </c>
      <c r="R624">
        <f t="shared" si="87"/>
        <v>1</v>
      </c>
      <c r="S624">
        <f t="shared" si="88"/>
        <v>0</v>
      </c>
      <c r="T624" t="str">
        <f t="shared" si="89"/>
        <v>Mar-26</v>
      </c>
    </row>
    <row r="625" spans="1:20">
      <c r="A625" t="s">
        <v>1074</v>
      </c>
      <c r="B625" t="s">
        <v>46</v>
      </c>
      <c r="C625" t="s">
        <v>16</v>
      </c>
      <c r="D625">
        <v>973</v>
      </c>
      <c r="E625" s="4">
        <v>46052</v>
      </c>
      <c r="F625" s="4">
        <v>46059</v>
      </c>
      <c r="G625" s="4"/>
      <c r="I625" t="s">
        <v>452</v>
      </c>
      <c r="K625" t="s">
        <v>1565</v>
      </c>
      <c r="L625" t="str">
        <f t="shared" si="81"/>
        <v>N/A</v>
      </c>
      <c r="M625" t="str">
        <f t="shared" si="82"/>
        <v>N/A</v>
      </c>
      <c r="N625" t="str">
        <f t="shared" si="83"/>
        <v>N/A</v>
      </c>
      <c r="O625" t="str">
        <f t="shared" si="84"/>
        <v>N/A</v>
      </c>
      <c r="P625" s="6" t="str">
        <f t="shared" si="85"/>
        <v>N/A</v>
      </c>
      <c r="Q625" s="6" t="str">
        <f t="shared" si="86"/>
        <v>N/A</v>
      </c>
      <c r="R625" t="str">
        <f t="shared" si="87"/>
        <v/>
      </c>
      <c r="S625" t="str">
        <f t="shared" si="88"/>
        <v>N/A</v>
      </c>
      <c r="T625" t="str">
        <f t="shared" si="89"/>
        <v>N/A</v>
      </c>
    </row>
    <row r="626" spans="1:20">
      <c r="A626" t="s">
        <v>1075</v>
      </c>
      <c r="B626" t="s">
        <v>11</v>
      </c>
      <c r="C626" t="s">
        <v>16</v>
      </c>
      <c r="D626">
        <v>278</v>
      </c>
      <c r="E626" s="4">
        <v>46076</v>
      </c>
      <c r="F626" s="4">
        <v>46084</v>
      </c>
      <c r="G626" s="4">
        <v>46084</v>
      </c>
      <c r="H626">
        <v>283</v>
      </c>
      <c r="I626" t="s">
        <v>1076</v>
      </c>
      <c r="J626">
        <v>12</v>
      </c>
      <c r="K626" t="s">
        <v>1563</v>
      </c>
      <c r="L626" t="str">
        <f t="shared" si="81"/>
        <v>Y</v>
      </c>
      <c r="M626" t="str">
        <f t="shared" si="82"/>
        <v>Y</v>
      </c>
      <c r="N626" t="str">
        <f t="shared" si="83"/>
        <v>Y</v>
      </c>
      <c r="O626">
        <f t="shared" si="84"/>
        <v>8</v>
      </c>
      <c r="P626" s="6">
        <f t="shared" si="85"/>
        <v>1.0179856115107915</v>
      </c>
      <c r="Q626" s="6">
        <f t="shared" si="86"/>
        <v>4.2402826855123678E-2</v>
      </c>
      <c r="R626">
        <f t="shared" si="87"/>
        <v>1</v>
      </c>
      <c r="S626">
        <f t="shared" si="88"/>
        <v>0</v>
      </c>
      <c r="T626" t="str">
        <f t="shared" si="89"/>
        <v>Mar-26</v>
      </c>
    </row>
    <row r="627" spans="1:20">
      <c r="A627" t="s">
        <v>1077</v>
      </c>
      <c r="B627" t="s">
        <v>19</v>
      </c>
      <c r="C627" t="s">
        <v>16</v>
      </c>
      <c r="D627">
        <v>773</v>
      </c>
      <c r="E627" s="4">
        <v>46139</v>
      </c>
      <c r="F627" s="4">
        <v>46144</v>
      </c>
      <c r="G627" s="4">
        <v>46142</v>
      </c>
      <c r="H627">
        <v>772</v>
      </c>
      <c r="I627" t="s">
        <v>266</v>
      </c>
      <c r="J627">
        <v>28</v>
      </c>
      <c r="K627" t="s">
        <v>1563</v>
      </c>
      <c r="L627" t="str">
        <f t="shared" si="81"/>
        <v>Y</v>
      </c>
      <c r="M627" t="str">
        <f t="shared" si="82"/>
        <v>Y</v>
      </c>
      <c r="N627" t="str">
        <f t="shared" si="83"/>
        <v>Y</v>
      </c>
      <c r="O627">
        <f t="shared" si="84"/>
        <v>3</v>
      </c>
      <c r="P627" s="6">
        <f t="shared" si="85"/>
        <v>0.99870633893919791</v>
      </c>
      <c r="Q627" s="6">
        <f t="shared" si="86"/>
        <v>3.6269430051813469E-2</v>
      </c>
      <c r="R627">
        <f t="shared" si="87"/>
        <v>1</v>
      </c>
      <c r="S627">
        <f t="shared" si="88"/>
        <v>0</v>
      </c>
      <c r="T627" t="str">
        <f t="shared" si="89"/>
        <v>Apr-26</v>
      </c>
    </row>
    <row r="628" spans="1:20">
      <c r="A628" t="s">
        <v>1078</v>
      </c>
      <c r="B628" t="s">
        <v>11</v>
      </c>
      <c r="C628" t="s">
        <v>16</v>
      </c>
      <c r="D628">
        <v>121</v>
      </c>
      <c r="E628" s="4">
        <v>46068</v>
      </c>
      <c r="F628" s="4">
        <v>46079</v>
      </c>
      <c r="G628" s="4">
        <v>46078</v>
      </c>
      <c r="H628">
        <v>120</v>
      </c>
      <c r="I628" t="s">
        <v>50</v>
      </c>
      <c r="J628">
        <v>4</v>
      </c>
      <c r="K628" t="s">
        <v>1563</v>
      </c>
      <c r="L628" t="str">
        <f t="shared" si="81"/>
        <v>Y</v>
      </c>
      <c r="M628" t="str">
        <f t="shared" si="82"/>
        <v>Y</v>
      </c>
      <c r="N628" t="str">
        <f t="shared" si="83"/>
        <v>Y</v>
      </c>
      <c r="O628">
        <f t="shared" si="84"/>
        <v>10</v>
      </c>
      <c r="P628" s="6">
        <f t="shared" si="85"/>
        <v>0.99173553719008267</v>
      </c>
      <c r="Q628" s="6">
        <f t="shared" si="86"/>
        <v>3.3333333333333333E-2</v>
      </c>
      <c r="R628">
        <f t="shared" si="87"/>
        <v>1</v>
      </c>
      <c r="S628">
        <f t="shared" si="88"/>
        <v>0</v>
      </c>
      <c r="T628" t="str">
        <f t="shared" si="89"/>
        <v>Feb-26</v>
      </c>
    </row>
    <row r="629" spans="1:20">
      <c r="A629" t="s">
        <v>1079</v>
      </c>
      <c r="B629" t="s">
        <v>64</v>
      </c>
      <c r="C629" t="s">
        <v>16</v>
      </c>
      <c r="D629">
        <v>108</v>
      </c>
      <c r="E629" s="4">
        <v>46151</v>
      </c>
      <c r="F629" s="4">
        <v>46162</v>
      </c>
      <c r="G629" s="4">
        <v>46168</v>
      </c>
      <c r="H629">
        <v>101</v>
      </c>
      <c r="I629" t="s">
        <v>944</v>
      </c>
      <c r="J629">
        <v>2</v>
      </c>
      <c r="K629" t="s">
        <v>1563</v>
      </c>
      <c r="L629" t="str">
        <f t="shared" si="81"/>
        <v>N</v>
      </c>
      <c r="M629" t="str">
        <f t="shared" si="82"/>
        <v>N</v>
      </c>
      <c r="N629" t="str">
        <f t="shared" si="83"/>
        <v>N</v>
      </c>
      <c r="O629">
        <f t="shared" si="84"/>
        <v>17</v>
      </c>
      <c r="P629" s="6">
        <f t="shared" si="85"/>
        <v>0.93518518518518523</v>
      </c>
      <c r="Q629" s="6">
        <f t="shared" si="86"/>
        <v>1.9801980198019802E-2</v>
      </c>
      <c r="R629">
        <f t="shared" si="87"/>
        <v>0</v>
      </c>
      <c r="S629">
        <f t="shared" si="88"/>
        <v>6</v>
      </c>
      <c r="T629" t="str">
        <f t="shared" si="89"/>
        <v>May-26</v>
      </c>
    </row>
    <row r="630" spans="1:20">
      <c r="A630" t="s">
        <v>1080</v>
      </c>
      <c r="B630" t="s">
        <v>70</v>
      </c>
      <c r="C630" t="s">
        <v>16</v>
      </c>
      <c r="D630">
        <v>870</v>
      </c>
      <c r="E630" s="4">
        <v>46113</v>
      </c>
      <c r="F630" s="4">
        <v>46123</v>
      </c>
      <c r="G630" s="4">
        <v>46127</v>
      </c>
      <c r="H630">
        <v>856</v>
      </c>
      <c r="I630" t="s">
        <v>432</v>
      </c>
      <c r="J630">
        <v>5</v>
      </c>
      <c r="K630" t="s">
        <v>1563</v>
      </c>
      <c r="L630" t="str">
        <f t="shared" si="81"/>
        <v>N</v>
      </c>
      <c r="M630" t="str">
        <f t="shared" si="82"/>
        <v>Y</v>
      </c>
      <c r="N630" t="str">
        <f t="shared" si="83"/>
        <v>N</v>
      </c>
      <c r="O630">
        <f t="shared" si="84"/>
        <v>14</v>
      </c>
      <c r="P630" s="6">
        <f t="shared" si="85"/>
        <v>0.98390804597701154</v>
      </c>
      <c r="Q630" s="6">
        <f t="shared" si="86"/>
        <v>5.8411214953271026E-3</v>
      </c>
      <c r="R630">
        <f t="shared" si="87"/>
        <v>0</v>
      </c>
      <c r="S630">
        <f t="shared" si="88"/>
        <v>4</v>
      </c>
      <c r="T630" t="str">
        <f t="shared" si="89"/>
        <v>Apr-26</v>
      </c>
    </row>
    <row r="631" spans="1:20">
      <c r="A631" t="s">
        <v>1081</v>
      </c>
      <c r="B631" t="s">
        <v>177</v>
      </c>
      <c r="C631" t="s">
        <v>12</v>
      </c>
      <c r="D631">
        <v>612</v>
      </c>
      <c r="E631" s="4">
        <v>46089</v>
      </c>
      <c r="F631" s="4">
        <v>46100</v>
      </c>
      <c r="G631" s="4">
        <v>46098</v>
      </c>
      <c r="H631">
        <v>621</v>
      </c>
      <c r="I631" t="s">
        <v>547</v>
      </c>
      <c r="J631">
        <v>14</v>
      </c>
      <c r="K631" t="s">
        <v>1563</v>
      </c>
      <c r="L631" t="str">
        <f t="shared" si="81"/>
        <v>Y</v>
      </c>
      <c r="M631" t="str">
        <f t="shared" si="82"/>
        <v>Y</v>
      </c>
      <c r="N631" t="str">
        <f t="shared" si="83"/>
        <v>Y</v>
      </c>
      <c r="O631">
        <f t="shared" si="84"/>
        <v>9</v>
      </c>
      <c r="P631" s="6">
        <f t="shared" si="85"/>
        <v>1.0147058823529411</v>
      </c>
      <c r="Q631" s="6">
        <f t="shared" si="86"/>
        <v>2.2544283413848631E-2</v>
      </c>
      <c r="R631">
        <f t="shared" si="87"/>
        <v>1</v>
      </c>
      <c r="S631">
        <f t="shared" si="88"/>
        <v>0</v>
      </c>
      <c r="T631" t="str">
        <f t="shared" si="89"/>
        <v>Mar-26</v>
      </c>
    </row>
    <row r="632" spans="1:20">
      <c r="A632" t="s">
        <v>1082</v>
      </c>
      <c r="B632" t="s">
        <v>26</v>
      </c>
      <c r="C632" t="s">
        <v>16</v>
      </c>
      <c r="D632">
        <v>428</v>
      </c>
      <c r="E632" s="4">
        <v>46140</v>
      </c>
      <c r="F632" s="4">
        <v>46150</v>
      </c>
      <c r="G632" s="4">
        <v>46153</v>
      </c>
      <c r="H632">
        <v>422</v>
      </c>
      <c r="I632" t="s">
        <v>92</v>
      </c>
      <c r="J632">
        <v>4</v>
      </c>
      <c r="K632" t="s">
        <v>1563</v>
      </c>
      <c r="L632" t="str">
        <f t="shared" si="81"/>
        <v>N</v>
      </c>
      <c r="M632" t="str">
        <f t="shared" si="82"/>
        <v>Y</v>
      </c>
      <c r="N632" t="str">
        <f t="shared" si="83"/>
        <v>N</v>
      </c>
      <c r="O632">
        <f t="shared" si="84"/>
        <v>13</v>
      </c>
      <c r="P632" s="6">
        <f t="shared" si="85"/>
        <v>0.98598130841121501</v>
      </c>
      <c r="Q632" s="6">
        <f t="shared" si="86"/>
        <v>9.4786729857819912E-3</v>
      </c>
      <c r="R632">
        <f t="shared" si="87"/>
        <v>0</v>
      </c>
      <c r="S632">
        <f t="shared" si="88"/>
        <v>3</v>
      </c>
      <c r="T632" t="str">
        <f t="shared" si="89"/>
        <v>May-26</v>
      </c>
    </row>
    <row r="633" spans="1:20">
      <c r="A633" t="s">
        <v>1083</v>
      </c>
      <c r="B633" t="s">
        <v>43</v>
      </c>
      <c r="C633" t="s">
        <v>12</v>
      </c>
      <c r="D633">
        <v>784</v>
      </c>
      <c r="E633" s="4">
        <v>46140</v>
      </c>
      <c r="F633" s="4">
        <v>46147</v>
      </c>
      <c r="G633" s="4">
        <v>46144</v>
      </c>
      <c r="H633">
        <v>781</v>
      </c>
      <c r="I633" t="s">
        <v>152</v>
      </c>
      <c r="J633">
        <v>55</v>
      </c>
      <c r="K633" t="s">
        <v>1563</v>
      </c>
      <c r="L633" t="str">
        <f t="shared" si="81"/>
        <v>Y</v>
      </c>
      <c r="M633" t="str">
        <f t="shared" si="82"/>
        <v>Y</v>
      </c>
      <c r="N633" t="str">
        <f t="shared" si="83"/>
        <v>Y</v>
      </c>
      <c r="O633">
        <f t="shared" si="84"/>
        <v>4</v>
      </c>
      <c r="P633" s="6">
        <f t="shared" si="85"/>
        <v>0.99617346938775508</v>
      </c>
      <c r="Q633" s="6">
        <f t="shared" si="86"/>
        <v>7.0422535211267609E-2</v>
      </c>
      <c r="R633">
        <f t="shared" si="87"/>
        <v>1</v>
      </c>
      <c r="S633">
        <f t="shared" si="88"/>
        <v>0</v>
      </c>
      <c r="T633" t="str">
        <f t="shared" si="89"/>
        <v>May-26</v>
      </c>
    </row>
    <row r="634" spans="1:20">
      <c r="A634" t="s">
        <v>1084</v>
      </c>
      <c r="B634" t="s">
        <v>46</v>
      </c>
      <c r="C634" t="s">
        <v>12</v>
      </c>
      <c r="D634">
        <v>665</v>
      </c>
      <c r="E634" s="4">
        <v>46079</v>
      </c>
      <c r="F634" s="4">
        <v>46088</v>
      </c>
      <c r="G634" s="4">
        <v>46093</v>
      </c>
      <c r="H634">
        <v>674</v>
      </c>
      <c r="I634" t="s">
        <v>936</v>
      </c>
      <c r="J634">
        <v>47</v>
      </c>
      <c r="K634" t="s">
        <v>1563</v>
      </c>
      <c r="L634" t="str">
        <f t="shared" si="81"/>
        <v>N</v>
      </c>
      <c r="M634" t="str">
        <f t="shared" si="82"/>
        <v>Y</v>
      </c>
      <c r="N634" t="str">
        <f t="shared" si="83"/>
        <v>N</v>
      </c>
      <c r="O634">
        <f t="shared" si="84"/>
        <v>14</v>
      </c>
      <c r="P634" s="6">
        <f t="shared" si="85"/>
        <v>1.0135338345864662</v>
      </c>
      <c r="Q634" s="6">
        <f t="shared" si="86"/>
        <v>6.9732937685459948E-2</v>
      </c>
      <c r="R634">
        <f t="shared" si="87"/>
        <v>0</v>
      </c>
      <c r="S634">
        <f t="shared" si="88"/>
        <v>5</v>
      </c>
      <c r="T634" t="str">
        <f t="shared" si="89"/>
        <v>Mar-26</v>
      </c>
    </row>
    <row r="635" spans="1:20">
      <c r="A635" t="s">
        <v>1085</v>
      </c>
      <c r="B635" t="s">
        <v>46</v>
      </c>
      <c r="C635" t="s">
        <v>12</v>
      </c>
      <c r="D635">
        <v>418</v>
      </c>
      <c r="E635" s="4">
        <v>46106</v>
      </c>
      <c r="F635" s="4">
        <v>46118</v>
      </c>
      <c r="G635" s="4">
        <v>46115</v>
      </c>
      <c r="H635">
        <v>422</v>
      </c>
      <c r="I635" t="s">
        <v>160</v>
      </c>
      <c r="J635">
        <v>26</v>
      </c>
      <c r="K635" t="s">
        <v>1563</v>
      </c>
      <c r="L635" t="str">
        <f t="shared" si="81"/>
        <v>Y</v>
      </c>
      <c r="M635" t="str">
        <f t="shared" si="82"/>
        <v>Y</v>
      </c>
      <c r="N635" t="str">
        <f t="shared" si="83"/>
        <v>Y</v>
      </c>
      <c r="O635">
        <f t="shared" si="84"/>
        <v>9</v>
      </c>
      <c r="P635" s="6">
        <f t="shared" si="85"/>
        <v>1.0095693779904307</v>
      </c>
      <c r="Q635" s="6">
        <f t="shared" si="86"/>
        <v>6.1611374407582936E-2</v>
      </c>
      <c r="R635">
        <f t="shared" si="87"/>
        <v>1</v>
      </c>
      <c r="S635">
        <f t="shared" si="88"/>
        <v>0</v>
      </c>
      <c r="T635" t="str">
        <f t="shared" si="89"/>
        <v>Apr-26</v>
      </c>
    </row>
    <row r="636" spans="1:20">
      <c r="A636" t="s">
        <v>1086</v>
      </c>
      <c r="B636" t="s">
        <v>19</v>
      </c>
      <c r="C636" t="s">
        <v>23</v>
      </c>
      <c r="D636">
        <v>940</v>
      </c>
      <c r="E636" s="4">
        <v>46115</v>
      </c>
      <c r="F636" s="4">
        <v>46120</v>
      </c>
      <c r="G636" s="4">
        <v>46117</v>
      </c>
      <c r="H636">
        <v>938</v>
      </c>
      <c r="I636" t="s">
        <v>219</v>
      </c>
      <c r="J636">
        <v>28</v>
      </c>
      <c r="K636" t="s">
        <v>1563</v>
      </c>
      <c r="L636" t="str">
        <f t="shared" si="81"/>
        <v>Y</v>
      </c>
      <c r="M636" t="str">
        <f t="shared" si="82"/>
        <v>Y</v>
      </c>
      <c r="N636" t="str">
        <f t="shared" si="83"/>
        <v>Y</v>
      </c>
      <c r="O636">
        <f t="shared" si="84"/>
        <v>2</v>
      </c>
      <c r="P636" s="6">
        <f t="shared" si="85"/>
        <v>0.99787234042553197</v>
      </c>
      <c r="Q636" s="6">
        <f t="shared" si="86"/>
        <v>2.9850746268656716E-2</v>
      </c>
      <c r="R636">
        <f t="shared" si="87"/>
        <v>1</v>
      </c>
      <c r="S636">
        <f t="shared" si="88"/>
        <v>0</v>
      </c>
      <c r="T636" t="str">
        <f t="shared" si="89"/>
        <v>Apr-26</v>
      </c>
    </row>
    <row r="637" spans="1:20">
      <c r="A637" t="s">
        <v>1087</v>
      </c>
      <c r="B637" t="s">
        <v>11</v>
      </c>
      <c r="C637" t="s">
        <v>12</v>
      </c>
      <c r="D637">
        <v>550</v>
      </c>
      <c r="E637" s="4">
        <v>46126</v>
      </c>
      <c r="F637" s="4">
        <v>46135</v>
      </c>
      <c r="G637" s="4">
        <v>46135</v>
      </c>
      <c r="H637">
        <v>482</v>
      </c>
      <c r="I637" t="s">
        <v>1027</v>
      </c>
      <c r="J637">
        <v>2</v>
      </c>
      <c r="K637" t="s">
        <v>1563</v>
      </c>
      <c r="L637" t="str">
        <f t="shared" si="81"/>
        <v>Y</v>
      </c>
      <c r="M637" t="str">
        <f t="shared" si="82"/>
        <v>N</v>
      </c>
      <c r="N637" t="str">
        <f t="shared" si="83"/>
        <v>N</v>
      </c>
      <c r="O637">
        <f t="shared" si="84"/>
        <v>9</v>
      </c>
      <c r="P637" s="6">
        <f t="shared" si="85"/>
        <v>0.87636363636363634</v>
      </c>
      <c r="Q637" s="6">
        <f t="shared" si="86"/>
        <v>4.1493775933609959E-3</v>
      </c>
      <c r="R637">
        <f t="shared" si="87"/>
        <v>0</v>
      </c>
      <c r="S637">
        <f t="shared" si="88"/>
        <v>0</v>
      </c>
      <c r="T637" t="str">
        <f t="shared" si="89"/>
        <v>Apr-26</v>
      </c>
    </row>
    <row r="638" spans="1:20">
      <c r="A638" t="s">
        <v>1088</v>
      </c>
      <c r="B638" t="s">
        <v>49</v>
      </c>
      <c r="C638" t="s">
        <v>23</v>
      </c>
      <c r="D638">
        <v>475</v>
      </c>
      <c r="E638" s="4">
        <v>46113</v>
      </c>
      <c r="F638" s="4">
        <v>46120</v>
      </c>
      <c r="G638" s="4">
        <v>46119</v>
      </c>
      <c r="H638">
        <v>480</v>
      </c>
      <c r="I638" t="s">
        <v>948</v>
      </c>
      <c r="J638">
        <v>4</v>
      </c>
      <c r="K638" t="s">
        <v>1563</v>
      </c>
      <c r="L638" t="str">
        <f t="shared" si="81"/>
        <v>Y</v>
      </c>
      <c r="M638" t="str">
        <f t="shared" si="82"/>
        <v>Y</v>
      </c>
      <c r="N638" t="str">
        <f t="shared" si="83"/>
        <v>Y</v>
      </c>
      <c r="O638">
        <f t="shared" si="84"/>
        <v>6</v>
      </c>
      <c r="P638" s="6">
        <f t="shared" si="85"/>
        <v>1.0105263157894737</v>
      </c>
      <c r="Q638" s="6">
        <f t="shared" si="86"/>
        <v>8.3333333333333332E-3</v>
      </c>
      <c r="R638">
        <f t="shared" si="87"/>
        <v>1</v>
      </c>
      <c r="S638">
        <f t="shared" si="88"/>
        <v>0</v>
      </c>
      <c r="T638" t="str">
        <f t="shared" si="89"/>
        <v>Apr-26</v>
      </c>
    </row>
    <row r="639" spans="1:20">
      <c r="A639" t="s">
        <v>1089</v>
      </c>
      <c r="B639" t="s">
        <v>70</v>
      </c>
      <c r="C639" t="s">
        <v>16</v>
      </c>
      <c r="D639">
        <v>745</v>
      </c>
      <c r="E639" s="4">
        <v>46051</v>
      </c>
      <c r="F639" s="4">
        <v>46059</v>
      </c>
      <c r="G639" s="4">
        <v>46064</v>
      </c>
      <c r="H639">
        <v>740</v>
      </c>
      <c r="I639" t="s">
        <v>1090</v>
      </c>
      <c r="J639">
        <v>6</v>
      </c>
      <c r="K639" t="s">
        <v>1563</v>
      </c>
      <c r="L639" t="str">
        <f t="shared" si="81"/>
        <v>N</v>
      </c>
      <c r="M639" t="str">
        <f t="shared" si="82"/>
        <v>Y</v>
      </c>
      <c r="N639" t="str">
        <f t="shared" si="83"/>
        <v>N</v>
      </c>
      <c r="O639">
        <f t="shared" si="84"/>
        <v>13</v>
      </c>
      <c r="P639" s="6">
        <f t="shared" si="85"/>
        <v>0.99328859060402686</v>
      </c>
      <c r="Q639" s="6">
        <f t="shared" si="86"/>
        <v>8.1081081081081086E-3</v>
      </c>
      <c r="R639">
        <f t="shared" si="87"/>
        <v>0</v>
      </c>
      <c r="S639">
        <f t="shared" si="88"/>
        <v>5</v>
      </c>
      <c r="T639" t="str">
        <f t="shared" si="89"/>
        <v>Feb-26</v>
      </c>
    </row>
    <row r="640" spans="1:20">
      <c r="A640" t="s">
        <v>1091</v>
      </c>
      <c r="B640" t="s">
        <v>67</v>
      </c>
      <c r="C640" t="s">
        <v>16</v>
      </c>
      <c r="D640">
        <v>377</v>
      </c>
      <c r="E640" s="4">
        <v>46148</v>
      </c>
      <c r="F640" s="4">
        <v>46157</v>
      </c>
      <c r="G640" s="4">
        <v>46154</v>
      </c>
      <c r="H640">
        <v>371</v>
      </c>
      <c r="I640" t="s">
        <v>1092</v>
      </c>
      <c r="J640">
        <v>19</v>
      </c>
      <c r="K640" t="s">
        <v>1563</v>
      </c>
      <c r="L640" t="str">
        <f t="shared" si="81"/>
        <v>Y</v>
      </c>
      <c r="M640" t="str">
        <f t="shared" si="82"/>
        <v>Y</v>
      </c>
      <c r="N640" t="str">
        <f t="shared" si="83"/>
        <v>Y</v>
      </c>
      <c r="O640">
        <f t="shared" si="84"/>
        <v>6</v>
      </c>
      <c r="P640" s="6">
        <f t="shared" si="85"/>
        <v>0.98408488063660482</v>
      </c>
      <c r="Q640" s="6">
        <f t="shared" si="86"/>
        <v>5.1212938005390833E-2</v>
      </c>
      <c r="R640">
        <f t="shared" si="87"/>
        <v>1</v>
      </c>
      <c r="S640">
        <f t="shared" si="88"/>
        <v>0</v>
      </c>
      <c r="T640" t="str">
        <f t="shared" si="89"/>
        <v>May-26</v>
      </c>
    </row>
    <row r="641" spans="1:20">
      <c r="A641" t="s">
        <v>1093</v>
      </c>
      <c r="B641" t="s">
        <v>29</v>
      </c>
      <c r="C641" t="s">
        <v>23</v>
      </c>
      <c r="D641">
        <v>646</v>
      </c>
      <c r="E641" s="4">
        <v>46130</v>
      </c>
      <c r="F641" s="4">
        <v>46136</v>
      </c>
      <c r="G641" s="4">
        <v>46135</v>
      </c>
      <c r="H641">
        <v>544</v>
      </c>
      <c r="I641" t="s">
        <v>1094</v>
      </c>
      <c r="J641">
        <v>3</v>
      </c>
      <c r="K641" t="s">
        <v>1563</v>
      </c>
      <c r="L641" t="str">
        <f t="shared" si="81"/>
        <v>Y</v>
      </c>
      <c r="M641" t="str">
        <f t="shared" si="82"/>
        <v>N</v>
      </c>
      <c r="N641" t="str">
        <f t="shared" si="83"/>
        <v>N</v>
      </c>
      <c r="O641">
        <f t="shared" si="84"/>
        <v>5</v>
      </c>
      <c r="P641" s="6">
        <f t="shared" si="85"/>
        <v>0.84210526315789469</v>
      </c>
      <c r="Q641" s="6">
        <f t="shared" si="86"/>
        <v>5.5147058823529415E-3</v>
      </c>
      <c r="R641">
        <f t="shared" si="87"/>
        <v>0</v>
      </c>
      <c r="S641">
        <f t="shared" si="88"/>
        <v>0</v>
      </c>
      <c r="T641" t="str">
        <f t="shared" si="89"/>
        <v>Apr-26</v>
      </c>
    </row>
    <row r="642" spans="1:20">
      <c r="A642" t="s">
        <v>1095</v>
      </c>
      <c r="B642" t="s">
        <v>43</v>
      </c>
      <c r="C642" t="s">
        <v>16</v>
      </c>
      <c r="D642">
        <v>360</v>
      </c>
      <c r="E642" s="4">
        <v>46045</v>
      </c>
      <c r="F642" s="4">
        <v>46058</v>
      </c>
      <c r="G642" s="4">
        <v>46059</v>
      </c>
      <c r="H642">
        <v>365</v>
      </c>
      <c r="I642" t="s">
        <v>268</v>
      </c>
      <c r="J642">
        <v>12</v>
      </c>
      <c r="K642" t="s">
        <v>1563</v>
      </c>
      <c r="L642" t="str">
        <f t="shared" ref="L642:L705" si="90">IF(G642="","N/A",IF(G642&lt;=F642,"Y","N"))</f>
        <v>N</v>
      </c>
      <c r="M642" t="str">
        <f t="shared" ref="M642:M705" si="91">IF(H642="","N/A",IF(H642&gt;=D642*0.98,"Y","N"))</f>
        <v>Y</v>
      </c>
      <c r="N642" t="str">
        <f t="shared" ref="N642:N705" si="92">IF(OR(L642="N/A",M642="N/A"),"N/A",IF(AND(L642="Y",M642="Y"),"Y","N"))</f>
        <v>N</v>
      </c>
      <c r="O642">
        <f t="shared" ref="O642:O705" si="93">IF(G642="","N/A",G642-E642)</f>
        <v>14</v>
      </c>
      <c r="P642" s="6">
        <f t="shared" ref="P642:P705" si="94">IF(H642="","N/A",H642/D642)</f>
        <v>1.0138888888888888</v>
      </c>
      <c r="Q642" s="6">
        <f t="shared" ref="Q642:Q705" si="95">IF(H642="","N/A",IF(H642=0,0,J642/H642))</f>
        <v>3.287671232876712E-2</v>
      </c>
      <c r="R642">
        <f t="shared" ref="R642:R705" si="96">IF(N642="Y",1,IF(N642="N",0,""))</f>
        <v>0</v>
      </c>
      <c r="S642">
        <f t="shared" ref="S642:S705" si="97">IF(G642="","N/A",MAX(G642-F642,0))</f>
        <v>1</v>
      </c>
      <c r="T642" t="str">
        <f t="shared" ref="T642:T705" si="98">IF(G642="","N/A",TEXT(G642,"mmm-yy"))</f>
        <v>Feb-26</v>
      </c>
    </row>
    <row r="643" spans="1:20">
      <c r="A643" t="s">
        <v>1096</v>
      </c>
      <c r="B643" t="s">
        <v>54</v>
      </c>
      <c r="C643" t="s">
        <v>16</v>
      </c>
      <c r="D643">
        <v>618</v>
      </c>
      <c r="E643" s="4">
        <v>46048</v>
      </c>
      <c r="F643" s="4">
        <v>46063</v>
      </c>
      <c r="G643" s="4">
        <v>46061</v>
      </c>
      <c r="H643">
        <v>616</v>
      </c>
      <c r="I643" t="s">
        <v>398</v>
      </c>
      <c r="J643">
        <v>14</v>
      </c>
      <c r="K643" t="s">
        <v>1563</v>
      </c>
      <c r="L643" t="str">
        <f t="shared" si="90"/>
        <v>Y</v>
      </c>
      <c r="M643" t="str">
        <f t="shared" si="91"/>
        <v>Y</v>
      </c>
      <c r="N643" t="str">
        <f t="shared" si="92"/>
        <v>Y</v>
      </c>
      <c r="O643">
        <f t="shared" si="93"/>
        <v>13</v>
      </c>
      <c r="P643" s="6">
        <f t="shared" si="94"/>
        <v>0.99676375404530748</v>
      </c>
      <c r="Q643" s="6">
        <f t="shared" si="95"/>
        <v>2.2727272727272728E-2</v>
      </c>
      <c r="R643">
        <f t="shared" si="96"/>
        <v>1</v>
      </c>
      <c r="S643">
        <f t="shared" si="97"/>
        <v>0</v>
      </c>
      <c r="T643" t="str">
        <f t="shared" si="98"/>
        <v>Feb-26</v>
      </c>
    </row>
    <row r="644" spans="1:20">
      <c r="A644" t="s">
        <v>1097</v>
      </c>
      <c r="B644" t="s">
        <v>29</v>
      </c>
      <c r="C644" t="s">
        <v>12</v>
      </c>
      <c r="D644">
        <v>969</v>
      </c>
      <c r="E644" s="4">
        <v>46087</v>
      </c>
      <c r="F644" s="4">
        <v>46096</v>
      </c>
      <c r="G644" s="4">
        <v>46095</v>
      </c>
      <c r="H644">
        <v>953</v>
      </c>
      <c r="I644" t="s">
        <v>1098</v>
      </c>
      <c r="J644">
        <v>8</v>
      </c>
      <c r="K644" t="s">
        <v>1563</v>
      </c>
      <c r="L644" t="str">
        <f t="shared" si="90"/>
        <v>Y</v>
      </c>
      <c r="M644" t="str">
        <f t="shared" si="91"/>
        <v>Y</v>
      </c>
      <c r="N644" t="str">
        <f t="shared" si="92"/>
        <v>Y</v>
      </c>
      <c r="O644">
        <f t="shared" si="93"/>
        <v>8</v>
      </c>
      <c r="P644" s="6">
        <f t="shared" si="94"/>
        <v>0.98348813209494323</v>
      </c>
      <c r="Q644" s="6">
        <f t="shared" si="95"/>
        <v>8.3945435466946487E-3</v>
      </c>
      <c r="R644">
        <f t="shared" si="96"/>
        <v>1</v>
      </c>
      <c r="S644">
        <f t="shared" si="97"/>
        <v>0</v>
      </c>
      <c r="T644" t="str">
        <f t="shared" si="98"/>
        <v>Mar-26</v>
      </c>
    </row>
    <row r="645" spans="1:20">
      <c r="A645" t="s">
        <v>1099</v>
      </c>
      <c r="B645" t="s">
        <v>177</v>
      </c>
      <c r="C645" t="s">
        <v>23</v>
      </c>
      <c r="D645">
        <v>332</v>
      </c>
      <c r="E645" s="4">
        <v>46053</v>
      </c>
      <c r="F645" s="4">
        <v>46062</v>
      </c>
      <c r="G645" s="4">
        <v>46061</v>
      </c>
      <c r="H645">
        <v>338</v>
      </c>
      <c r="I645" t="s">
        <v>1100</v>
      </c>
      <c r="J645">
        <v>12</v>
      </c>
      <c r="K645" t="s">
        <v>1563</v>
      </c>
      <c r="L645" t="str">
        <f t="shared" si="90"/>
        <v>Y</v>
      </c>
      <c r="M645" t="str">
        <f t="shared" si="91"/>
        <v>Y</v>
      </c>
      <c r="N645" t="str">
        <f t="shared" si="92"/>
        <v>Y</v>
      </c>
      <c r="O645">
        <f t="shared" si="93"/>
        <v>8</v>
      </c>
      <c r="P645" s="6">
        <f t="shared" si="94"/>
        <v>1.0180722891566265</v>
      </c>
      <c r="Q645" s="6">
        <f t="shared" si="95"/>
        <v>3.5502958579881658E-2</v>
      </c>
      <c r="R645">
        <f t="shared" si="96"/>
        <v>1</v>
      </c>
      <c r="S645">
        <f t="shared" si="97"/>
        <v>0</v>
      </c>
      <c r="T645" t="str">
        <f t="shared" si="98"/>
        <v>Feb-26</v>
      </c>
    </row>
    <row r="646" spans="1:20">
      <c r="A646" t="s">
        <v>1101</v>
      </c>
      <c r="B646" t="s">
        <v>120</v>
      </c>
      <c r="C646" t="s">
        <v>23</v>
      </c>
      <c r="D646">
        <v>742</v>
      </c>
      <c r="E646" s="4">
        <v>46122</v>
      </c>
      <c r="F646" s="4">
        <v>46134</v>
      </c>
      <c r="G646" s="4">
        <v>46131</v>
      </c>
      <c r="H646">
        <v>679</v>
      </c>
      <c r="I646" t="s">
        <v>980</v>
      </c>
      <c r="J646">
        <v>32</v>
      </c>
      <c r="K646" t="s">
        <v>1563</v>
      </c>
      <c r="L646" t="str">
        <f t="shared" si="90"/>
        <v>Y</v>
      </c>
      <c r="M646" t="str">
        <f t="shared" si="91"/>
        <v>N</v>
      </c>
      <c r="N646" t="str">
        <f t="shared" si="92"/>
        <v>N</v>
      </c>
      <c r="O646">
        <f t="shared" si="93"/>
        <v>9</v>
      </c>
      <c r="P646" s="6">
        <f t="shared" si="94"/>
        <v>0.91509433962264153</v>
      </c>
      <c r="Q646" s="6">
        <f t="shared" si="95"/>
        <v>4.7128129602356406E-2</v>
      </c>
      <c r="R646">
        <f t="shared" si="96"/>
        <v>0</v>
      </c>
      <c r="S646">
        <f t="shared" si="97"/>
        <v>0</v>
      </c>
      <c r="T646" t="str">
        <f t="shared" si="98"/>
        <v>Apr-26</v>
      </c>
    </row>
    <row r="647" spans="1:20">
      <c r="A647" t="s">
        <v>1102</v>
      </c>
      <c r="B647" t="s">
        <v>81</v>
      </c>
      <c r="C647" t="s">
        <v>12</v>
      </c>
      <c r="D647">
        <v>741</v>
      </c>
      <c r="E647" s="4">
        <v>46172</v>
      </c>
      <c r="F647" s="4">
        <v>46179</v>
      </c>
      <c r="G647" s="4">
        <v>46187</v>
      </c>
      <c r="H647">
        <v>745</v>
      </c>
      <c r="I647" t="s">
        <v>750</v>
      </c>
      <c r="J647">
        <v>3</v>
      </c>
      <c r="K647" t="s">
        <v>1563</v>
      </c>
      <c r="L647" t="str">
        <f t="shared" si="90"/>
        <v>N</v>
      </c>
      <c r="M647" t="str">
        <f t="shared" si="91"/>
        <v>Y</v>
      </c>
      <c r="N647" t="str">
        <f t="shared" si="92"/>
        <v>N</v>
      </c>
      <c r="O647">
        <f t="shared" si="93"/>
        <v>15</v>
      </c>
      <c r="P647" s="6">
        <f t="shared" si="94"/>
        <v>1.0053981106612686</v>
      </c>
      <c r="Q647" s="6">
        <f t="shared" si="95"/>
        <v>4.0268456375838931E-3</v>
      </c>
      <c r="R647">
        <f t="shared" si="96"/>
        <v>0</v>
      </c>
      <c r="S647">
        <f t="shared" si="97"/>
        <v>8</v>
      </c>
      <c r="T647" t="str">
        <f t="shared" si="98"/>
        <v>Jun-26</v>
      </c>
    </row>
    <row r="648" spans="1:20">
      <c r="A648" t="s">
        <v>1103</v>
      </c>
      <c r="B648" t="s">
        <v>46</v>
      </c>
      <c r="C648" t="s">
        <v>16</v>
      </c>
      <c r="D648">
        <v>690</v>
      </c>
      <c r="E648" s="4">
        <v>46143</v>
      </c>
      <c r="F648" s="4">
        <v>46150</v>
      </c>
      <c r="G648" s="4">
        <v>46149</v>
      </c>
      <c r="H648">
        <v>693</v>
      </c>
      <c r="I648" t="s">
        <v>1104</v>
      </c>
      <c r="J648">
        <v>67</v>
      </c>
      <c r="K648" t="s">
        <v>1563</v>
      </c>
      <c r="L648" t="str">
        <f t="shared" si="90"/>
        <v>Y</v>
      </c>
      <c r="M648" t="str">
        <f t="shared" si="91"/>
        <v>Y</v>
      </c>
      <c r="N648" t="str">
        <f t="shared" si="92"/>
        <v>Y</v>
      </c>
      <c r="O648">
        <f t="shared" si="93"/>
        <v>6</v>
      </c>
      <c r="P648" s="6">
        <f t="shared" si="94"/>
        <v>1.0043478260869565</v>
      </c>
      <c r="Q648" s="6">
        <f t="shared" si="95"/>
        <v>9.6681096681096687E-2</v>
      </c>
      <c r="R648">
        <f t="shared" si="96"/>
        <v>1</v>
      </c>
      <c r="S648">
        <f t="shared" si="97"/>
        <v>0</v>
      </c>
      <c r="T648" t="str">
        <f t="shared" si="98"/>
        <v>May-26</v>
      </c>
    </row>
    <row r="649" spans="1:20">
      <c r="A649" t="s">
        <v>1105</v>
      </c>
      <c r="B649" t="s">
        <v>11</v>
      </c>
      <c r="C649" t="s">
        <v>23</v>
      </c>
      <c r="D649">
        <v>816</v>
      </c>
      <c r="E649" s="4">
        <v>46107</v>
      </c>
      <c r="F649" s="4">
        <v>46112</v>
      </c>
      <c r="G649" s="4">
        <v>46111</v>
      </c>
      <c r="H649">
        <v>808</v>
      </c>
      <c r="I649" t="s">
        <v>1106</v>
      </c>
      <c r="J649">
        <v>1</v>
      </c>
      <c r="K649" t="s">
        <v>1563</v>
      </c>
      <c r="L649" t="str">
        <f t="shared" si="90"/>
        <v>Y</v>
      </c>
      <c r="M649" t="str">
        <f t="shared" si="91"/>
        <v>Y</v>
      </c>
      <c r="N649" t="str">
        <f t="shared" si="92"/>
        <v>Y</v>
      </c>
      <c r="O649">
        <f t="shared" si="93"/>
        <v>4</v>
      </c>
      <c r="P649" s="6">
        <f t="shared" si="94"/>
        <v>0.99019607843137258</v>
      </c>
      <c r="Q649" s="6">
        <f t="shared" si="95"/>
        <v>1.2376237623762376E-3</v>
      </c>
      <c r="R649">
        <f t="shared" si="96"/>
        <v>1</v>
      </c>
      <c r="S649">
        <f t="shared" si="97"/>
        <v>0</v>
      </c>
      <c r="T649" t="str">
        <f t="shared" si="98"/>
        <v>Mar-26</v>
      </c>
    </row>
    <row r="650" spans="1:20">
      <c r="A650" t="s">
        <v>1107</v>
      </c>
      <c r="B650" t="s">
        <v>35</v>
      </c>
      <c r="C650" t="s">
        <v>16</v>
      </c>
      <c r="D650">
        <v>654</v>
      </c>
      <c r="E650" s="4">
        <v>46071</v>
      </c>
      <c r="F650" s="4">
        <v>46079</v>
      </c>
      <c r="G650" s="4">
        <v>46083</v>
      </c>
      <c r="H650">
        <v>666</v>
      </c>
      <c r="I650" t="s">
        <v>1108</v>
      </c>
      <c r="J650">
        <v>19</v>
      </c>
      <c r="K650" t="s">
        <v>1563</v>
      </c>
      <c r="L650" t="str">
        <f t="shared" si="90"/>
        <v>N</v>
      </c>
      <c r="M650" t="str">
        <f t="shared" si="91"/>
        <v>Y</v>
      </c>
      <c r="N650" t="str">
        <f t="shared" si="92"/>
        <v>N</v>
      </c>
      <c r="O650">
        <f t="shared" si="93"/>
        <v>12</v>
      </c>
      <c r="P650" s="6">
        <f t="shared" si="94"/>
        <v>1.0183486238532109</v>
      </c>
      <c r="Q650" s="6">
        <f t="shared" si="95"/>
        <v>2.8528528528528527E-2</v>
      </c>
      <c r="R650">
        <f t="shared" si="96"/>
        <v>0</v>
      </c>
      <c r="S650">
        <f t="shared" si="97"/>
        <v>4</v>
      </c>
      <c r="T650" t="str">
        <f t="shared" si="98"/>
        <v>Mar-26</v>
      </c>
    </row>
    <row r="651" spans="1:20">
      <c r="A651" t="s">
        <v>1109</v>
      </c>
      <c r="B651" t="s">
        <v>19</v>
      </c>
      <c r="C651" t="s">
        <v>16</v>
      </c>
      <c r="D651">
        <v>199</v>
      </c>
      <c r="E651" s="4">
        <v>46077</v>
      </c>
      <c r="F651" s="4">
        <v>46091</v>
      </c>
      <c r="G651" s="4">
        <v>46091</v>
      </c>
      <c r="H651">
        <v>197</v>
      </c>
      <c r="I651" t="s">
        <v>272</v>
      </c>
      <c r="J651">
        <v>5</v>
      </c>
      <c r="K651" t="s">
        <v>1563</v>
      </c>
      <c r="L651" t="str">
        <f t="shared" si="90"/>
        <v>Y</v>
      </c>
      <c r="M651" t="str">
        <f t="shared" si="91"/>
        <v>Y</v>
      </c>
      <c r="N651" t="str">
        <f t="shared" si="92"/>
        <v>Y</v>
      </c>
      <c r="O651">
        <f t="shared" si="93"/>
        <v>14</v>
      </c>
      <c r="P651" s="6">
        <f t="shared" si="94"/>
        <v>0.98994974874371855</v>
      </c>
      <c r="Q651" s="6">
        <f t="shared" si="95"/>
        <v>2.5380710659898477E-2</v>
      </c>
      <c r="R651">
        <f t="shared" si="96"/>
        <v>1</v>
      </c>
      <c r="S651">
        <f t="shared" si="97"/>
        <v>0</v>
      </c>
      <c r="T651" t="str">
        <f t="shared" si="98"/>
        <v>Mar-26</v>
      </c>
    </row>
    <row r="652" spans="1:20">
      <c r="A652" t="s">
        <v>1110</v>
      </c>
      <c r="B652" t="s">
        <v>64</v>
      </c>
      <c r="C652" t="s">
        <v>12</v>
      </c>
      <c r="D652">
        <v>299</v>
      </c>
      <c r="E652" s="4">
        <v>46161</v>
      </c>
      <c r="F652" s="4">
        <v>46168</v>
      </c>
      <c r="G652" s="4">
        <v>46166</v>
      </c>
      <c r="H652">
        <v>278</v>
      </c>
      <c r="I652" t="s">
        <v>690</v>
      </c>
      <c r="J652">
        <v>10</v>
      </c>
      <c r="K652" t="s">
        <v>1563</v>
      </c>
      <c r="L652" t="str">
        <f t="shared" si="90"/>
        <v>Y</v>
      </c>
      <c r="M652" t="str">
        <f t="shared" si="91"/>
        <v>N</v>
      </c>
      <c r="N652" t="str">
        <f t="shared" si="92"/>
        <v>N</v>
      </c>
      <c r="O652">
        <f t="shared" si="93"/>
        <v>5</v>
      </c>
      <c r="P652" s="6">
        <f t="shared" si="94"/>
        <v>0.92976588628762546</v>
      </c>
      <c r="Q652" s="6">
        <f t="shared" si="95"/>
        <v>3.5971223021582732E-2</v>
      </c>
      <c r="R652">
        <f t="shared" si="96"/>
        <v>0</v>
      </c>
      <c r="S652">
        <f t="shared" si="97"/>
        <v>0</v>
      </c>
      <c r="T652" t="str">
        <f t="shared" si="98"/>
        <v>May-26</v>
      </c>
    </row>
    <row r="653" spans="1:20">
      <c r="A653" t="s">
        <v>1111</v>
      </c>
      <c r="B653" t="s">
        <v>26</v>
      </c>
      <c r="C653" t="s">
        <v>12</v>
      </c>
      <c r="D653">
        <v>597</v>
      </c>
      <c r="E653" s="4">
        <v>46118</v>
      </c>
      <c r="F653" s="4">
        <v>46125</v>
      </c>
      <c r="G653" s="4">
        <v>46123</v>
      </c>
      <c r="H653">
        <v>597</v>
      </c>
      <c r="I653" t="s">
        <v>310</v>
      </c>
      <c r="J653">
        <v>8</v>
      </c>
      <c r="K653" t="s">
        <v>1563</v>
      </c>
      <c r="L653" t="str">
        <f t="shared" si="90"/>
        <v>Y</v>
      </c>
      <c r="M653" t="str">
        <f t="shared" si="91"/>
        <v>Y</v>
      </c>
      <c r="N653" t="str">
        <f t="shared" si="92"/>
        <v>Y</v>
      </c>
      <c r="O653">
        <f t="shared" si="93"/>
        <v>5</v>
      </c>
      <c r="P653" s="6">
        <f t="shared" si="94"/>
        <v>1</v>
      </c>
      <c r="Q653" s="6">
        <f t="shared" si="95"/>
        <v>1.340033500837521E-2</v>
      </c>
      <c r="R653">
        <f t="shared" si="96"/>
        <v>1</v>
      </c>
      <c r="S653">
        <f t="shared" si="97"/>
        <v>0</v>
      </c>
      <c r="T653" t="str">
        <f t="shared" si="98"/>
        <v>Apr-26</v>
      </c>
    </row>
    <row r="654" spans="1:20">
      <c r="A654" t="s">
        <v>1112</v>
      </c>
      <c r="B654" t="s">
        <v>26</v>
      </c>
      <c r="C654" t="s">
        <v>12</v>
      </c>
      <c r="D654">
        <v>486</v>
      </c>
      <c r="E654" s="4">
        <v>46121</v>
      </c>
      <c r="F654" s="4">
        <v>46128</v>
      </c>
      <c r="G654" s="4">
        <v>46125</v>
      </c>
      <c r="H654">
        <v>451</v>
      </c>
      <c r="I654" t="s">
        <v>187</v>
      </c>
      <c r="J654">
        <v>11</v>
      </c>
      <c r="K654" t="s">
        <v>1563</v>
      </c>
      <c r="L654" t="str">
        <f t="shared" si="90"/>
        <v>Y</v>
      </c>
      <c r="M654" t="str">
        <f t="shared" si="91"/>
        <v>N</v>
      </c>
      <c r="N654" t="str">
        <f t="shared" si="92"/>
        <v>N</v>
      </c>
      <c r="O654">
        <f t="shared" si="93"/>
        <v>4</v>
      </c>
      <c r="P654" s="6">
        <f t="shared" si="94"/>
        <v>0.92798353909465026</v>
      </c>
      <c r="Q654" s="6">
        <f t="shared" si="95"/>
        <v>2.4390243902439025E-2</v>
      </c>
      <c r="R654">
        <f t="shared" si="96"/>
        <v>0</v>
      </c>
      <c r="S654">
        <f t="shared" si="97"/>
        <v>0</v>
      </c>
      <c r="T654" t="str">
        <f t="shared" si="98"/>
        <v>Apr-26</v>
      </c>
    </row>
    <row r="655" spans="1:20">
      <c r="A655" t="s">
        <v>1113</v>
      </c>
      <c r="B655" t="s">
        <v>49</v>
      </c>
      <c r="C655" t="s">
        <v>12</v>
      </c>
      <c r="D655">
        <v>353</v>
      </c>
      <c r="E655" s="4">
        <v>46100</v>
      </c>
      <c r="F655" s="4">
        <v>46105</v>
      </c>
      <c r="G655" s="4">
        <v>46105</v>
      </c>
      <c r="H655">
        <v>351</v>
      </c>
      <c r="I655" t="s">
        <v>115</v>
      </c>
      <c r="J655">
        <v>2</v>
      </c>
      <c r="K655" t="s">
        <v>1563</v>
      </c>
      <c r="L655" t="str">
        <f t="shared" si="90"/>
        <v>Y</v>
      </c>
      <c r="M655" t="str">
        <f t="shared" si="91"/>
        <v>Y</v>
      </c>
      <c r="N655" t="str">
        <f t="shared" si="92"/>
        <v>Y</v>
      </c>
      <c r="O655">
        <f t="shared" si="93"/>
        <v>5</v>
      </c>
      <c r="P655" s="6">
        <f t="shared" si="94"/>
        <v>0.99433427762039661</v>
      </c>
      <c r="Q655" s="6">
        <f t="shared" si="95"/>
        <v>5.6980056980056983E-3</v>
      </c>
      <c r="R655">
        <f t="shared" si="96"/>
        <v>1</v>
      </c>
      <c r="S655">
        <f t="shared" si="97"/>
        <v>0</v>
      </c>
      <c r="T655" t="str">
        <f t="shared" si="98"/>
        <v>Mar-26</v>
      </c>
    </row>
    <row r="656" spans="1:20">
      <c r="A656" t="s">
        <v>1114</v>
      </c>
      <c r="B656" t="s">
        <v>46</v>
      </c>
      <c r="C656" t="s">
        <v>16</v>
      </c>
      <c r="D656">
        <v>774</v>
      </c>
      <c r="E656" s="4">
        <v>46129</v>
      </c>
      <c r="F656" s="4">
        <v>46139</v>
      </c>
      <c r="G656" s="4">
        <v>46137</v>
      </c>
      <c r="H656">
        <v>765</v>
      </c>
      <c r="I656" t="s">
        <v>1115</v>
      </c>
      <c r="J656">
        <v>61</v>
      </c>
      <c r="K656" t="s">
        <v>1563</v>
      </c>
      <c r="L656" t="str">
        <f t="shared" si="90"/>
        <v>Y</v>
      </c>
      <c r="M656" t="str">
        <f t="shared" si="91"/>
        <v>Y</v>
      </c>
      <c r="N656" t="str">
        <f t="shared" si="92"/>
        <v>Y</v>
      </c>
      <c r="O656">
        <f t="shared" si="93"/>
        <v>8</v>
      </c>
      <c r="P656" s="6">
        <f t="shared" si="94"/>
        <v>0.98837209302325579</v>
      </c>
      <c r="Q656" s="6">
        <f t="shared" si="95"/>
        <v>7.9738562091503262E-2</v>
      </c>
      <c r="R656">
        <f t="shared" si="96"/>
        <v>1</v>
      </c>
      <c r="S656">
        <f t="shared" si="97"/>
        <v>0</v>
      </c>
      <c r="T656" t="str">
        <f t="shared" si="98"/>
        <v>Apr-26</v>
      </c>
    </row>
    <row r="657" spans="1:20">
      <c r="A657" t="s">
        <v>1116</v>
      </c>
      <c r="B657" t="s">
        <v>81</v>
      </c>
      <c r="C657" t="s">
        <v>12</v>
      </c>
      <c r="D657">
        <v>485</v>
      </c>
      <c r="E657" s="4">
        <v>46118</v>
      </c>
      <c r="F657" s="4">
        <v>46126</v>
      </c>
      <c r="G657" s="4">
        <v>46125</v>
      </c>
      <c r="H657">
        <v>494</v>
      </c>
      <c r="I657" t="s">
        <v>1117</v>
      </c>
      <c r="J657">
        <v>5</v>
      </c>
      <c r="K657" t="s">
        <v>1563</v>
      </c>
      <c r="L657" t="str">
        <f t="shared" si="90"/>
        <v>Y</v>
      </c>
      <c r="M657" t="str">
        <f t="shared" si="91"/>
        <v>Y</v>
      </c>
      <c r="N657" t="str">
        <f t="shared" si="92"/>
        <v>Y</v>
      </c>
      <c r="O657">
        <f t="shared" si="93"/>
        <v>7</v>
      </c>
      <c r="P657" s="6">
        <f t="shared" si="94"/>
        <v>1.0185567010309278</v>
      </c>
      <c r="Q657" s="6">
        <f t="shared" si="95"/>
        <v>1.0121457489878543E-2</v>
      </c>
      <c r="R657">
        <f t="shared" si="96"/>
        <v>1</v>
      </c>
      <c r="S657">
        <f t="shared" si="97"/>
        <v>0</v>
      </c>
      <c r="T657" t="str">
        <f t="shared" si="98"/>
        <v>Apr-26</v>
      </c>
    </row>
    <row r="658" spans="1:20">
      <c r="A658" t="s">
        <v>1118</v>
      </c>
      <c r="B658" t="s">
        <v>43</v>
      </c>
      <c r="C658" t="s">
        <v>12</v>
      </c>
      <c r="D658">
        <v>627</v>
      </c>
      <c r="E658" s="4">
        <v>46081</v>
      </c>
      <c r="F658" s="4">
        <v>46090</v>
      </c>
      <c r="G658" s="4">
        <v>46087</v>
      </c>
      <c r="H658">
        <v>638</v>
      </c>
      <c r="I658" t="s">
        <v>1119</v>
      </c>
      <c r="J658">
        <v>40</v>
      </c>
      <c r="K658" t="s">
        <v>1563</v>
      </c>
      <c r="L658" t="str">
        <f t="shared" si="90"/>
        <v>Y</v>
      </c>
      <c r="M658" t="str">
        <f t="shared" si="91"/>
        <v>Y</v>
      </c>
      <c r="N658" t="str">
        <f t="shared" si="92"/>
        <v>Y</v>
      </c>
      <c r="O658">
        <f t="shared" si="93"/>
        <v>6</v>
      </c>
      <c r="P658" s="6">
        <f t="shared" si="94"/>
        <v>1.0175438596491229</v>
      </c>
      <c r="Q658" s="6">
        <f t="shared" si="95"/>
        <v>6.2695924764890276E-2</v>
      </c>
      <c r="R658">
        <f t="shared" si="96"/>
        <v>1</v>
      </c>
      <c r="S658">
        <f t="shared" si="97"/>
        <v>0</v>
      </c>
      <c r="T658" t="str">
        <f t="shared" si="98"/>
        <v>Mar-26</v>
      </c>
    </row>
    <row r="659" spans="1:20">
      <c r="A659" t="s">
        <v>1120</v>
      </c>
      <c r="B659" t="s">
        <v>64</v>
      </c>
      <c r="C659" t="s">
        <v>12</v>
      </c>
      <c r="D659">
        <v>265</v>
      </c>
      <c r="E659" s="4">
        <v>46165</v>
      </c>
      <c r="F659" s="4">
        <v>46171</v>
      </c>
      <c r="G659" s="4">
        <v>46168</v>
      </c>
      <c r="H659">
        <v>267</v>
      </c>
      <c r="I659" t="s">
        <v>305</v>
      </c>
      <c r="J659">
        <v>6</v>
      </c>
      <c r="K659" t="s">
        <v>1563</v>
      </c>
      <c r="L659" t="str">
        <f t="shared" si="90"/>
        <v>Y</v>
      </c>
      <c r="M659" t="str">
        <f t="shared" si="91"/>
        <v>Y</v>
      </c>
      <c r="N659" t="str">
        <f t="shared" si="92"/>
        <v>Y</v>
      </c>
      <c r="O659">
        <f t="shared" si="93"/>
        <v>3</v>
      </c>
      <c r="P659" s="6">
        <f t="shared" si="94"/>
        <v>1.0075471698113208</v>
      </c>
      <c r="Q659" s="6">
        <f t="shared" si="95"/>
        <v>2.247191011235955E-2</v>
      </c>
      <c r="R659">
        <f t="shared" si="96"/>
        <v>1</v>
      </c>
      <c r="S659">
        <f t="shared" si="97"/>
        <v>0</v>
      </c>
      <c r="T659" t="str">
        <f t="shared" si="98"/>
        <v>May-26</v>
      </c>
    </row>
    <row r="660" spans="1:20">
      <c r="A660" t="s">
        <v>1121</v>
      </c>
      <c r="B660" t="s">
        <v>43</v>
      </c>
      <c r="C660" t="s">
        <v>12</v>
      </c>
      <c r="D660">
        <v>791</v>
      </c>
      <c r="E660" s="4">
        <v>46122</v>
      </c>
      <c r="F660" s="4">
        <v>46132</v>
      </c>
      <c r="G660" s="4">
        <v>46130</v>
      </c>
      <c r="H660">
        <v>787</v>
      </c>
      <c r="I660" t="s">
        <v>478</v>
      </c>
      <c r="J660">
        <v>45</v>
      </c>
      <c r="K660" t="s">
        <v>1563</v>
      </c>
      <c r="L660" t="str">
        <f t="shared" si="90"/>
        <v>Y</v>
      </c>
      <c r="M660" t="str">
        <f t="shared" si="91"/>
        <v>Y</v>
      </c>
      <c r="N660" t="str">
        <f t="shared" si="92"/>
        <v>Y</v>
      </c>
      <c r="O660">
        <f t="shared" si="93"/>
        <v>8</v>
      </c>
      <c r="P660" s="6">
        <f t="shared" si="94"/>
        <v>0.9949431099873578</v>
      </c>
      <c r="Q660" s="6">
        <f t="shared" si="95"/>
        <v>5.7179161372299871E-2</v>
      </c>
      <c r="R660">
        <f t="shared" si="96"/>
        <v>1</v>
      </c>
      <c r="S660">
        <f t="shared" si="97"/>
        <v>0</v>
      </c>
      <c r="T660" t="str">
        <f t="shared" si="98"/>
        <v>Apr-26</v>
      </c>
    </row>
    <row r="661" spans="1:20">
      <c r="A661" t="s">
        <v>1123</v>
      </c>
      <c r="B661" t="s">
        <v>11</v>
      </c>
      <c r="C661" t="s">
        <v>23</v>
      </c>
      <c r="D661">
        <v>593</v>
      </c>
      <c r="E661" s="4">
        <v>46175</v>
      </c>
      <c r="F661" s="4">
        <v>46190</v>
      </c>
      <c r="G661" s="4">
        <v>46188</v>
      </c>
      <c r="H661">
        <v>586</v>
      </c>
      <c r="I661" t="s">
        <v>1124</v>
      </c>
      <c r="J661">
        <v>11</v>
      </c>
      <c r="K661" t="s">
        <v>1563</v>
      </c>
      <c r="L661" t="str">
        <f t="shared" si="90"/>
        <v>Y</v>
      </c>
      <c r="M661" t="str">
        <f t="shared" si="91"/>
        <v>Y</v>
      </c>
      <c r="N661" t="str">
        <f t="shared" si="92"/>
        <v>Y</v>
      </c>
      <c r="O661">
        <f t="shared" si="93"/>
        <v>13</v>
      </c>
      <c r="P661" s="6">
        <f t="shared" si="94"/>
        <v>0.98819561551433388</v>
      </c>
      <c r="Q661" s="6">
        <f t="shared" si="95"/>
        <v>1.877133105802048E-2</v>
      </c>
      <c r="R661">
        <f t="shared" si="96"/>
        <v>1</v>
      </c>
      <c r="S661">
        <f t="shared" si="97"/>
        <v>0</v>
      </c>
      <c r="T661" t="str">
        <f t="shared" si="98"/>
        <v>Jun-26</v>
      </c>
    </row>
    <row r="662" spans="1:20">
      <c r="A662" t="s">
        <v>1125</v>
      </c>
      <c r="B662" t="s">
        <v>43</v>
      </c>
      <c r="C662" t="s">
        <v>16</v>
      </c>
      <c r="D662">
        <v>783</v>
      </c>
      <c r="E662" s="4">
        <v>46143</v>
      </c>
      <c r="F662" s="4">
        <v>46151</v>
      </c>
      <c r="G662" s="4">
        <v>46148</v>
      </c>
      <c r="H662">
        <v>778</v>
      </c>
      <c r="I662" t="s">
        <v>164</v>
      </c>
      <c r="J662">
        <v>24</v>
      </c>
      <c r="K662" t="s">
        <v>1563</v>
      </c>
      <c r="L662" t="str">
        <f t="shared" si="90"/>
        <v>Y</v>
      </c>
      <c r="M662" t="str">
        <f t="shared" si="91"/>
        <v>Y</v>
      </c>
      <c r="N662" t="str">
        <f t="shared" si="92"/>
        <v>Y</v>
      </c>
      <c r="O662">
        <f t="shared" si="93"/>
        <v>5</v>
      </c>
      <c r="P662" s="6">
        <f t="shared" si="94"/>
        <v>0.99361430395913153</v>
      </c>
      <c r="Q662" s="6">
        <f t="shared" si="95"/>
        <v>3.0848329048843187E-2</v>
      </c>
      <c r="R662">
        <f t="shared" si="96"/>
        <v>1</v>
      </c>
      <c r="S662">
        <f t="shared" si="97"/>
        <v>0</v>
      </c>
      <c r="T662" t="str">
        <f t="shared" si="98"/>
        <v>May-26</v>
      </c>
    </row>
    <row r="663" spans="1:20">
      <c r="A663" t="s">
        <v>1126</v>
      </c>
      <c r="B663" t="s">
        <v>81</v>
      </c>
      <c r="C663" t="s">
        <v>16</v>
      </c>
      <c r="D663">
        <v>132</v>
      </c>
      <c r="E663" s="4">
        <v>46121</v>
      </c>
      <c r="F663" s="4">
        <v>46134</v>
      </c>
      <c r="G663" s="4">
        <v>46141</v>
      </c>
      <c r="H663">
        <v>116</v>
      </c>
      <c r="I663" t="s">
        <v>1564</v>
      </c>
      <c r="J663">
        <v>0</v>
      </c>
      <c r="K663" t="s">
        <v>1563</v>
      </c>
      <c r="L663" t="str">
        <f t="shared" si="90"/>
        <v>N</v>
      </c>
      <c r="M663" t="str">
        <f t="shared" si="91"/>
        <v>N</v>
      </c>
      <c r="N663" t="str">
        <f t="shared" si="92"/>
        <v>N</v>
      </c>
      <c r="O663">
        <f t="shared" si="93"/>
        <v>20</v>
      </c>
      <c r="P663" s="6">
        <f t="shared" si="94"/>
        <v>0.87878787878787878</v>
      </c>
      <c r="Q663" s="6">
        <f t="shared" si="95"/>
        <v>0</v>
      </c>
      <c r="R663">
        <f t="shared" si="96"/>
        <v>0</v>
      </c>
      <c r="S663">
        <f t="shared" si="97"/>
        <v>7</v>
      </c>
      <c r="T663" t="str">
        <f t="shared" si="98"/>
        <v>Apr-26</v>
      </c>
    </row>
    <row r="664" spans="1:20">
      <c r="A664" t="s">
        <v>1127</v>
      </c>
      <c r="B664" t="s">
        <v>120</v>
      </c>
      <c r="C664" t="s">
        <v>12</v>
      </c>
      <c r="D664">
        <v>157</v>
      </c>
      <c r="E664" s="4">
        <v>46109</v>
      </c>
      <c r="F664" s="4">
        <v>46124</v>
      </c>
      <c r="G664" s="4">
        <v>46124</v>
      </c>
      <c r="H664">
        <v>141</v>
      </c>
      <c r="I664" t="s">
        <v>864</v>
      </c>
      <c r="J664">
        <v>6</v>
      </c>
      <c r="K664" t="s">
        <v>1563</v>
      </c>
      <c r="L664" t="str">
        <f t="shared" si="90"/>
        <v>Y</v>
      </c>
      <c r="M664" t="str">
        <f t="shared" si="91"/>
        <v>N</v>
      </c>
      <c r="N664" t="str">
        <f t="shared" si="92"/>
        <v>N</v>
      </c>
      <c r="O664">
        <f t="shared" si="93"/>
        <v>15</v>
      </c>
      <c r="P664" s="6">
        <f t="shared" si="94"/>
        <v>0.89808917197452232</v>
      </c>
      <c r="Q664" s="6">
        <f t="shared" si="95"/>
        <v>4.2553191489361701E-2</v>
      </c>
      <c r="R664">
        <f t="shared" si="96"/>
        <v>0</v>
      </c>
      <c r="S664">
        <f t="shared" si="97"/>
        <v>0</v>
      </c>
      <c r="T664" t="str">
        <f t="shared" si="98"/>
        <v>Apr-26</v>
      </c>
    </row>
    <row r="665" spans="1:20">
      <c r="A665" t="s">
        <v>1128</v>
      </c>
      <c r="B665" t="s">
        <v>43</v>
      </c>
      <c r="C665" t="s">
        <v>23</v>
      </c>
      <c r="D665">
        <v>222</v>
      </c>
      <c r="E665" s="4">
        <v>46151</v>
      </c>
      <c r="F665" s="4">
        <v>46159</v>
      </c>
      <c r="G665" s="4">
        <v>46156</v>
      </c>
      <c r="H665">
        <v>219</v>
      </c>
      <c r="I665" t="s">
        <v>748</v>
      </c>
      <c r="J665">
        <v>11</v>
      </c>
      <c r="K665" t="s">
        <v>1563</v>
      </c>
      <c r="L665" t="str">
        <f t="shared" si="90"/>
        <v>Y</v>
      </c>
      <c r="M665" t="str">
        <f t="shared" si="91"/>
        <v>Y</v>
      </c>
      <c r="N665" t="str">
        <f t="shared" si="92"/>
        <v>Y</v>
      </c>
      <c r="O665">
        <f t="shared" si="93"/>
        <v>5</v>
      </c>
      <c r="P665" s="6">
        <f t="shared" si="94"/>
        <v>0.98648648648648651</v>
      </c>
      <c r="Q665" s="6">
        <f t="shared" si="95"/>
        <v>5.0228310502283102E-2</v>
      </c>
      <c r="R665">
        <f t="shared" si="96"/>
        <v>1</v>
      </c>
      <c r="S665">
        <f t="shared" si="97"/>
        <v>0</v>
      </c>
      <c r="T665" t="str">
        <f t="shared" si="98"/>
        <v>May-26</v>
      </c>
    </row>
    <row r="666" spans="1:20">
      <c r="A666" t="s">
        <v>1129</v>
      </c>
      <c r="B666" t="s">
        <v>11</v>
      </c>
      <c r="C666" t="s">
        <v>12</v>
      </c>
      <c r="D666">
        <v>568</v>
      </c>
      <c r="E666" s="4">
        <v>46038</v>
      </c>
      <c r="F666" s="4">
        <v>46053</v>
      </c>
      <c r="G666" s="4"/>
      <c r="I666" t="s">
        <v>970</v>
      </c>
      <c r="K666" t="s">
        <v>1565</v>
      </c>
      <c r="L666" t="str">
        <f t="shared" si="90"/>
        <v>N/A</v>
      </c>
      <c r="M666" t="str">
        <f t="shared" si="91"/>
        <v>N/A</v>
      </c>
      <c r="N666" t="str">
        <f t="shared" si="92"/>
        <v>N/A</v>
      </c>
      <c r="O666" t="str">
        <f t="shared" si="93"/>
        <v>N/A</v>
      </c>
      <c r="P666" s="6" t="str">
        <f t="shared" si="94"/>
        <v>N/A</v>
      </c>
      <c r="Q666" s="6" t="str">
        <f t="shared" si="95"/>
        <v>N/A</v>
      </c>
      <c r="R666" t="str">
        <f t="shared" si="96"/>
        <v/>
      </c>
      <c r="S666" t="str">
        <f t="shared" si="97"/>
        <v>N/A</v>
      </c>
      <c r="T666" t="str">
        <f t="shared" si="98"/>
        <v>N/A</v>
      </c>
    </row>
    <row r="667" spans="1:20">
      <c r="A667" t="s">
        <v>1130</v>
      </c>
      <c r="B667" t="s">
        <v>11</v>
      </c>
      <c r="C667" t="s">
        <v>12</v>
      </c>
      <c r="D667">
        <v>759</v>
      </c>
      <c r="E667" s="4">
        <v>46095</v>
      </c>
      <c r="F667" s="4">
        <v>46106</v>
      </c>
      <c r="G667" s="4">
        <v>46104</v>
      </c>
      <c r="H667">
        <v>771</v>
      </c>
      <c r="I667" t="s">
        <v>376</v>
      </c>
      <c r="J667">
        <v>11</v>
      </c>
      <c r="K667" t="s">
        <v>1563</v>
      </c>
      <c r="L667" t="str">
        <f t="shared" si="90"/>
        <v>Y</v>
      </c>
      <c r="M667" t="str">
        <f t="shared" si="91"/>
        <v>Y</v>
      </c>
      <c r="N667" t="str">
        <f t="shared" si="92"/>
        <v>Y</v>
      </c>
      <c r="O667">
        <f t="shared" si="93"/>
        <v>9</v>
      </c>
      <c r="P667" s="6">
        <f t="shared" si="94"/>
        <v>1.0158102766798418</v>
      </c>
      <c r="Q667" s="6">
        <f t="shared" si="95"/>
        <v>1.4267185473411154E-2</v>
      </c>
      <c r="R667">
        <f t="shared" si="96"/>
        <v>1</v>
      </c>
      <c r="S667">
        <f t="shared" si="97"/>
        <v>0</v>
      </c>
      <c r="T667" t="str">
        <f t="shared" si="98"/>
        <v>Mar-26</v>
      </c>
    </row>
    <row r="668" spans="1:20">
      <c r="A668" t="s">
        <v>1131</v>
      </c>
      <c r="B668" t="s">
        <v>52</v>
      </c>
      <c r="C668" t="s">
        <v>12</v>
      </c>
      <c r="D668">
        <v>130</v>
      </c>
      <c r="E668" s="4">
        <v>46105</v>
      </c>
      <c r="F668" s="4">
        <v>46119</v>
      </c>
      <c r="G668" s="4">
        <v>46117</v>
      </c>
      <c r="H668">
        <v>130</v>
      </c>
      <c r="I668" t="s">
        <v>1058</v>
      </c>
      <c r="J668">
        <v>2</v>
      </c>
      <c r="K668" t="s">
        <v>1563</v>
      </c>
      <c r="L668" t="str">
        <f t="shared" si="90"/>
        <v>Y</v>
      </c>
      <c r="M668" t="str">
        <f t="shared" si="91"/>
        <v>Y</v>
      </c>
      <c r="N668" t="str">
        <f t="shared" si="92"/>
        <v>Y</v>
      </c>
      <c r="O668">
        <f t="shared" si="93"/>
        <v>12</v>
      </c>
      <c r="P668" s="6">
        <f t="shared" si="94"/>
        <v>1</v>
      </c>
      <c r="Q668" s="6">
        <f t="shared" si="95"/>
        <v>1.5384615384615385E-2</v>
      </c>
      <c r="R668">
        <f t="shared" si="96"/>
        <v>1</v>
      </c>
      <c r="S668">
        <f t="shared" si="97"/>
        <v>0</v>
      </c>
      <c r="T668" t="str">
        <f t="shared" si="98"/>
        <v>Apr-26</v>
      </c>
    </row>
    <row r="669" spans="1:20">
      <c r="A669" t="s">
        <v>1132</v>
      </c>
      <c r="B669" t="s">
        <v>52</v>
      </c>
      <c r="C669" t="s">
        <v>16</v>
      </c>
      <c r="D669">
        <v>216</v>
      </c>
      <c r="E669" s="4">
        <v>46115</v>
      </c>
      <c r="F669" s="4">
        <v>46120</v>
      </c>
      <c r="G669" s="4">
        <v>46118</v>
      </c>
      <c r="H669">
        <v>216</v>
      </c>
      <c r="I669" t="s">
        <v>158</v>
      </c>
      <c r="J669">
        <v>4</v>
      </c>
      <c r="K669" t="s">
        <v>1563</v>
      </c>
      <c r="L669" t="str">
        <f t="shared" si="90"/>
        <v>Y</v>
      </c>
      <c r="M669" t="str">
        <f t="shared" si="91"/>
        <v>Y</v>
      </c>
      <c r="N669" t="str">
        <f t="shared" si="92"/>
        <v>Y</v>
      </c>
      <c r="O669">
        <f t="shared" si="93"/>
        <v>3</v>
      </c>
      <c r="P669" s="6">
        <f t="shared" si="94"/>
        <v>1</v>
      </c>
      <c r="Q669" s="6">
        <f t="shared" si="95"/>
        <v>1.8518518518518517E-2</v>
      </c>
      <c r="R669">
        <f t="shared" si="96"/>
        <v>1</v>
      </c>
      <c r="S669">
        <f t="shared" si="97"/>
        <v>0</v>
      </c>
      <c r="T669" t="str">
        <f t="shared" si="98"/>
        <v>Apr-26</v>
      </c>
    </row>
    <row r="670" spans="1:20">
      <c r="A670" t="s">
        <v>1133</v>
      </c>
      <c r="B670" t="s">
        <v>40</v>
      </c>
      <c r="C670" t="s">
        <v>23</v>
      </c>
      <c r="D670">
        <v>178</v>
      </c>
      <c r="E670" s="4">
        <v>46138</v>
      </c>
      <c r="F670" s="4">
        <v>46151</v>
      </c>
      <c r="G670" s="4">
        <v>46149</v>
      </c>
      <c r="H670">
        <v>178</v>
      </c>
      <c r="I670" t="s">
        <v>219</v>
      </c>
      <c r="J670">
        <v>12</v>
      </c>
      <c r="K670" t="s">
        <v>1563</v>
      </c>
      <c r="L670" t="str">
        <f t="shared" si="90"/>
        <v>Y</v>
      </c>
      <c r="M670" t="str">
        <f t="shared" si="91"/>
        <v>Y</v>
      </c>
      <c r="N670" t="str">
        <f t="shared" si="92"/>
        <v>Y</v>
      </c>
      <c r="O670">
        <f t="shared" si="93"/>
        <v>11</v>
      </c>
      <c r="P670" s="6">
        <f t="shared" si="94"/>
        <v>1</v>
      </c>
      <c r="Q670" s="6">
        <f t="shared" si="95"/>
        <v>6.741573033707865E-2</v>
      </c>
      <c r="R670">
        <f t="shared" si="96"/>
        <v>1</v>
      </c>
      <c r="S670">
        <f t="shared" si="97"/>
        <v>0</v>
      </c>
      <c r="T670" t="str">
        <f t="shared" si="98"/>
        <v>May-26</v>
      </c>
    </row>
    <row r="671" spans="1:20">
      <c r="A671" t="s">
        <v>1134</v>
      </c>
      <c r="B671" t="s">
        <v>54</v>
      </c>
      <c r="C671" t="s">
        <v>16</v>
      </c>
      <c r="D671">
        <v>235</v>
      </c>
      <c r="E671" s="4">
        <v>46055</v>
      </c>
      <c r="F671" s="4">
        <v>46064</v>
      </c>
      <c r="G671" s="4">
        <v>46071</v>
      </c>
      <c r="H671">
        <v>231</v>
      </c>
      <c r="I671" t="s">
        <v>283</v>
      </c>
      <c r="J671">
        <v>0</v>
      </c>
      <c r="K671" t="s">
        <v>1563</v>
      </c>
      <c r="L671" t="str">
        <f t="shared" si="90"/>
        <v>N</v>
      </c>
      <c r="M671" t="str">
        <f t="shared" si="91"/>
        <v>Y</v>
      </c>
      <c r="N671" t="str">
        <f t="shared" si="92"/>
        <v>N</v>
      </c>
      <c r="O671">
        <f t="shared" si="93"/>
        <v>16</v>
      </c>
      <c r="P671" s="6">
        <f t="shared" si="94"/>
        <v>0.98297872340425529</v>
      </c>
      <c r="Q671" s="6">
        <f t="shared" si="95"/>
        <v>0</v>
      </c>
      <c r="R671">
        <f t="shared" si="96"/>
        <v>0</v>
      </c>
      <c r="S671">
        <f t="shared" si="97"/>
        <v>7</v>
      </c>
      <c r="T671" t="str">
        <f t="shared" si="98"/>
        <v>Feb-26</v>
      </c>
    </row>
    <row r="672" spans="1:20">
      <c r="A672" t="s">
        <v>1136</v>
      </c>
      <c r="B672" t="s">
        <v>26</v>
      </c>
      <c r="C672" t="s">
        <v>16</v>
      </c>
      <c r="D672">
        <v>497</v>
      </c>
      <c r="E672" s="4">
        <v>46123</v>
      </c>
      <c r="F672" s="4">
        <v>46135</v>
      </c>
      <c r="G672" s="4">
        <v>46135</v>
      </c>
      <c r="H672">
        <v>504</v>
      </c>
      <c r="I672" t="s">
        <v>810</v>
      </c>
      <c r="J672">
        <v>14</v>
      </c>
      <c r="K672" t="s">
        <v>1563</v>
      </c>
      <c r="L672" t="str">
        <f t="shared" si="90"/>
        <v>Y</v>
      </c>
      <c r="M672" t="str">
        <f t="shared" si="91"/>
        <v>Y</v>
      </c>
      <c r="N672" t="str">
        <f t="shared" si="92"/>
        <v>Y</v>
      </c>
      <c r="O672">
        <f t="shared" si="93"/>
        <v>12</v>
      </c>
      <c r="P672" s="6">
        <f t="shared" si="94"/>
        <v>1.0140845070422535</v>
      </c>
      <c r="Q672" s="6">
        <f t="shared" si="95"/>
        <v>2.7777777777777776E-2</v>
      </c>
      <c r="R672">
        <f t="shared" si="96"/>
        <v>1</v>
      </c>
      <c r="S672">
        <f t="shared" si="97"/>
        <v>0</v>
      </c>
      <c r="T672" t="str">
        <f t="shared" si="98"/>
        <v>Apr-26</v>
      </c>
    </row>
    <row r="673" spans="1:20">
      <c r="A673" t="s">
        <v>1137</v>
      </c>
      <c r="B673" t="s">
        <v>11</v>
      </c>
      <c r="C673" t="s">
        <v>16</v>
      </c>
      <c r="D673">
        <v>254</v>
      </c>
      <c r="E673" s="4">
        <v>46104</v>
      </c>
      <c r="F673" s="4">
        <v>46111</v>
      </c>
      <c r="G673" s="4">
        <v>46109</v>
      </c>
      <c r="H673">
        <v>253</v>
      </c>
      <c r="I673" t="s">
        <v>813</v>
      </c>
      <c r="J673">
        <v>6</v>
      </c>
      <c r="K673" t="s">
        <v>1563</v>
      </c>
      <c r="L673" t="str">
        <f t="shared" si="90"/>
        <v>Y</v>
      </c>
      <c r="M673" t="str">
        <f t="shared" si="91"/>
        <v>Y</v>
      </c>
      <c r="N673" t="str">
        <f t="shared" si="92"/>
        <v>Y</v>
      </c>
      <c r="O673">
        <f t="shared" si="93"/>
        <v>5</v>
      </c>
      <c r="P673" s="6">
        <f t="shared" si="94"/>
        <v>0.99606299212598426</v>
      </c>
      <c r="Q673" s="6">
        <f t="shared" si="95"/>
        <v>2.3715415019762844E-2</v>
      </c>
      <c r="R673">
        <f t="shared" si="96"/>
        <v>1</v>
      </c>
      <c r="S673">
        <f t="shared" si="97"/>
        <v>0</v>
      </c>
      <c r="T673" t="str">
        <f t="shared" si="98"/>
        <v>Mar-26</v>
      </c>
    </row>
    <row r="674" spans="1:20">
      <c r="A674" t="s">
        <v>1138</v>
      </c>
      <c r="B674" t="s">
        <v>81</v>
      </c>
      <c r="C674" t="s">
        <v>16</v>
      </c>
      <c r="D674">
        <v>99</v>
      </c>
      <c r="E674" s="4">
        <v>46103</v>
      </c>
      <c r="F674" s="4">
        <v>46116</v>
      </c>
      <c r="G674" s="4">
        <v>46116</v>
      </c>
      <c r="H674">
        <v>89</v>
      </c>
      <c r="I674" t="s">
        <v>90</v>
      </c>
      <c r="J674">
        <v>1</v>
      </c>
      <c r="K674" t="s">
        <v>1563</v>
      </c>
      <c r="L674" t="str">
        <f t="shared" si="90"/>
        <v>Y</v>
      </c>
      <c r="M674" t="str">
        <f t="shared" si="91"/>
        <v>N</v>
      </c>
      <c r="N674" t="str">
        <f t="shared" si="92"/>
        <v>N</v>
      </c>
      <c r="O674">
        <f t="shared" si="93"/>
        <v>13</v>
      </c>
      <c r="P674" s="6">
        <f t="shared" si="94"/>
        <v>0.89898989898989901</v>
      </c>
      <c r="Q674" s="6">
        <f t="shared" si="95"/>
        <v>1.1235955056179775E-2</v>
      </c>
      <c r="R674">
        <f t="shared" si="96"/>
        <v>0</v>
      </c>
      <c r="S674">
        <f t="shared" si="97"/>
        <v>0</v>
      </c>
      <c r="T674" t="str">
        <f t="shared" si="98"/>
        <v>Apr-26</v>
      </c>
    </row>
    <row r="675" spans="1:20">
      <c r="A675" t="s">
        <v>1139</v>
      </c>
      <c r="B675" t="s">
        <v>120</v>
      </c>
      <c r="C675" t="s">
        <v>23</v>
      </c>
      <c r="D675">
        <v>603</v>
      </c>
      <c r="E675" s="4">
        <v>46128</v>
      </c>
      <c r="F675" s="4">
        <v>46134</v>
      </c>
      <c r="G675" s="4">
        <v>46134</v>
      </c>
      <c r="H675">
        <v>614</v>
      </c>
      <c r="I675" t="s">
        <v>1140</v>
      </c>
      <c r="J675">
        <v>31</v>
      </c>
      <c r="K675" t="s">
        <v>1563</v>
      </c>
      <c r="L675" t="str">
        <f t="shared" si="90"/>
        <v>Y</v>
      </c>
      <c r="M675" t="str">
        <f t="shared" si="91"/>
        <v>Y</v>
      </c>
      <c r="N675" t="str">
        <f t="shared" si="92"/>
        <v>Y</v>
      </c>
      <c r="O675">
        <f t="shared" si="93"/>
        <v>6</v>
      </c>
      <c r="P675" s="6">
        <f t="shared" si="94"/>
        <v>1.0182421227197347</v>
      </c>
      <c r="Q675" s="6">
        <f t="shared" si="95"/>
        <v>5.0488599348534204E-2</v>
      </c>
      <c r="R675">
        <f t="shared" si="96"/>
        <v>1</v>
      </c>
      <c r="S675">
        <f t="shared" si="97"/>
        <v>0</v>
      </c>
      <c r="T675" t="str">
        <f t="shared" si="98"/>
        <v>Apr-26</v>
      </c>
    </row>
    <row r="676" spans="1:20">
      <c r="A676" t="s">
        <v>1141</v>
      </c>
      <c r="B676" t="s">
        <v>67</v>
      </c>
      <c r="C676" t="s">
        <v>12</v>
      </c>
      <c r="D676">
        <v>858</v>
      </c>
      <c r="E676" s="4">
        <v>46038</v>
      </c>
      <c r="F676" s="4">
        <v>46045</v>
      </c>
      <c r="G676" s="4">
        <v>46043</v>
      </c>
      <c r="H676">
        <v>863</v>
      </c>
      <c r="I676" t="s">
        <v>540</v>
      </c>
      <c r="J676">
        <v>12</v>
      </c>
      <c r="K676" t="s">
        <v>1563</v>
      </c>
      <c r="L676" t="str">
        <f t="shared" si="90"/>
        <v>Y</v>
      </c>
      <c r="M676" t="str">
        <f t="shared" si="91"/>
        <v>Y</v>
      </c>
      <c r="N676" t="str">
        <f t="shared" si="92"/>
        <v>Y</v>
      </c>
      <c r="O676">
        <f t="shared" si="93"/>
        <v>5</v>
      </c>
      <c r="P676" s="6">
        <f t="shared" si="94"/>
        <v>1.0058275058275059</v>
      </c>
      <c r="Q676" s="6">
        <f t="shared" si="95"/>
        <v>1.3904982618771726E-2</v>
      </c>
      <c r="R676">
        <f t="shared" si="96"/>
        <v>1</v>
      </c>
      <c r="S676">
        <f t="shared" si="97"/>
        <v>0</v>
      </c>
      <c r="T676" t="str">
        <f t="shared" si="98"/>
        <v>Jan-26</v>
      </c>
    </row>
    <row r="677" spans="1:20">
      <c r="A677" t="s">
        <v>1142</v>
      </c>
      <c r="B677" t="s">
        <v>11</v>
      </c>
      <c r="C677" t="s">
        <v>12</v>
      </c>
      <c r="D677">
        <v>779</v>
      </c>
      <c r="E677" s="4">
        <v>46092</v>
      </c>
      <c r="F677" s="4">
        <v>46100</v>
      </c>
      <c r="G677" s="4">
        <v>46097</v>
      </c>
      <c r="H677">
        <v>768</v>
      </c>
      <c r="I677" t="s">
        <v>403</v>
      </c>
      <c r="J677">
        <v>22</v>
      </c>
      <c r="K677" t="s">
        <v>1563</v>
      </c>
      <c r="L677" t="str">
        <f t="shared" si="90"/>
        <v>Y</v>
      </c>
      <c r="M677" t="str">
        <f t="shared" si="91"/>
        <v>Y</v>
      </c>
      <c r="N677" t="str">
        <f t="shared" si="92"/>
        <v>Y</v>
      </c>
      <c r="O677">
        <f t="shared" si="93"/>
        <v>5</v>
      </c>
      <c r="P677" s="6">
        <f t="shared" si="94"/>
        <v>0.98587933247753534</v>
      </c>
      <c r="Q677" s="6">
        <f t="shared" si="95"/>
        <v>2.8645833333333332E-2</v>
      </c>
      <c r="R677">
        <f t="shared" si="96"/>
        <v>1</v>
      </c>
      <c r="S677">
        <f t="shared" si="97"/>
        <v>0</v>
      </c>
      <c r="T677" t="str">
        <f t="shared" si="98"/>
        <v>Mar-26</v>
      </c>
    </row>
    <row r="678" spans="1:20">
      <c r="A678" t="s">
        <v>1143</v>
      </c>
      <c r="B678" t="s">
        <v>35</v>
      </c>
      <c r="C678" t="s">
        <v>16</v>
      </c>
      <c r="D678">
        <v>412</v>
      </c>
      <c r="E678" s="4">
        <v>46173</v>
      </c>
      <c r="F678" s="4">
        <v>46188</v>
      </c>
      <c r="G678" s="4">
        <v>46185</v>
      </c>
      <c r="H678">
        <v>411</v>
      </c>
      <c r="I678" t="s">
        <v>150</v>
      </c>
      <c r="J678">
        <v>11</v>
      </c>
      <c r="K678" t="s">
        <v>1563</v>
      </c>
      <c r="L678" t="str">
        <f t="shared" si="90"/>
        <v>Y</v>
      </c>
      <c r="M678" t="str">
        <f t="shared" si="91"/>
        <v>Y</v>
      </c>
      <c r="N678" t="str">
        <f t="shared" si="92"/>
        <v>Y</v>
      </c>
      <c r="O678">
        <f t="shared" si="93"/>
        <v>12</v>
      </c>
      <c r="P678" s="6">
        <f t="shared" si="94"/>
        <v>0.99757281553398058</v>
      </c>
      <c r="Q678" s="6">
        <f t="shared" si="95"/>
        <v>2.6763990267639901E-2</v>
      </c>
      <c r="R678">
        <f t="shared" si="96"/>
        <v>1</v>
      </c>
      <c r="S678">
        <f t="shared" si="97"/>
        <v>0</v>
      </c>
      <c r="T678" t="str">
        <f t="shared" si="98"/>
        <v>Jun-26</v>
      </c>
    </row>
    <row r="679" spans="1:20">
      <c r="A679" t="s">
        <v>1145</v>
      </c>
      <c r="B679" t="s">
        <v>11</v>
      </c>
      <c r="C679" t="s">
        <v>16</v>
      </c>
      <c r="D679">
        <v>685</v>
      </c>
      <c r="E679" s="4">
        <v>46097</v>
      </c>
      <c r="F679" s="4">
        <v>46107</v>
      </c>
      <c r="G679" s="4">
        <v>46106</v>
      </c>
      <c r="H679">
        <v>681</v>
      </c>
      <c r="I679" t="s">
        <v>90</v>
      </c>
      <c r="J679">
        <v>24</v>
      </c>
      <c r="K679" t="s">
        <v>1563</v>
      </c>
      <c r="L679" t="str">
        <f t="shared" si="90"/>
        <v>Y</v>
      </c>
      <c r="M679" t="str">
        <f t="shared" si="91"/>
        <v>Y</v>
      </c>
      <c r="N679" t="str">
        <f t="shared" si="92"/>
        <v>Y</v>
      </c>
      <c r="O679">
        <f t="shared" si="93"/>
        <v>9</v>
      </c>
      <c r="P679" s="6">
        <f t="shared" si="94"/>
        <v>0.99416058394160589</v>
      </c>
      <c r="Q679" s="6">
        <f t="shared" si="95"/>
        <v>3.5242290748898682E-2</v>
      </c>
      <c r="R679">
        <f t="shared" si="96"/>
        <v>1</v>
      </c>
      <c r="S679">
        <f t="shared" si="97"/>
        <v>0</v>
      </c>
      <c r="T679" t="str">
        <f t="shared" si="98"/>
        <v>Mar-26</v>
      </c>
    </row>
    <row r="680" spans="1:20">
      <c r="A680" t="s">
        <v>1146</v>
      </c>
      <c r="B680" t="s">
        <v>32</v>
      </c>
      <c r="C680" t="s">
        <v>12</v>
      </c>
      <c r="D680">
        <v>346</v>
      </c>
      <c r="E680" s="4">
        <v>46128</v>
      </c>
      <c r="F680" s="4">
        <v>46142</v>
      </c>
      <c r="G680" s="4">
        <v>46140</v>
      </c>
      <c r="H680">
        <v>350</v>
      </c>
      <c r="I680" t="s">
        <v>178</v>
      </c>
      <c r="J680">
        <v>13</v>
      </c>
      <c r="K680" t="s">
        <v>1563</v>
      </c>
      <c r="L680" t="str">
        <f t="shared" si="90"/>
        <v>Y</v>
      </c>
      <c r="M680" t="str">
        <f t="shared" si="91"/>
        <v>Y</v>
      </c>
      <c r="N680" t="str">
        <f t="shared" si="92"/>
        <v>Y</v>
      </c>
      <c r="O680">
        <f t="shared" si="93"/>
        <v>12</v>
      </c>
      <c r="P680" s="6">
        <f t="shared" si="94"/>
        <v>1.0115606936416186</v>
      </c>
      <c r="Q680" s="6">
        <f t="shared" si="95"/>
        <v>3.7142857142857144E-2</v>
      </c>
      <c r="R680">
        <f t="shared" si="96"/>
        <v>1</v>
      </c>
      <c r="S680">
        <f t="shared" si="97"/>
        <v>0</v>
      </c>
      <c r="T680" t="str">
        <f t="shared" si="98"/>
        <v>Apr-26</v>
      </c>
    </row>
    <row r="681" spans="1:20">
      <c r="A681" t="s">
        <v>1148</v>
      </c>
      <c r="B681" t="s">
        <v>32</v>
      </c>
      <c r="C681" t="s">
        <v>12</v>
      </c>
      <c r="D681">
        <v>954</v>
      </c>
      <c r="E681" s="4">
        <v>46090</v>
      </c>
      <c r="F681" s="4">
        <v>46101</v>
      </c>
      <c r="G681" s="4">
        <v>46099</v>
      </c>
      <c r="H681">
        <v>948</v>
      </c>
      <c r="I681" t="s">
        <v>204</v>
      </c>
      <c r="J681">
        <v>18</v>
      </c>
      <c r="K681" t="s">
        <v>1563</v>
      </c>
      <c r="L681" t="str">
        <f t="shared" si="90"/>
        <v>Y</v>
      </c>
      <c r="M681" t="str">
        <f t="shared" si="91"/>
        <v>Y</v>
      </c>
      <c r="N681" t="str">
        <f t="shared" si="92"/>
        <v>Y</v>
      </c>
      <c r="O681">
        <f t="shared" si="93"/>
        <v>9</v>
      </c>
      <c r="P681" s="6">
        <f t="shared" si="94"/>
        <v>0.99371069182389937</v>
      </c>
      <c r="Q681" s="6">
        <f t="shared" si="95"/>
        <v>1.8987341772151899E-2</v>
      </c>
      <c r="R681">
        <f t="shared" si="96"/>
        <v>1</v>
      </c>
      <c r="S681">
        <f t="shared" si="97"/>
        <v>0</v>
      </c>
      <c r="T681" t="str">
        <f t="shared" si="98"/>
        <v>Mar-26</v>
      </c>
    </row>
    <row r="682" spans="1:20">
      <c r="A682" t="s">
        <v>1149</v>
      </c>
      <c r="B682" t="s">
        <v>120</v>
      </c>
      <c r="C682" t="s">
        <v>12</v>
      </c>
      <c r="D682">
        <v>468</v>
      </c>
      <c r="E682" s="4">
        <v>46047</v>
      </c>
      <c r="F682" s="4">
        <v>46061</v>
      </c>
      <c r="G682" s="4">
        <v>46058</v>
      </c>
      <c r="H682">
        <v>468</v>
      </c>
      <c r="I682" t="s">
        <v>711</v>
      </c>
      <c r="J682">
        <v>2</v>
      </c>
      <c r="K682" t="s">
        <v>1563</v>
      </c>
      <c r="L682" t="str">
        <f t="shared" si="90"/>
        <v>Y</v>
      </c>
      <c r="M682" t="str">
        <f t="shared" si="91"/>
        <v>Y</v>
      </c>
      <c r="N682" t="str">
        <f t="shared" si="92"/>
        <v>Y</v>
      </c>
      <c r="O682">
        <f t="shared" si="93"/>
        <v>11</v>
      </c>
      <c r="P682" s="6">
        <f t="shared" si="94"/>
        <v>1</v>
      </c>
      <c r="Q682" s="6">
        <f t="shared" si="95"/>
        <v>4.2735042735042739E-3</v>
      </c>
      <c r="R682">
        <f t="shared" si="96"/>
        <v>1</v>
      </c>
      <c r="S682">
        <f t="shared" si="97"/>
        <v>0</v>
      </c>
      <c r="T682" t="str">
        <f t="shared" si="98"/>
        <v>Feb-26</v>
      </c>
    </row>
    <row r="683" spans="1:20">
      <c r="A683" t="s">
        <v>1150</v>
      </c>
      <c r="B683" t="s">
        <v>70</v>
      </c>
      <c r="C683" t="s">
        <v>12</v>
      </c>
      <c r="D683">
        <v>952</v>
      </c>
      <c r="E683" s="4">
        <v>46103</v>
      </c>
      <c r="F683" s="4">
        <v>46115</v>
      </c>
      <c r="G683" s="4">
        <v>46114</v>
      </c>
      <c r="H683">
        <v>794</v>
      </c>
      <c r="I683" t="s">
        <v>336</v>
      </c>
      <c r="J683">
        <v>0</v>
      </c>
      <c r="K683" t="s">
        <v>1563</v>
      </c>
      <c r="L683" t="str">
        <f t="shared" si="90"/>
        <v>Y</v>
      </c>
      <c r="M683" t="str">
        <f t="shared" si="91"/>
        <v>N</v>
      </c>
      <c r="N683" t="str">
        <f t="shared" si="92"/>
        <v>N</v>
      </c>
      <c r="O683">
        <f t="shared" si="93"/>
        <v>11</v>
      </c>
      <c r="P683" s="6">
        <f t="shared" si="94"/>
        <v>0.83403361344537819</v>
      </c>
      <c r="Q683" s="6">
        <f t="shared" si="95"/>
        <v>0</v>
      </c>
      <c r="R683">
        <f t="shared" si="96"/>
        <v>0</v>
      </c>
      <c r="S683">
        <f t="shared" si="97"/>
        <v>0</v>
      </c>
      <c r="T683" t="str">
        <f t="shared" si="98"/>
        <v>Apr-26</v>
      </c>
    </row>
    <row r="684" spans="1:20">
      <c r="A684" t="s">
        <v>1152</v>
      </c>
      <c r="B684" t="s">
        <v>46</v>
      </c>
      <c r="C684" t="s">
        <v>16</v>
      </c>
      <c r="D684">
        <v>733</v>
      </c>
      <c r="E684" s="4">
        <v>46093</v>
      </c>
      <c r="F684" s="4">
        <v>46102</v>
      </c>
      <c r="G684" s="4">
        <v>46101</v>
      </c>
      <c r="H684">
        <v>737</v>
      </c>
      <c r="I684" t="s">
        <v>1153</v>
      </c>
      <c r="J684">
        <v>4</v>
      </c>
      <c r="K684" t="s">
        <v>1563</v>
      </c>
      <c r="L684" t="str">
        <f t="shared" si="90"/>
        <v>Y</v>
      </c>
      <c r="M684" t="str">
        <f t="shared" si="91"/>
        <v>Y</v>
      </c>
      <c r="N684" t="str">
        <f t="shared" si="92"/>
        <v>Y</v>
      </c>
      <c r="O684">
        <f t="shared" si="93"/>
        <v>8</v>
      </c>
      <c r="P684" s="6">
        <f t="shared" si="94"/>
        <v>1.005457025920873</v>
      </c>
      <c r="Q684" s="6">
        <f t="shared" si="95"/>
        <v>5.4274084124830389E-3</v>
      </c>
      <c r="R684">
        <f t="shared" si="96"/>
        <v>1</v>
      </c>
      <c r="S684">
        <f t="shared" si="97"/>
        <v>0</v>
      </c>
      <c r="T684" t="str">
        <f t="shared" si="98"/>
        <v>Mar-26</v>
      </c>
    </row>
    <row r="685" spans="1:20">
      <c r="A685" t="s">
        <v>1154</v>
      </c>
      <c r="B685" t="s">
        <v>32</v>
      </c>
      <c r="C685" t="s">
        <v>16</v>
      </c>
      <c r="D685">
        <v>454</v>
      </c>
      <c r="E685" s="4">
        <v>46141</v>
      </c>
      <c r="F685" s="4">
        <v>46151</v>
      </c>
      <c r="G685" s="4">
        <v>46149</v>
      </c>
      <c r="H685">
        <v>452</v>
      </c>
      <c r="I685" t="s">
        <v>1155</v>
      </c>
      <c r="J685">
        <v>31</v>
      </c>
      <c r="K685" t="s">
        <v>1563</v>
      </c>
      <c r="L685" t="str">
        <f t="shared" si="90"/>
        <v>Y</v>
      </c>
      <c r="M685" t="str">
        <f t="shared" si="91"/>
        <v>Y</v>
      </c>
      <c r="N685" t="str">
        <f t="shared" si="92"/>
        <v>Y</v>
      </c>
      <c r="O685">
        <f t="shared" si="93"/>
        <v>8</v>
      </c>
      <c r="P685" s="6">
        <f t="shared" si="94"/>
        <v>0.99559471365638763</v>
      </c>
      <c r="Q685" s="6">
        <f t="shared" si="95"/>
        <v>6.8584070796460173E-2</v>
      </c>
      <c r="R685">
        <f t="shared" si="96"/>
        <v>1</v>
      </c>
      <c r="S685">
        <f t="shared" si="97"/>
        <v>0</v>
      </c>
      <c r="T685" t="str">
        <f t="shared" si="98"/>
        <v>May-26</v>
      </c>
    </row>
    <row r="686" spans="1:20">
      <c r="A686" t="s">
        <v>1156</v>
      </c>
      <c r="B686" t="s">
        <v>11</v>
      </c>
      <c r="C686" t="s">
        <v>16</v>
      </c>
      <c r="D686">
        <v>158</v>
      </c>
      <c r="E686" s="4">
        <v>46123</v>
      </c>
      <c r="F686" s="4">
        <v>46129</v>
      </c>
      <c r="G686" s="4">
        <v>46127</v>
      </c>
      <c r="H686">
        <v>157</v>
      </c>
      <c r="I686" t="s">
        <v>597</v>
      </c>
      <c r="J686">
        <v>3</v>
      </c>
      <c r="K686" t="s">
        <v>1563</v>
      </c>
      <c r="L686" t="str">
        <f t="shared" si="90"/>
        <v>Y</v>
      </c>
      <c r="M686" t="str">
        <f t="shared" si="91"/>
        <v>Y</v>
      </c>
      <c r="N686" t="str">
        <f t="shared" si="92"/>
        <v>Y</v>
      </c>
      <c r="O686">
        <f t="shared" si="93"/>
        <v>4</v>
      </c>
      <c r="P686" s="6">
        <f t="shared" si="94"/>
        <v>0.99367088607594933</v>
      </c>
      <c r="Q686" s="6">
        <f t="shared" si="95"/>
        <v>1.9108280254777069E-2</v>
      </c>
      <c r="R686">
        <f t="shared" si="96"/>
        <v>1</v>
      </c>
      <c r="S686">
        <f t="shared" si="97"/>
        <v>0</v>
      </c>
      <c r="T686" t="str">
        <f t="shared" si="98"/>
        <v>Apr-26</v>
      </c>
    </row>
    <row r="687" spans="1:20">
      <c r="A687" t="s">
        <v>1157</v>
      </c>
      <c r="B687" t="s">
        <v>46</v>
      </c>
      <c r="C687" t="s">
        <v>16</v>
      </c>
      <c r="D687">
        <v>444</v>
      </c>
      <c r="E687" s="4">
        <v>46124</v>
      </c>
      <c r="F687" s="4">
        <v>46136</v>
      </c>
      <c r="G687" s="4">
        <v>46134</v>
      </c>
      <c r="H687">
        <v>435</v>
      </c>
      <c r="I687" t="s">
        <v>71</v>
      </c>
      <c r="J687">
        <v>18</v>
      </c>
      <c r="K687" t="s">
        <v>1563</v>
      </c>
      <c r="L687" t="str">
        <f t="shared" si="90"/>
        <v>Y</v>
      </c>
      <c r="M687" t="str">
        <f t="shared" si="91"/>
        <v>N</v>
      </c>
      <c r="N687" t="str">
        <f t="shared" si="92"/>
        <v>N</v>
      </c>
      <c r="O687">
        <f t="shared" si="93"/>
        <v>10</v>
      </c>
      <c r="P687" s="6">
        <f t="shared" si="94"/>
        <v>0.97972972972972971</v>
      </c>
      <c r="Q687" s="6">
        <f t="shared" si="95"/>
        <v>4.1379310344827586E-2</v>
      </c>
      <c r="R687">
        <f t="shared" si="96"/>
        <v>0</v>
      </c>
      <c r="S687">
        <f t="shared" si="97"/>
        <v>0</v>
      </c>
      <c r="T687" t="str">
        <f t="shared" si="98"/>
        <v>Apr-26</v>
      </c>
    </row>
    <row r="688" spans="1:20">
      <c r="A688" t="s">
        <v>1159</v>
      </c>
      <c r="B688" t="s">
        <v>35</v>
      </c>
      <c r="C688" t="s">
        <v>16</v>
      </c>
      <c r="D688">
        <v>578</v>
      </c>
      <c r="E688" s="4">
        <v>46176</v>
      </c>
      <c r="F688" s="4">
        <v>46187</v>
      </c>
      <c r="G688" s="4">
        <v>46194</v>
      </c>
      <c r="H688">
        <v>583</v>
      </c>
      <c r="I688" t="s">
        <v>1160</v>
      </c>
      <c r="J688">
        <v>9</v>
      </c>
      <c r="K688" t="s">
        <v>1563</v>
      </c>
      <c r="L688" t="str">
        <f t="shared" si="90"/>
        <v>N</v>
      </c>
      <c r="M688" t="str">
        <f t="shared" si="91"/>
        <v>Y</v>
      </c>
      <c r="N688" t="str">
        <f t="shared" si="92"/>
        <v>N</v>
      </c>
      <c r="O688">
        <f t="shared" si="93"/>
        <v>18</v>
      </c>
      <c r="P688" s="6">
        <f t="shared" si="94"/>
        <v>1.0086505190311419</v>
      </c>
      <c r="Q688" s="6">
        <f t="shared" si="95"/>
        <v>1.5437392795883362E-2</v>
      </c>
      <c r="R688">
        <f t="shared" si="96"/>
        <v>0</v>
      </c>
      <c r="S688">
        <f t="shared" si="97"/>
        <v>7</v>
      </c>
      <c r="T688" t="str">
        <f t="shared" si="98"/>
        <v>Jun-26</v>
      </c>
    </row>
    <row r="689" spans="1:20">
      <c r="A689" t="s">
        <v>1161</v>
      </c>
      <c r="B689" t="s">
        <v>43</v>
      </c>
      <c r="C689" t="s">
        <v>16</v>
      </c>
      <c r="D689">
        <v>307</v>
      </c>
      <c r="E689" s="4">
        <v>46040</v>
      </c>
      <c r="F689" s="4">
        <v>46052</v>
      </c>
      <c r="G689" s="4">
        <v>46050</v>
      </c>
      <c r="H689">
        <v>312</v>
      </c>
      <c r="I689" t="s">
        <v>298</v>
      </c>
      <c r="J689">
        <v>6</v>
      </c>
      <c r="K689" t="s">
        <v>1563</v>
      </c>
      <c r="L689" t="str">
        <f t="shared" si="90"/>
        <v>Y</v>
      </c>
      <c r="M689" t="str">
        <f t="shared" si="91"/>
        <v>Y</v>
      </c>
      <c r="N689" t="str">
        <f t="shared" si="92"/>
        <v>Y</v>
      </c>
      <c r="O689">
        <f t="shared" si="93"/>
        <v>10</v>
      </c>
      <c r="P689" s="6">
        <f t="shared" si="94"/>
        <v>1.0162866449511401</v>
      </c>
      <c r="Q689" s="6">
        <f t="shared" si="95"/>
        <v>1.9230769230769232E-2</v>
      </c>
      <c r="R689">
        <f t="shared" si="96"/>
        <v>1</v>
      </c>
      <c r="S689">
        <f t="shared" si="97"/>
        <v>0</v>
      </c>
      <c r="T689" t="str">
        <f t="shared" si="98"/>
        <v>Jan-26</v>
      </c>
    </row>
    <row r="690" spans="1:20">
      <c r="A690" t="s">
        <v>1162</v>
      </c>
      <c r="B690" t="s">
        <v>11</v>
      </c>
      <c r="C690" t="s">
        <v>12</v>
      </c>
      <c r="D690">
        <v>106</v>
      </c>
      <c r="E690" s="4">
        <v>46152</v>
      </c>
      <c r="F690" s="4">
        <v>46163</v>
      </c>
      <c r="G690" s="4">
        <v>46170</v>
      </c>
      <c r="H690">
        <v>105</v>
      </c>
      <c r="I690" t="s">
        <v>1163</v>
      </c>
      <c r="J690">
        <v>3</v>
      </c>
      <c r="K690" t="s">
        <v>1563</v>
      </c>
      <c r="L690" t="str">
        <f t="shared" si="90"/>
        <v>N</v>
      </c>
      <c r="M690" t="str">
        <f t="shared" si="91"/>
        <v>Y</v>
      </c>
      <c r="N690" t="str">
        <f t="shared" si="92"/>
        <v>N</v>
      </c>
      <c r="O690">
        <f t="shared" si="93"/>
        <v>18</v>
      </c>
      <c r="P690" s="6">
        <f t="shared" si="94"/>
        <v>0.99056603773584906</v>
      </c>
      <c r="Q690" s="6">
        <f t="shared" si="95"/>
        <v>2.8571428571428571E-2</v>
      </c>
      <c r="R690">
        <f t="shared" si="96"/>
        <v>0</v>
      </c>
      <c r="S690">
        <f t="shared" si="97"/>
        <v>7</v>
      </c>
      <c r="T690" t="str">
        <f t="shared" si="98"/>
        <v>May-26</v>
      </c>
    </row>
    <row r="691" spans="1:20">
      <c r="A691" t="s">
        <v>1164</v>
      </c>
      <c r="B691" t="s">
        <v>32</v>
      </c>
      <c r="C691" t="s">
        <v>12</v>
      </c>
      <c r="D691">
        <v>489</v>
      </c>
      <c r="E691" s="4">
        <v>46030</v>
      </c>
      <c r="F691" s="4">
        <v>46041</v>
      </c>
      <c r="G691" s="4"/>
      <c r="I691" t="s">
        <v>352</v>
      </c>
      <c r="K691" t="s">
        <v>1565</v>
      </c>
      <c r="L691" t="str">
        <f t="shared" si="90"/>
        <v>N/A</v>
      </c>
      <c r="M691" t="str">
        <f t="shared" si="91"/>
        <v>N/A</v>
      </c>
      <c r="N691" t="str">
        <f t="shared" si="92"/>
        <v>N/A</v>
      </c>
      <c r="O691" t="str">
        <f t="shared" si="93"/>
        <v>N/A</v>
      </c>
      <c r="P691" s="6" t="str">
        <f t="shared" si="94"/>
        <v>N/A</v>
      </c>
      <c r="Q691" s="6" t="str">
        <f t="shared" si="95"/>
        <v>N/A</v>
      </c>
      <c r="R691" t="str">
        <f t="shared" si="96"/>
        <v/>
      </c>
      <c r="S691" t="str">
        <f t="shared" si="97"/>
        <v>N/A</v>
      </c>
      <c r="T691" t="str">
        <f t="shared" si="98"/>
        <v>N/A</v>
      </c>
    </row>
    <row r="692" spans="1:20">
      <c r="A692" t="s">
        <v>1165</v>
      </c>
      <c r="B692" t="s">
        <v>29</v>
      </c>
      <c r="C692" t="s">
        <v>16</v>
      </c>
      <c r="D692">
        <v>538</v>
      </c>
      <c r="E692" s="4">
        <v>46098</v>
      </c>
      <c r="F692" s="4">
        <v>46110</v>
      </c>
      <c r="G692" s="4">
        <v>46107</v>
      </c>
      <c r="H692">
        <v>545</v>
      </c>
      <c r="I692" t="s">
        <v>162</v>
      </c>
      <c r="J692">
        <v>4</v>
      </c>
      <c r="K692" t="s">
        <v>1563</v>
      </c>
      <c r="L692" t="str">
        <f t="shared" si="90"/>
        <v>Y</v>
      </c>
      <c r="M692" t="str">
        <f t="shared" si="91"/>
        <v>Y</v>
      </c>
      <c r="N692" t="str">
        <f t="shared" si="92"/>
        <v>Y</v>
      </c>
      <c r="O692">
        <f t="shared" si="93"/>
        <v>9</v>
      </c>
      <c r="P692" s="6">
        <f t="shared" si="94"/>
        <v>1.013011152416357</v>
      </c>
      <c r="Q692" s="6">
        <f t="shared" si="95"/>
        <v>7.3394495412844041E-3</v>
      </c>
      <c r="R692">
        <f t="shared" si="96"/>
        <v>1</v>
      </c>
      <c r="S692">
        <f t="shared" si="97"/>
        <v>0</v>
      </c>
      <c r="T692" t="str">
        <f t="shared" si="98"/>
        <v>Mar-26</v>
      </c>
    </row>
    <row r="693" spans="1:20">
      <c r="A693" t="s">
        <v>1166</v>
      </c>
      <c r="B693" t="s">
        <v>120</v>
      </c>
      <c r="C693" t="s">
        <v>23</v>
      </c>
      <c r="D693">
        <v>923</v>
      </c>
      <c r="E693" s="4">
        <v>46073</v>
      </c>
      <c r="F693" s="4">
        <v>46081</v>
      </c>
      <c r="G693" s="4">
        <v>46080</v>
      </c>
      <c r="H693">
        <v>920</v>
      </c>
      <c r="I693" t="s">
        <v>763</v>
      </c>
      <c r="J693">
        <v>45</v>
      </c>
      <c r="K693" t="s">
        <v>1563</v>
      </c>
      <c r="L693" t="str">
        <f t="shared" si="90"/>
        <v>Y</v>
      </c>
      <c r="M693" t="str">
        <f t="shared" si="91"/>
        <v>Y</v>
      </c>
      <c r="N693" t="str">
        <f t="shared" si="92"/>
        <v>Y</v>
      </c>
      <c r="O693">
        <f t="shared" si="93"/>
        <v>7</v>
      </c>
      <c r="P693" s="6">
        <f t="shared" si="94"/>
        <v>0.99674972914409532</v>
      </c>
      <c r="Q693" s="6">
        <f t="shared" si="95"/>
        <v>4.8913043478260872E-2</v>
      </c>
      <c r="R693">
        <f t="shared" si="96"/>
        <v>1</v>
      </c>
      <c r="S693">
        <f t="shared" si="97"/>
        <v>0</v>
      </c>
      <c r="T693" t="str">
        <f t="shared" si="98"/>
        <v>Feb-26</v>
      </c>
    </row>
    <row r="694" spans="1:20">
      <c r="A694" t="s">
        <v>1167</v>
      </c>
      <c r="B694" t="s">
        <v>32</v>
      </c>
      <c r="C694" t="s">
        <v>23</v>
      </c>
      <c r="D694">
        <v>726</v>
      </c>
      <c r="E694" s="4">
        <v>46043</v>
      </c>
      <c r="F694" s="4">
        <v>46055</v>
      </c>
      <c r="G694" s="4">
        <v>46055</v>
      </c>
      <c r="H694">
        <v>642</v>
      </c>
      <c r="I694" t="s">
        <v>1168</v>
      </c>
      <c r="J694">
        <v>23</v>
      </c>
      <c r="K694" t="s">
        <v>1563</v>
      </c>
      <c r="L694" t="str">
        <f t="shared" si="90"/>
        <v>Y</v>
      </c>
      <c r="M694" t="str">
        <f t="shared" si="91"/>
        <v>N</v>
      </c>
      <c r="N694" t="str">
        <f t="shared" si="92"/>
        <v>N</v>
      </c>
      <c r="O694">
        <f t="shared" si="93"/>
        <v>12</v>
      </c>
      <c r="P694" s="6">
        <f t="shared" si="94"/>
        <v>0.88429752066115708</v>
      </c>
      <c r="Q694" s="6">
        <f t="shared" si="95"/>
        <v>3.5825545171339561E-2</v>
      </c>
      <c r="R694">
        <f t="shared" si="96"/>
        <v>0</v>
      </c>
      <c r="S694">
        <f t="shared" si="97"/>
        <v>0</v>
      </c>
      <c r="T694" t="str">
        <f t="shared" si="98"/>
        <v>Feb-26</v>
      </c>
    </row>
    <row r="695" spans="1:20">
      <c r="A695" t="s">
        <v>1169</v>
      </c>
      <c r="B695" t="s">
        <v>19</v>
      </c>
      <c r="C695" t="s">
        <v>12</v>
      </c>
      <c r="D695">
        <v>149</v>
      </c>
      <c r="E695" s="4">
        <v>46115</v>
      </c>
      <c r="F695" s="4">
        <v>46121</v>
      </c>
      <c r="G695" s="4">
        <v>46121</v>
      </c>
      <c r="H695">
        <v>147</v>
      </c>
      <c r="I695" t="s">
        <v>307</v>
      </c>
      <c r="J695">
        <v>3</v>
      </c>
      <c r="K695" t="s">
        <v>1563</v>
      </c>
      <c r="L695" t="str">
        <f t="shared" si="90"/>
        <v>Y</v>
      </c>
      <c r="M695" t="str">
        <f t="shared" si="91"/>
        <v>Y</v>
      </c>
      <c r="N695" t="str">
        <f t="shared" si="92"/>
        <v>Y</v>
      </c>
      <c r="O695">
        <f t="shared" si="93"/>
        <v>6</v>
      </c>
      <c r="P695" s="6">
        <f t="shared" si="94"/>
        <v>0.98657718120805371</v>
      </c>
      <c r="Q695" s="6">
        <f t="shared" si="95"/>
        <v>2.0408163265306121E-2</v>
      </c>
      <c r="R695">
        <f t="shared" si="96"/>
        <v>1</v>
      </c>
      <c r="S695">
        <f t="shared" si="97"/>
        <v>0</v>
      </c>
      <c r="T695" t="str">
        <f t="shared" si="98"/>
        <v>Apr-26</v>
      </c>
    </row>
    <row r="696" spans="1:20">
      <c r="A696" t="s">
        <v>1171</v>
      </c>
      <c r="B696" t="s">
        <v>32</v>
      </c>
      <c r="C696" t="s">
        <v>12</v>
      </c>
      <c r="D696">
        <v>431</v>
      </c>
      <c r="E696" s="4">
        <v>46083</v>
      </c>
      <c r="F696" s="4">
        <v>46091</v>
      </c>
      <c r="G696" s="4">
        <v>46089</v>
      </c>
      <c r="H696">
        <v>382</v>
      </c>
      <c r="I696" t="s">
        <v>38</v>
      </c>
      <c r="J696">
        <v>22</v>
      </c>
      <c r="K696" t="s">
        <v>1563</v>
      </c>
      <c r="L696" t="str">
        <f t="shared" si="90"/>
        <v>Y</v>
      </c>
      <c r="M696" t="str">
        <f t="shared" si="91"/>
        <v>N</v>
      </c>
      <c r="N696" t="str">
        <f t="shared" si="92"/>
        <v>N</v>
      </c>
      <c r="O696">
        <f t="shared" si="93"/>
        <v>6</v>
      </c>
      <c r="P696" s="6">
        <f t="shared" si="94"/>
        <v>0.88631090487238984</v>
      </c>
      <c r="Q696" s="6">
        <f t="shared" si="95"/>
        <v>5.7591623036649213E-2</v>
      </c>
      <c r="R696">
        <f t="shared" si="96"/>
        <v>0</v>
      </c>
      <c r="S696">
        <f t="shared" si="97"/>
        <v>0</v>
      </c>
      <c r="T696" t="str">
        <f t="shared" si="98"/>
        <v>Mar-26</v>
      </c>
    </row>
    <row r="697" spans="1:20">
      <c r="A697" t="s">
        <v>1172</v>
      </c>
      <c r="B697" t="s">
        <v>81</v>
      </c>
      <c r="C697" t="s">
        <v>12</v>
      </c>
      <c r="D697">
        <v>721</v>
      </c>
      <c r="E697" s="4">
        <v>46036</v>
      </c>
      <c r="F697" s="4">
        <v>46049</v>
      </c>
      <c r="G697" s="4">
        <v>46047</v>
      </c>
      <c r="H697">
        <v>662</v>
      </c>
      <c r="I697" t="s">
        <v>864</v>
      </c>
      <c r="J697">
        <v>12</v>
      </c>
      <c r="K697" t="s">
        <v>1563</v>
      </c>
      <c r="L697" t="str">
        <f t="shared" si="90"/>
        <v>Y</v>
      </c>
      <c r="M697" t="str">
        <f t="shared" si="91"/>
        <v>N</v>
      </c>
      <c r="N697" t="str">
        <f t="shared" si="92"/>
        <v>N</v>
      </c>
      <c r="O697">
        <f t="shared" si="93"/>
        <v>11</v>
      </c>
      <c r="P697" s="6">
        <f t="shared" si="94"/>
        <v>0.91816920943134539</v>
      </c>
      <c r="Q697" s="6">
        <f t="shared" si="95"/>
        <v>1.812688821752266E-2</v>
      </c>
      <c r="R697">
        <f t="shared" si="96"/>
        <v>0</v>
      </c>
      <c r="S697">
        <f t="shared" si="97"/>
        <v>0</v>
      </c>
      <c r="T697" t="str">
        <f t="shared" si="98"/>
        <v>Jan-26</v>
      </c>
    </row>
    <row r="698" spans="1:20">
      <c r="A698" t="s">
        <v>1173</v>
      </c>
      <c r="B698" t="s">
        <v>120</v>
      </c>
      <c r="C698" t="s">
        <v>12</v>
      </c>
      <c r="D698">
        <v>820</v>
      </c>
      <c r="E698" s="4">
        <v>46040</v>
      </c>
      <c r="F698" s="4">
        <v>46051</v>
      </c>
      <c r="G698" s="4">
        <v>46048</v>
      </c>
      <c r="H698">
        <v>714</v>
      </c>
      <c r="I698" t="s">
        <v>1174</v>
      </c>
      <c r="J698">
        <v>22</v>
      </c>
      <c r="K698" t="s">
        <v>1563</v>
      </c>
      <c r="L698" t="str">
        <f t="shared" si="90"/>
        <v>Y</v>
      </c>
      <c r="M698" t="str">
        <f t="shared" si="91"/>
        <v>N</v>
      </c>
      <c r="N698" t="str">
        <f t="shared" si="92"/>
        <v>N</v>
      </c>
      <c r="O698">
        <f t="shared" si="93"/>
        <v>8</v>
      </c>
      <c r="P698" s="6">
        <f t="shared" si="94"/>
        <v>0.87073170731707317</v>
      </c>
      <c r="Q698" s="6">
        <f t="shared" si="95"/>
        <v>3.081232492997199E-2</v>
      </c>
      <c r="R698">
        <f t="shared" si="96"/>
        <v>0</v>
      </c>
      <c r="S698">
        <f t="shared" si="97"/>
        <v>0</v>
      </c>
      <c r="T698" t="str">
        <f t="shared" si="98"/>
        <v>Jan-26</v>
      </c>
    </row>
    <row r="699" spans="1:20">
      <c r="A699" t="s">
        <v>1175</v>
      </c>
      <c r="B699" t="s">
        <v>70</v>
      </c>
      <c r="C699" t="s">
        <v>12</v>
      </c>
      <c r="D699">
        <v>109</v>
      </c>
      <c r="E699" s="4">
        <v>46130</v>
      </c>
      <c r="F699" s="4">
        <v>46137</v>
      </c>
      <c r="G699" s="4">
        <v>46137</v>
      </c>
      <c r="H699">
        <v>90</v>
      </c>
      <c r="I699" t="s">
        <v>1176</v>
      </c>
      <c r="J699">
        <v>1</v>
      </c>
      <c r="K699" t="s">
        <v>1563</v>
      </c>
      <c r="L699" t="str">
        <f t="shared" si="90"/>
        <v>Y</v>
      </c>
      <c r="M699" t="str">
        <f t="shared" si="91"/>
        <v>N</v>
      </c>
      <c r="N699" t="str">
        <f t="shared" si="92"/>
        <v>N</v>
      </c>
      <c r="O699">
        <f t="shared" si="93"/>
        <v>7</v>
      </c>
      <c r="P699" s="6">
        <f t="shared" si="94"/>
        <v>0.82568807339449546</v>
      </c>
      <c r="Q699" s="6">
        <f t="shared" si="95"/>
        <v>1.1111111111111112E-2</v>
      </c>
      <c r="R699">
        <f t="shared" si="96"/>
        <v>0</v>
      </c>
      <c r="S699">
        <f t="shared" si="97"/>
        <v>0</v>
      </c>
      <c r="T699" t="str">
        <f t="shared" si="98"/>
        <v>Apr-26</v>
      </c>
    </row>
    <row r="700" spans="1:20">
      <c r="A700" t="s">
        <v>1177</v>
      </c>
      <c r="B700" t="s">
        <v>67</v>
      </c>
      <c r="C700" t="s">
        <v>23</v>
      </c>
      <c r="D700">
        <v>421</v>
      </c>
      <c r="E700" s="4">
        <v>46144</v>
      </c>
      <c r="F700" s="4">
        <v>46153</v>
      </c>
      <c r="G700" s="4">
        <v>46150</v>
      </c>
      <c r="H700">
        <v>413</v>
      </c>
      <c r="I700" t="s">
        <v>512</v>
      </c>
      <c r="J700">
        <v>1</v>
      </c>
      <c r="K700" t="s">
        <v>1563</v>
      </c>
      <c r="L700" t="str">
        <f t="shared" si="90"/>
        <v>Y</v>
      </c>
      <c r="M700" t="str">
        <f t="shared" si="91"/>
        <v>Y</v>
      </c>
      <c r="N700" t="str">
        <f t="shared" si="92"/>
        <v>Y</v>
      </c>
      <c r="O700">
        <f t="shared" si="93"/>
        <v>6</v>
      </c>
      <c r="P700" s="6">
        <f t="shared" si="94"/>
        <v>0.98099762470308793</v>
      </c>
      <c r="Q700" s="6">
        <f t="shared" si="95"/>
        <v>2.4213075060532689E-3</v>
      </c>
      <c r="R700">
        <f t="shared" si="96"/>
        <v>1</v>
      </c>
      <c r="S700">
        <f t="shared" si="97"/>
        <v>0</v>
      </c>
      <c r="T700" t="str">
        <f t="shared" si="98"/>
        <v>May-26</v>
      </c>
    </row>
    <row r="701" spans="1:20">
      <c r="A701" t="s">
        <v>1178</v>
      </c>
      <c r="B701" t="s">
        <v>64</v>
      </c>
      <c r="C701" t="s">
        <v>16</v>
      </c>
      <c r="D701">
        <v>289</v>
      </c>
      <c r="E701" s="4">
        <v>46088</v>
      </c>
      <c r="F701" s="4">
        <v>46097</v>
      </c>
      <c r="G701" s="4">
        <v>46106</v>
      </c>
      <c r="H701">
        <v>260</v>
      </c>
      <c r="I701" t="s">
        <v>17</v>
      </c>
      <c r="J701">
        <v>16</v>
      </c>
      <c r="K701" t="s">
        <v>1563</v>
      </c>
      <c r="L701" t="str">
        <f t="shared" si="90"/>
        <v>N</v>
      </c>
      <c r="M701" t="str">
        <f t="shared" si="91"/>
        <v>N</v>
      </c>
      <c r="N701" t="str">
        <f t="shared" si="92"/>
        <v>N</v>
      </c>
      <c r="O701">
        <f t="shared" si="93"/>
        <v>18</v>
      </c>
      <c r="P701" s="6">
        <f t="shared" si="94"/>
        <v>0.89965397923875434</v>
      </c>
      <c r="Q701" s="6">
        <f t="shared" si="95"/>
        <v>6.1538461538461542E-2</v>
      </c>
      <c r="R701">
        <f t="shared" si="96"/>
        <v>0</v>
      </c>
      <c r="S701">
        <f t="shared" si="97"/>
        <v>9</v>
      </c>
      <c r="T701" t="str">
        <f t="shared" si="98"/>
        <v>Mar-26</v>
      </c>
    </row>
    <row r="702" spans="1:20">
      <c r="A702" t="s">
        <v>1179</v>
      </c>
      <c r="B702" t="s">
        <v>26</v>
      </c>
      <c r="C702" t="s">
        <v>23</v>
      </c>
      <c r="D702">
        <v>700</v>
      </c>
      <c r="E702" s="4">
        <v>46123</v>
      </c>
      <c r="F702" s="4">
        <v>46131</v>
      </c>
      <c r="G702" s="4">
        <v>46130</v>
      </c>
      <c r="H702">
        <v>690</v>
      </c>
      <c r="I702" t="s">
        <v>631</v>
      </c>
      <c r="J702">
        <v>18</v>
      </c>
      <c r="K702" t="s">
        <v>1563</v>
      </c>
      <c r="L702" t="str">
        <f t="shared" si="90"/>
        <v>Y</v>
      </c>
      <c r="M702" t="str">
        <f t="shared" si="91"/>
        <v>Y</v>
      </c>
      <c r="N702" t="str">
        <f t="shared" si="92"/>
        <v>Y</v>
      </c>
      <c r="O702">
        <f t="shared" si="93"/>
        <v>7</v>
      </c>
      <c r="P702" s="6">
        <f t="shared" si="94"/>
        <v>0.98571428571428577</v>
      </c>
      <c r="Q702" s="6">
        <f t="shared" si="95"/>
        <v>2.6086956521739129E-2</v>
      </c>
      <c r="R702">
        <f t="shared" si="96"/>
        <v>1</v>
      </c>
      <c r="S702">
        <f t="shared" si="97"/>
        <v>0</v>
      </c>
      <c r="T702" t="str">
        <f t="shared" si="98"/>
        <v>Apr-26</v>
      </c>
    </row>
    <row r="703" spans="1:20">
      <c r="A703" t="s">
        <v>1180</v>
      </c>
      <c r="B703" t="s">
        <v>54</v>
      </c>
      <c r="C703" t="s">
        <v>23</v>
      </c>
      <c r="D703">
        <v>271</v>
      </c>
      <c r="E703" s="4">
        <v>46072</v>
      </c>
      <c r="F703" s="4">
        <v>46081</v>
      </c>
      <c r="G703" s="4">
        <v>46081</v>
      </c>
      <c r="H703">
        <v>269</v>
      </c>
      <c r="I703" t="s">
        <v>1181</v>
      </c>
      <c r="J703">
        <v>0</v>
      </c>
      <c r="K703" t="s">
        <v>1563</v>
      </c>
      <c r="L703" t="str">
        <f t="shared" si="90"/>
        <v>Y</v>
      </c>
      <c r="M703" t="str">
        <f t="shared" si="91"/>
        <v>Y</v>
      </c>
      <c r="N703" t="str">
        <f t="shared" si="92"/>
        <v>Y</v>
      </c>
      <c r="O703">
        <f t="shared" si="93"/>
        <v>9</v>
      </c>
      <c r="P703" s="6">
        <f t="shared" si="94"/>
        <v>0.99261992619926198</v>
      </c>
      <c r="Q703" s="6">
        <f t="shared" si="95"/>
        <v>0</v>
      </c>
      <c r="R703">
        <f t="shared" si="96"/>
        <v>1</v>
      </c>
      <c r="S703">
        <f t="shared" si="97"/>
        <v>0</v>
      </c>
      <c r="T703" t="str">
        <f t="shared" si="98"/>
        <v>Feb-26</v>
      </c>
    </row>
    <row r="704" spans="1:20">
      <c r="A704" t="s">
        <v>1182</v>
      </c>
      <c r="B704" t="s">
        <v>43</v>
      </c>
      <c r="C704" t="s">
        <v>16</v>
      </c>
      <c r="D704">
        <v>788</v>
      </c>
      <c r="E704" s="4">
        <v>46086</v>
      </c>
      <c r="F704" s="4">
        <v>46096</v>
      </c>
      <c r="G704" s="4">
        <v>46093</v>
      </c>
      <c r="H704">
        <v>791</v>
      </c>
      <c r="I704" t="s">
        <v>17</v>
      </c>
      <c r="J704">
        <v>53</v>
      </c>
      <c r="K704" t="s">
        <v>1563</v>
      </c>
      <c r="L704" t="str">
        <f t="shared" si="90"/>
        <v>Y</v>
      </c>
      <c r="M704" t="str">
        <f t="shared" si="91"/>
        <v>Y</v>
      </c>
      <c r="N704" t="str">
        <f t="shared" si="92"/>
        <v>Y</v>
      </c>
      <c r="O704">
        <f t="shared" si="93"/>
        <v>7</v>
      </c>
      <c r="P704" s="6">
        <f t="shared" si="94"/>
        <v>1.0038071065989849</v>
      </c>
      <c r="Q704" s="6">
        <f t="shared" si="95"/>
        <v>6.7003792667509485E-2</v>
      </c>
      <c r="R704">
        <f t="shared" si="96"/>
        <v>1</v>
      </c>
      <c r="S704">
        <f t="shared" si="97"/>
        <v>0</v>
      </c>
      <c r="T704" t="str">
        <f t="shared" si="98"/>
        <v>Mar-26</v>
      </c>
    </row>
    <row r="705" spans="1:20">
      <c r="A705" t="s">
        <v>1183</v>
      </c>
      <c r="B705" t="s">
        <v>67</v>
      </c>
      <c r="C705" t="s">
        <v>16</v>
      </c>
      <c r="D705">
        <v>725</v>
      </c>
      <c r="E705" s="4">
        <v>46156</v>
      </c>
      <c r="F705" s="4">
        <v>46161</v>
      </c>
      <c r="G705" s="4">
        <v>46159</v>
      </c>
      <c r="H705">
        <v>653</v>
      </c>
      <c r="I705" t="s">
        <v>432</v>
      </c>
      <c r="J705">
        <v>27</v>
      </c>
      <c r="K705" t="s">
        <v>1563</v>
      </c>
      <c r="L705" t="str">
        <f t="shared" si="90"/>
        <v>Y</v>
      </c>
      <c r="M705" t="str">
        <f t="shared" si="91"/>
        <v>N</v>
      </c>
      <c r="N705" t="str">
        <f t="shared" si="92"/>
        <v>N</v>
      </c>
      <c r="O705">
        <f t="shared" si="93"/>
        <v>3</v>
      </c>
      <c r="P705" s="6">
        <f t="shared" si="94"/>
        <v>0.90068965517241384</v>
      </c>
      <c r="Q705" s="6">
        <f t="shared" si="95"/>
        <v>4.1347626339969371E-2</v>
      </c>
      <c r="R705">
        <f t="shared" si="96"/>
        <v>0</v>
      </c>
      <c r="S705">
        <f t="shared" si="97"/>
        <v>0</v>
      </c>
      <c r="T705" t="str">
        <f t="shared" si="98"/>
        <v>May-26</v>
      </c>
    </row>
    <row r="706" spans="1:20">
      <c r="A706" t="s">
        <v>1184</v>
      </c>
      <c r="B706" t="s">
        <v>29</v>
      </c>
      <c r="C706" t="s">
        <v>16</v>
      </c>
      <c r="D706">
        <v>367</v>
      </c>
      <c r="E706" s="4">
        <v>46040</v>
      </c>
      <c r="F706" s="4">
        <v>46055</v>
      </c>
      <c r="G706" s="4">
        <v>46053</v>
      </c>
      <c r="H706">
        <v>372</v>
      </c>
      <c r="I706" t="s">
        <v>207</v>
      </c>
      <c r="J706">
        <v>1</v>
      </c>
      <c r="K706" t="s">
        <v>1563</v>
      </c>
      <c r="L706" t="str">
        <f t="shared" ref="L706:L769" si="99">IF(G706="","N/A",IF(G706&lt;=F706,"Y","N"))</f>
        <v>Y</v>
      </c>
      <c r="M706" t="str">
        <f t="shared" ref="M706:M769" si="100">IF(H706="","N/A",IF(H706&gt;=D706*0.98,"Y","N"))</f>
        <v>Y</v>
      </c>
      <c r="N706" t="str">
        <f t="shared" ref="N706:N769" si="101">IF(OR(L706="N/A",M706="N/A"),"N/A",IF(AND(L706="Y",M706="Y"),"Y","N"))</f>
        <v>Y</v>
      </c>
      <c r="O706">
        <f t="shared" ref="O706:O769" si="102">IF(G706="","N/A",G706-E706)</f>
        <v>13</v>
      </c>
      <c r="P706" s="6">
        <f t="shared" ref="P706:P769" si="103">IF(H706="","N/A",H706/D706)</f>
        <v>1.013623978201635</v>
      </c>
      <c r="Q706" s="6">
        <f t="shared" ref="Q706:Q769" si="104">IF(H706="","N/A",IF(H706=0,0,J706/H706))</f>
        <v>2.6881720430107529E-3</v>
      </c>
      <c r="R706">
        <f t="shared" ref="R706:R769" si="105">IF(N706="Y",1,IF(N706="N",0,""))</f>
        <v>1</v>
      </c>
      <c r="S706">
        <f t="shared" ref="S706:S769" si="106">IF(G706="","N/A",MAX(G706-F706,0))</f>
        <v>0</v>
      </c>
      <c r="T706" t="str">
        <f t="shared" ref="T706:T769" si="107">IF(G706="","N/A",TEXT(G706,"mmm-yy"))</f>
        <v>Jan-26</v>
      </c>
    </row>
    <row r="707" spans="1:20">
      <c r="A707" t="s">
        <v>1185</v>
      </c>
      <c r="B707" t="s">
        <v>32</v>
      </c>
      <c r="C707" t="s">
        <v>12</v>
      </c>
      <c r="D707">
        <v>703</v>
      </c>
      <c r="E707" s="4">
        <v>46156</v>
      </c>
      <c r="F707" s="4">
        <v>46167</v>
      </c>
      <c r="G707" s="4">
        <v>46170</v>
      </c>
      <c r="H707">
        <v>693</v>
      </c>
      <c r="I707" t="s">
        <v>96</v>
      </c>
      <c r="J707">
        <v>24</v>
      </c>
      <c r="K707" t="s">
        <v>1563</v>
      </c>
      <c r="L707" t="str">
        <f t="shared" si="99"/>
        <v>N</v>
      </c>
      <c r="M707" t="str">
        <f t="shared" si="100"/>
        <v>Y</v>
      </c>
      <c r="N707" t="str">
        <f t="shared" si="101"/>
        <v>N</v>
      </c>
      <c r="O707">
        <f t="shared" si="102"/>
        <v>14</v>
      </c>
      <c r="P707" s="6">
        <f t="shared" si="103"/>
        <v>0.98577524893314372</v>
      </c>
      <c r="Q707" s="6">
        <f t="shared" si="104"/>
        <v>3.4632034632034632E-2</v>
      </c>
      <c r="R707">
        <f t="shared" si="105"/>
        <v>0</v>
      </c>
      <c r="S707">
        <f t="shared" si="106"/>
        <v>3</v>
      </c>
      <c r="T707" t="str">
        <f t="shared" si="107"/>
        <v>May-26</v>
      </c>
    </row>
    <row r="708" spans="1:20">
      <c r="A708" t="s">
        <v>1186</v>
      </c>
      <c r="B708" t="s">
        <v>54</v>
      </c>
      <c r="C708" t="s">
        <v>12</v>
      </c>
      <c r="D708">
        <v>482</v>
      </c>
      <c r="E708" s="4">
        <v>46116</v>
      </c>
      <c r="F708" s="4">
        <v>46131</v>
      </c>
      <c r="G708" s="4">
        <v>46129</v>
      </c>
      <c r="H708">
        <v>485</v>
      </c>
      <c r="I708" t="s">
        <v>105</v>
      </c>
      <c r="J708">
        <v>2</v>
      </c>
      <c r="K708" t="s">
        <v>1563</v>
      </c>
      <c r="L708" t="str">
        <f t="shared" si="99"/>
        <v>Y</v>
      </c>
      <c r="M708" t="str">
        <f t="shared" si="100"/>
        <v>Y</v>
      </c>
      <c r="N708" t="str">
        <f t="shared" si="101"/>
        <v>Y</v>
      </c>
      <c r="O708">
        <f t="shared" si="102"/>
        <v>13</v>
      </c>
      <c r="P708" s="6">
        <f t="shared" si="103"/>
        <v>1.0062240663900415</v>
      </c>
      <c r="Q708" s="6">
        <f t="shared" si="104"/>
        <v>4.1237113402061857E-3</v>
      </c>
      <c r="R708">
        <f t="shared" si="105"/>
        <v>1</v>
      </c>
      <c r="S708">
        <f t="shared" si="106"/>
        <v>0</v>
      </c>
      <c r="T708" t="str">
        <f t="shared" si="107"/>
        <v>Apr-26</v>
      </c>
    </row>
    <row r="709" spans="1:20">
      <c r="A709" t="s">
        <v>1187</v>
      </c>
      <c r="B709" t="s">
        <v>54</v>
      </c>
      <c r="C709" t="s">
        <v>16</v>
      </c>
      <c r="D709">
        <v>898</v>
      </c>
      <c r="E709" s="4">
        <v>46035</v>
      </c>
      <c r="F709" s="4">
        <v>46050</v>
      </c>
      <c r="G709" s="4">
        <v>46047</v>
      </c>
      <c r="H709">
        <v>909</v>
      </c>
      <c r="I709" t="s">
        <v>79</v>
      </c>
      <c r="J709">
        <v>21</v>
      </c>
      <c r="K709" t="s">
        <v>1563</v>
      </c>
      <c r="L709" t="str">
        <f t="shared" si="99"/>
        <v>Y</v>
      </c>
      <c r="M709" t="str">
        <f t="shared" si="100"/>
        <v>Y</v>
      </c>
      <c r="N709" t="str">
        <f t="shared" si="101"/>
        <v>Y</v>
      </c>
      <c r="O709">
        <f t="shared" si="102"/>
        <v>12</v>
      </c>
      <c r="P709" s="6">
        <f t="shared" si="103"/>
        <v>1.012249443207127</v>
      </c>
      <c r="Q709" s="6">
        <f t="shared" si="104"/>
        <v>2.3102310231023101E-2</v>
      </c>
      <c r="R709">
        <f t="shared" si="105"/>
        <v>1</v>
      </c>
      <c r="S709">
        <f t="shared" si="106"/>
        <v>0</v>
      </c>
      <c r="T709" t="str">
        <f t="shared" si="107"/>
        <v>Jan-26</v>
      </c>
    </row>
    <row r="710" spans="1:20">
      <c r="A710" t="s">
        <v>1188</v>
      </c>
      <c r="B710" t="s">
        <v>43</v>
      </c>
      <c r="C710" t="s">
        <v>12</v>
      </c>
      <c r="D710">
        <v>340</v>
      </c>
      <c r="E710" s="4">
        <v>46041</v>
      </c>
      <c r="F710" s="4">
        <v>46053</v>
      </c>
      <c r="G710" s="4">
        <v>46053</v>
      </c>
      <c r="H710">
        <v>343</v>
      </c>
      <c r="I710" t="s">
        <v>38</v>
      </c>
      <c r="J710">
        <v>16</v>
      </c>
      <c r="K710" t="s">
        <v>1563</v>
      </c>
      <c r="L710" t="str">
        <f t="shared" si="99"/>
        <v>Y</v>
      </c>
      <c r="M710" t="str">
        <f t="shared" si="100"/>
        <v>Y</v>
      </c>
      <c r="N710" t="str">
        <f t="shared" si="101"/>
        <v>Y</v>
      </c>
      <c r="O710">
        <f t="shared" si="102"/>
        <v>12</v>
      </c>
      <c r="P710" s="6">
        <f t="shared" si="103"/>
        <v>1.0088235294117647</v>
      </c>
      <c r="Q710" s="6">
        <f t="shared" si="104"/>
        <v>4.6647230320699708E-2</v>
      </c>
      <c r="R710">
        <f t="shared" si="105"/>
        <v>1</v>
      </c>
      <c r="S710">
        <f t="shared" si="106"/>
        <v>0</v>
      </c>
      <c r="T710" t="str">
        <f t="shared" si="107"/>
        <v>Jan-26</v>
      </c>
    </row>
    <row r="711" spans="1:20">
      <c r="A711" t="s">
        <v>1189</v>
      </c>
      <c r="B711" t="s">
        <v>100</v>
      </c>
      <c r="C711" t="s">
        <v>12</v>
      </c>
      <c r="D711">
        <v>263</v>
      </c>
      <c r="E711" s="4">
        <v>46124</v>
      </c>
      <c r="F711" s="4">
        <v>46133</v>
      </c>
      <c r="G711" s="4">
        <v>46132</v>
      </c>
      <c r="H711">
        <v>260</v>
      </c>
      <c r="I711" t="s">
        <v>734</v>
      </c>
      <c r="J711">
        <v>4</v>
      </c>
      <c r="K711" t="s">
        <v>1563</v>
      </c>
      <c r="L711" t="str">
        <f t="shared" si="99"/>
        <v>Y</v>
      </c>
      <c r="M711" t="str">
        <f t="shared" si="100"/>
        <v>Y</v>
      </c>
      <c r="N711" t="str">
        <f t="shared" si="101"/>
        <v>Y</v>
      </c>
      <c r="O711">
        <f t="shared" si="102"/>
        <v>8</v>
      </c>
      <c r="P711" s="6">
        <f t="shared" si="103"/>
        <v>0.98859315589353614</v>
      </c>
      <c r="Q711" s="6">
        <f t="shared" si="104"/>
        <v>1.5384615384615385E-2</v>
      </c>
      <c r="R711">
        <f t="shared" si="105"/>
        <v>1</v>
      </c>
      <c r="S711">
        <f t="shared" si="106"/>
        <v>0</v>
      </c>
      <c r="T711" t="str">
        <f t="shared" si="107"/>
        <v>Apr-26</v>
      </c>
    </row>
    <row r="712" spans="1:20">
      <c r="A712" t="s">
        <v>1190</v>
      </c>
      <c r="B712" t="s">
        <v>43</v>
      </c>
      <c r="C712" t="s">
        <v>23</v>
      </c>
      <c r="D712">
        <v>821</v>
      </c>
      <c r="E712" s="4">
        <v>46060</v>
      </c>
      <c r="F712" s="4">
        <v>46067</v>
      </c>
      <c r="G712" s="4">
        <v>46065</v>
      </c>
      <c r="H712">
        <v>826</v>
      </c>
      <c r="I712" t="s">
        <v>1191</v>
      </c>
      <c r="J712">
        <v>17</v>
      </c>
      <c r="K712" t="s">
        <v>1563</v>
      </c>
      <c r="L712" t="str">
        <f t="shared" si="99"/>
        <v>Y</v>
      </c>
      <c r="M712" t="str">
        <f t="shared" si="100"/>
        <v>Y</v>
      </c>
      <c r="N712" t="str">
        <f t="shared" si="101"/>
        <v>Y</v>
      </c>
      <c r="O712">
        <f t="shared" si="102"/>
        <v>5</v>
      </c>
      <c r="P712" s="6">
        <f t="shared" si="103"/>
        <v>1.0060901339829476</v>
      </c>
      <c r="Q712" s="6">
        <f t="shared" si="104"/>
        <v>2.0581113801452784E-2</v>
      </c>
      <c r="R712">
        <f t="shared" si="105"/>
        <v>1</v>
      </c>
      <c r="S712">
        <f t="shared" si="106"/>
        <v>0</v>
      </c>
      <c r="T712" t="str">
        <f t="shared" si="107"/>
        <v>Feb-26</v>
      </c>
    </row>
    <row r="713" spans="1:20">
      <c r="A713" t="s">
        <v>1192</v>
      </c>
      <c r="B713" t="s">
        <v>19</v>
      </c>
      <c r="C713" t="s">
        <v>12</v>
      </c>
      <c r="D713">
        <v>590</v>
      </c>
      <c r="E713" s="4">
        <v>46099</v>
      </c>
      <c r="F713" s="4">
        <v>46112</v>
      </c>
      <c r="G713" s="4">
        <v>46109</v>
      </c>
      <c r="H713">
        <v>546</v>
      </c>
      <c r="I713" t="s">
        <v>1193</v>
      </c>
      <c r="J713">
        <v>20</v>
      </c>
      <c r="K713" t="s">
        <v>1563</v>
      </c>
      <c r="L713" t="str">
        <f t="shared" si="99"/>
        <v>Y</v>
      </c>
      <c r="M713" t="str">
        <f t="shared" si="100"/>
        <v>N</v>
      </c>
      <c r="N713" t="str">
        <f t="shared" si="101"/>
        <v>N</v>
      </c>
      <c r="O713">
        <f t="shared" si="102"/>
        <v>10</v>
      </c>
      <c r="P713" s="6">
        <f t="shared" si="103"/>
        <v>0.92542372881355928</v>
      </c>
      <c r="Q713" s="6">
        <f t="shared" si="104"/>
        <v>3.6630036630036632E-2</v>
      </c>
      <c r="R713">
        <f t="shared" si="105"/>
        <v>0</v>
      </c>
      <c r="S713">
        <f t="shared" si="106"/>
        <v>0</v>
      </c>
      <c r="T713" t="str">
        <f t="shared" si="107"/>
        <v>Mar-26</v>
      </c>
    </row>
    <row r="714" spans="1:20">
      <c r="A714" t="s">
        <v>1194</v>
      </c>
      <c r="B714" t="s">
        <v>35</v>
      </c>
      <c r="C714" t="s">
        <v>12</v>
      </c>
      <c r="D714">
        <v>929</v>
      </c>
      <c r="E714" s="4">
        <v>46130</v>
      </c>
      <c r="F714" s="4">
        <v>46140</v>
      </c>
      <c r="G714" s="4">
        <v>46138</v>
      </c>
      <c r="H714">
        <v>923</v>
      </c>
      <c r="I714" t="s">
        <v>154</v>
      </c>
      <c r="J714">
        <v>6</v>
      </c>
      <c r="K714" t="s">
        <v>1563</v>
      </c>
      <c r="L714" t="str">
        <f t="shared" si="99"/>
        <v>Y</v>
      </c>
      <c r="M714" t="str">
        <f t="shared" si="100"/>
        <v>Y</v>
      </c>
      <c r="N714" t="str">
        <f t="shared" si="101"/>
        <v>Y</v>
      </c>
      <c r="O714">
        <f t="shared" si="102"/>
        <v>8</v>
      </c>
      <c r="P714" s="6">
        <f t="shared" si="103"/>
        <v>0.9935414424111948</v>
      </c>
      <c r="Q714" s="6">
        <f t="shared" si="104"/>
        <v>6.5005417118093175E-3</v>
      </c>
      <c r="R714">
        <f t="shared" si="105"/>
        <v>1</v>
      </c>
      <c r="S714">
        <f t="shared" si="106"/>
        <v>0</v>
      </c>
      <c r="T714" t="str">
        <f t="shared" si="107"/>
        <v>Apr-26</v>
      </c>
    </row>
    <row r="715" spans="1:20">
      <c r="A715" t="s">
        <v>1195</v>
      </c>
      <c r="B715" t="s">
        <v>32</v>
      </c>
      <c r="C715" t="s">
        <v>12</v>
      </c>
      <c r="D715">
        <v>859</v>
      </c>
      <c r="E715" s="4">
        <v>46173</v>
      </c>
      <c r="F715" s="4">
        <v>46188</v>
      </c>
      <c r="G715" s="4">
        <v>46188</v>
      </c>
      <c r="H715">
        <v>795</v>
      </c>
      <c r="I715" t="s">
        <v>156</v>
      </c>
      <c r="J715">
        <v>29</v>
      </c>
      <c r="K715" t="s">
        <v>1563</v>
      </c>
      <c r="L715" t="str">
        <f t="shared" si="99"/>
        <v>Y</v>
      </c>
      <c r="M715" t="str">
        <f t="shared" si="100"/>
        <v>N</v>
      </c>
      <c r="N715" t="str">
        <f t="shared" si="101"/>
        <v>N</v>
      </c>
      <c r="O715">
        <f t="shared" si="102"/>
        <v>15</v>
      </c>
      <c r="P715" s="6">
        <f t="shared" si="103"/>
        <v>0.92549476135040742</v>
      </c>
      <c r="Q715" s="6">
        <f t="shared" si="104"/>
        <v>3.6477987421383647E-2</v>
      </c>
      <c r="R715">
        <f t="shared" si="105"/>
        <v>0</v>
      </c>
      <c r="S715">
        <f t="shared" si="106"/>
        <v>0</v>
      </c>
      <c r="T715" t="str">
        <f t="shared" si="107"/>
        <v>Jun-26</v>
      </c>
    </row>
    <row r="716" spans="1:20">
      <c r="A716" t="s">
        <v>1197</v>
      </c>
      <c r="B716" t="s">
        <v>100</v>
      </c>
      <c r="C716" t="s">
        <v>16</v>
      </c>
      <c r="D716">
        <v>237</v>
      </c>
      <c r="E716" s="4">
        <v>46125</v>
      </c>
      <c r="F716" s="4">
        <v>46131</v>
      </c>
      <c r="G716" s="4">
        <v>46130</v>
      </c>
      <c r="H716">
        <v>238</v>
      </c>
      <c r="I716" t="s">
        <v>767</v>
      </c>
      <c r="J716">
        <v>4</v>
      </c>
      <c r="K716" t="s">
        <v>1563</v>
      </c>
      <c r="L716" t="str">
        <f t="shared" si="99"/>
        <v>Y</v>
      </c>
      <c r="M716" t="str">
        <f t="shared" si="100"/>
        <v>Y</v>
      </c>
      <c r="N716" t="str">
        <f t="shared" si="101"/>
        <v>Y</v>
      </c>
      <c r="O716">
        <f t="shared" si="102"/>
        <v>5</v>
      </c>
      <c r="P716" s="6">
        <f t="shared" si="103"/>
        <v>1.0042194092827004</v>
      </c>
      <c r="Q716" s="6">
        <f t="shared" si="104"/>
        <v>1.680672268907563E-2</v>
      </c>
      <c r="R716">
        <f t="shared" si="105"/>
        <v>1</v>
      </c>
      <c r="S716">
        <f t="shared" si="106"/>
        <v>0</v>
      </c>
      <c r="T716" t="str">
        <f t="shared" si="107"/>
        <v>Apr-26</v>
      </c>
    </row>
    <row r="717" spans="1:20">
      <c r="A717" t="s">
        <v>1198</v>
      </c>
      <c r="B717" t="s">
        <v>120</v>
      </c>
      <c r="C717" t="s">
        <v>23</v>
      </c>
      <c r="D717">
        <v>935</v>
      </c>
      <c r="E717" s="4">
        <v>46128</v>
      </c>
      <c r="F717" s="4">
        <v>46136</v>
      </c>
      <c r="G717" s="4"/>
      <c r="I717" t="s">
        <v>1199</v>
      </c>
      <c r="K717" t="s">
        <v>1565</v>
      </c>
      <c r="L717" t="str">
        <f t="shared" si="99"/>
        <v>N/A</v>
      </c>
      <c r="M717" t="str">
        <f t="shared" si="100"/>
        <v>N/A</v>
      </c>
      <c r="N717" t="str">
        <f t="shared" si="101"/>
        <v>N/A</v>
      </c>
      <c r="O717" t="str">
        <f t="shared" si="102"/>
        <v>N/A</v>
      </c>
      <c r="P717" s="6" t="str">
        <f t="shared" si="103"/>
        <v>N/A</v>
      </c>
      <c r="Q717" s="6" t="str">
        <f t="shared" si="104"/>
        <v>N/A</v>
      </c>
      <c r="R717" t="str">
        <f t="shared" si="105"/>
        <v/>
      </c>
      <c r="S717" t="str">
        <f t="shared" si="106"/>
        <v>N/A</v>
      </c>
      <c r="T717" t="str">
        <f t="shared" si="107"/>
        <v>N/A</v>
      </c>
    </row>
    <row r="718" spans="1:20">
      <c r="A718" t="s">
        <v>1200</v>
      </c>
      <c r="B718" t="s">
        <v>29</v>
      </c>
      <c r="C718" t="s">
        <v>12</v>
      </c>
      <c r="D718">
        <v>651</v>
      </c>
      <c r="E718" s="4">
        <v>46143</v>
      </c>
      <c r="F718" s="4">
        <v>46154</v>
      </c>
      <c r="G718" s="4">
        <v>46152</v>
      </c>
      <c r="H718">
        <v>613</v>
      </c>
      <c r="I718" t="s">
        <v>444</v>
      </c>
      <c r="J718">
        <v>5</v>
      </c>
      <c r="K718" t="s">
        <v>1563</v>
      </c>
      <c r="L718" t="str">
        <f t="shared" si="99"/>
        <v>Y</v>
      </c>
      <c r="M718" t="str">
        <f t="shared" si="100"/>
        <v>N</v>
      </c>
      <c r="N718" t="str">
        <f t="shared" si="101"/>
        <v>N</v>
      </c>
      <c r="O718">
        <f t="shared" si="102"/>
        <v>9</v>
      </c>
      <c r="P718" s="6">
        <f t="shared" si="103"/>
        <v>0.94162826420890933</v>
      </c>
      <c r="Q718" s="6">
        <f t="shared" si="104"/>
        <v>8.1566068515497546E-3</v>
      </c>
      <c r="R718">
        <f t="shared" si="105"/>
        <v>0</v>
      </c>
      <c r="S718">
        <f t="shared" si="106"/>
        <v>0</v>
      </c>
      <c r="T718" t="str">
        <f t="shared" si="107"/>
        <v>May-26</v>
      </c>
    </row>
    <row r="719" spans="1:20">
      <c r="A719" t="s">
        <v>1201</v>
      </c>
      <c r="B719" t="s">
        <v>49</v>
      </c>
      <c r="C719" t="s">
        <v>23</v>
      </c>
      <c r="D719">
        <v>727</v>
      </c>
      <c r="E719" s="4">
        <v>46136</v>
      </c>
      <c r="F719" s="4">
        <v>46151</v>
      </c>
      <c r="G719" s="4">
        <v>46151</v>
      </c>
      <c r="H719">
        <v>724</v>
      </c>
      <c r="I719" t="s">
        <v>118</v>
      </c>
      <c r="J719">
        <v>11</v>
      </c>
      <c r="K719" t="s">
        <v>1563</v>
      </c>
      <c r="L719" t="str">
        <f t="shared" si="99"/>
        <v>Y</v>
      </c>
      <c r="M719" t="str">
        <f t="shared" si="100"/>
        <v>Y</v>
      </c>
      <c r="N719" t="str">
        <f t="shared" si="101"/>
        <v>Y</v>
      </c>
      <c r="O719">
        <f t="shared" si="102"/>
        <v>15</v>
      </c>
      <c r="P719" s="6">
        <f t="shared" si="103"/>
        <v>0.99587345254470427</v>
      </c>
      <c r="Q719" s="6">
        <f t="shared" si="104"/>
        <v>1.5193370165745856E-2</v>
      </c>
      <c r="R719">
        <f t="shared" si="105"/>
        <v>1</v>
      </c>
      <c r="S719">
        <f t="shared" si="106"/>
        <v>0</v>
      </c>
      <c r="T719" t="str">
        <f t="shared" si="107"/>
        <v>May-26</v>
      </c>
    </row>
    <row r="720" spans="1:20">
      <c r="A720" t="s">
        <v>1202</v>
      </c>
      <c r="B720" t="s">
        <v>40</v>
      </c>
      <c r="C720" t="s">
        <v>16</v>
      </c>
      <c r="D720">
        <v>415</v>
      </c>
      <c r="E720" s="4">
        <v>46054</v>
      </c>
      <c r="F720" s="4">
        <v>46068</v>
      </c>
      <c r="G720" s="4">
        <v>46073</v>
      </c>
      <c r="H720">
        <v>413</v>
      </c>
      <c r="I720" t="s">
        <v>1203</v>
      </c>
      <c r="J720">
        <v>27</v>
      </c>
      <c r="K720" t="s">
        <v>1563</v>
      </c>
      <c r="L720" t="str">
        <f t="shared" si="99"/>
        <v>N</v>
      </c>
      <c r="M720" t="str">
        <f t="shared" si="100"/>
        <v>Y</v>
      </c>
      <c r="N720" t="str">
        <f t="shared" si="101"/>
        <v>N</v>
      </c>
      <c r="O720">
        <f t="shared" si="102"/>
        <v>19</v>
      </c>
      <c r="P720" s="6">
        <f t="shared" si="103"/>
        <v>0.99518072289156623</v>
      </c>
      <c r="Q720" s="6">
        <f t="shared" si="104"/>
        <v>6.5375302663438259E-2</v>
      </c>
      <c r="R720">
        <f t="shared" si="105"/>
        <v>0</v>
      </c>
      <c r="S720">
        <f t="shared" si="106"/>
        <v>5</v>
      </c>
      <c r="T720" t="str">
        <f t="shared" si="107"/>
        <v>Feb-26</v>
      </c>
    </row>
    <row r="721" spans="1:20">
      <c r="A721" t="s">
        <v>1204</v>
      </c>
      <c r="B721" t="s">
        <v>19</v>
      </c>
      <c r="C721" t="s">
        <v>12</v>
      </c>
      <c r="D721">
        <v>197</v>
      </c>
      <c r="E721" s="4">
        <v>46030</v>
      </c>
      <c r="F721" s="4">
        <v>46040</v>
      </c>
      <c r="G721" s="4">
        <v>46040</v>
      </c>
      <c r="H721">
        <v>200</v>
      </c>
      <c r="I721" t="s">
        <v>1205</v>
      </c>
      <c r="J721">
        <v>8</v>
      </c>
      <c r="K721" t="s">
        <v>1563</v>
      </c>
      <c r="L721" t="str">
        <f t="shared" si="99"/>
        <v>Y</v>
      </c>
      <c r="M721" t="str">
        <f t="shared" si="100"/>
        <v>Y</v>
      </c>
      <c r="N721" t="str">
        <f t="shared" si="101"/>
        <v>Y</v>
      </c>
      <c r="O721">
        <f t="shared" si="102"/>
        <v>10</v>
      </c>
      <c r="P721" s="6">
        <f t="shared" si="103"/>
        <v>1.015228426395939</v>
      </c>
      <c r="Q721" s="6">
        <f t="shared" si="104"/>
        <v>0.04</v>
      </c>
      <c r="R721">
        <f t="shared" si="105"/>
        <v>1</v>
      </c>
      <c r="S721">
        <f t="shared" si="106"/>
        <v>0</v>
      </c>
      <c r="T721" t="str">
        <f t="shared" si="107"/>
        <v>Jan-26</v>
      </c>
    </row>
    <row r="722" spans="1:20">
      <c r="A722" t="s">
        <v>1206</v>
      </c>
      <c r="B722" t="s">
        <v>64</v>
      </c>
      <c r="C722" t="s">
        <v>16</v>
      </c>
      <c r="D722">
        <v>753</v>
      </c>
      <c r="E722" s="4">
        <v>46104</v>
      </c>
      <c r="F722" s="4">
        <v>46111</v>
      </c>
      <c r="G722" s="4">
        <v>46109</v>
      </c>
      <c r="H722">
        <v>717</v>
      </c>
      <c r="I722" t="s">
        <v>1207</v>
      </c>
      <c r="J722">
        <v>7</v>
      </c>
      <c r="K722" t="s">
        <v>1563</v>
      </c>
      <c r="L722" t="str">
        <f t="shared" si="99"/>
        <v>Y</v>
      </c>
      <c r="M722" t="str">
        <f t="shared" si="100"/>
        <v>N</v>
      </c>
      <c r="N722" t="str">
        <f t="shared" si="101"/>
        <v>N</v>
      </c>
      <c r="O722">
        <f t="shared" si="102"/>
        <v>5</v>
      </c>
      <c r="P722" s="6">
        <f t="shared" si="103"/>
        <v>0.952191235059761</v>
      </c>
      <c r="Q722" s="6">
        <f t="shared" si="104"/>
        <v>9.7629009762900971E-3</v>
      </c>
      <c r="R722">
        <f t="shared" si="105"/>
        <v>0</v>
      </c>
      <c r="S722">
        <f t="shared" si="106"/>
        <v>0</v>
      </c>
      <c r="T722" t="str">
        <f t="shared" si="107"/>
        <v>Mar-26</v>
      </c>
    </row>
    <row r="723" spans="1:20">
      <c r="A723" t="s">
        <v>1208</v>
      </c>
      <c r="B723" t="s">
        <v>32</v>
      </c>
      <c r="C723" t="s">
        <v>12</v>
      </c>
      <c r="D723">
        <v>596</v>
      </c>
      <c r="E723" s="4">
        <v>46092</v>
      </c>
      <c r="F723" s="4">
        <v>46106</v>
      </c>
      <c r="G723" s="4">
        <v>46103</v>
      </c>
      <c r="H723">
        <v>531</v>
      </c>
      <c r="I723" t="s">
        <v>690</v>
      </c>
      <c r="J723">
        <v>15</v>
      </c>
      <c r="K723" t="s">
        <v>1563</v>
      </c>
      <c r="L723" t="str">
        <f t="shared" si="99"/>
        <v>Y</v>
      </c>
      <c r="M723" t="str">
        <f t="shared" si="100"/>
        <v>N</v>
      </c>
      <c r="N723" t="str">
        <f t="shared" si="101"/>
        <v>N</v>
      </c>
      <c r="O723">
        <f t="shared" si="102"/>
        <v>11</v>
      </c>
      <c r="P723" s="6">
        <f t="shared" si="103"/>
        <v>0.89093959731543626</v>
      </c>
      <c r="Q723" s="6">
        <f t="shared" si="104"/>
        <v>2.8248587570621469E-2</v>
      </c>
      <c r="R723">
        <f t="shared" si="105"/>
        <v>0</v>
      </c>
      <c r="S723">
        <f t="shared" si="106"/>
        <v>0</v>
      </c>
      <c r="T723" t="str">
        <f t="shared" si="107"/>
        <v>Mar-26</v>
      </c>
    </row>
    <row r="724" spans="1:20">
      <c r="A724" t="s">
        <v>1209</v>
      </c>
      <c r="B724" t="s">
        <v>35</v>
      </c>
      <c r="C724" t="s">
        <v>12</v>
      </c>
      <c r="D724">
        <v>962</v>
      </c>
      <c r="E724" s="4">
        <v>46033</v>
      </c>
      <c r="F724" s="4">
        <v>46046</v>
      </c>
      <c r="G724" s="4">
        <v>46044</v>
      </c>
      <c r="H724">
        <v>973</v>
      </c>
      <c r="I724" t="s">
        <v>1193</v>
      </c>
      <c r="J724">
        <v>47</v>
      </c>
      <c r="K724" t="s">
        <v>1563</v>
      </c>
      <c r="L724" t="str">
        <f t="shared" si="99"/>
        <v>Y</v>
      </c>
      <c r="M724" t="str">
        <f t="shared" si="100"/>
        <v>Y</v>
      </c>
      <c r="N724" t="str">
        <f t="shared" si="101"/>
        <v>Y</v>
      </c>
      <c r="O724">
        <f t="shared" si="102"/>
        <v>11</v>
      </c>
      <c r="P724" s="6">
        <f t="shared" si="103"/>
        <v>1.0114345114345114</v>
      </c>
      <c r="Q724" s="6">
        <f t="shared" si="104"/>
        <v>4.8304213771839674E-2</v>
      </c>
      <c r="R724">
        <f t="shared" si="105"/>
        <v>1</v>
      </c>
      <c r="S724">
        <f t="shared" si="106"/>
        <v>0</v>
      </c>
      <c r="T724" t="str">
        <f t="shared" si="107"/>
        <v>Jan-26</v>
      </c>
    </row>
    <row r="725" spans="1:20">
      <c r="A725" t="s">
        <v>1210</v>
      </c>
      <c r="B725" t="s">
        <v>100</v>
      </c>
      <c r="C725" t="s">
        <v>12</v>
      </c>
      <c r="D725">
        <v>636</v>
      </c>
      <c r="E725" s="4">
        <v>46053</v>
      </c>
      <c r="F725" s="4">
        <v>46062</v>
      </c>
      <c r="G725" s="4">
        <v>46059</v>
      </c>
      <c r="H725">
        <v>638</v>
      </c>
      <c r="I725" t="s">
        <v>160</v>
      </c>
      <c r="J725">
        <v>7</v>
      </c>
      <c r="K725" t="s">
        <v>1563</v>
      </c>
      <c r="L725" t="str">
        <f t="shared" si="99"/>
        <v>Y</v>
      </c>
      <c r="M725" t="str">
        <f t="shared" si="100"/>
        <v>Y</v>
      </c>
      <c r="N725" t="str">
        <f t="shared" si="101"/>
        <v>Y</v>
      </c>
      <c r="O725">
        <f t="shared" si="102"/>
        <v>6</v>
      </c>
      <c r="P725" s="6">
        <f t="shared" si="103"/>
        <v>1.0031446540880504</v>
      </c>
      <c r="Q725" s="6">
        <f t="shared" si="104"/>
        <v>1.0971786833855799E-2</v>
      </c>
      <c r="R725">
        <f t="shared" si="105"/>
        <v>1</v>
      </c>
      <c r="S725">
        <f t="shared" si="106"/>
        <v>0</v>
      </c>
      <c r="T725" t="str">
        <f t="shared" si="107"/>
        <v>Feb-26</v>
      </c>
    </row>
    <row r="726" spans="1:20">
      <c r="A726" t="s">
        <v>1211</v>
      </c>
      <c r="B726" t="s">
        <v>46</v>
      </c>
      <c r="C726" t="s">
        <v>16</v>
      </c>
      <c r="D726">
        <v>539</v>
      </c>
      <c r="E726" s="4">
        <v>46099</v>
      </c>
      <c r="F726" s="4">
        <v>46107</v>
      </c>
      <c r="G726" s="4">
        <v>46106</v>
      </c>
      <c r="H726">
        <v>539</v>
      </c>
      <c r="I726" t="s">
        <v>775</v>
      </c>
      <c r="J726">
        <v>51</v>
      </c>
      <c r="K726" t="s">
        <v>1563</v>
      </c>
      <c r="L726" t="str">
        <f t="shared" si="99"/>
        <v>Y</v>
      </c>
      <c r="M726" t="str">
        <f t="shared" si="100"/>
        <v>Y</v>
      </c>
      <c r="N726" t="str">
        <f t="shared" si="101"/>
        <v>Y</v>
      </c>
      <c r="O726">
        <f t="shared" si="102"/>
        <v>7</v>
      </c>
      <c r="P726" s="6">
        <f t="shared" si="103"/>
        <v>1</v>
      </c>
      <c r="Q726" s="6">
        <f t="shared" si="104"/>
        <v>9.4619666048237475E-2</v>
      </c>
      <c r="R726">
        <f t="shared" si="105"/>
        <v>1</v>
      </c>
      <c r="S726">
        <f t="shared" si="106"/>
        <v>0</v>
      </c>
      <c r="T726" t="str">
        <f t="shared" si="107"/>
        <v>Mar-26</v>
      </c>
    </row>
    <row r="727" spans="1:20">
      <c r="A727" t="s">
        <v>1212</v>
      </c>
      <c r="B727" t="s">
        <v>26</v>
      </c>
      <c r="C727" t="s">
        <v>16</v>
      </c>
      <c r="D727">
        <v>386</v>
      </c>
      <c r="E727" s="4">
        <v>46109</v>
      </c>
      <c r="F727" s="4">
        <v>46119</v>
      </c>
      <c r="G727" s="4">
        <v>46117</v>
      </c>
      <c r="H727">
        <v>388</v>
      </c>
      <c r="I727" t="s">
        <v>666</v>
      </c>
      <c r="J727">
        <v>9</v>
      </c>
      <c r="K727" t="s">
        <v>1563</v>
      </c>
      <c r="L727" t="str">
        <f t="shared" si="99"/>
        <v>Y</v>
      </c>
      <c r="M727" t="str">
        <f t="shared" si="100"/>
        <v>Y</v>
      </c>
      <c r="N727" t="str">
        <f t="shared" si="101"/>
        <v>Y</v>
      </c>
      <c r="O727">
        <f t="shared" si="102"/>
        <v>8</v>
      </c>
      <c r="P727" s="6">
        <f t="shared" si="103"/>
        <v>1.0051813471502591</v>
      </c>
      <c r="Q727" s="6">
        <f t="shared" si="104"/>
        <v>2.3195876288659795E-2</v>
      </c>
      <c r="R727">
        <f t="shared" si="105"/>
        <v>1</v>
      </c>
      <c r="S727">
        <f t="shared" si="106"/>
        <v>0</v>
      </c>
      <c r="T727" t="str">
        <f t="shared" si="107"/>
        <v>Apr-26</v>
      </c>
    </row>
    <row r="728" spans="1:20">
      <c r="A728" t="s">
        <v>1213</v>
      </c>
      <c r="B728" t="s">
        <v>22</v>
      </c>
      <c r="C728" t="s">
        <v>12</v>
      </c>
      <c r="D728">
        <v>300</v>
      </c>
      <c r="E728" s="4">
        <v>46132</v>
      </c>
      <c r="F728" s="4">
        <v>46147</v>
      </c>
      <c r="G728" s="4">
        <v>46147</v>
      </c>
      <c r="H728">
        <v>298</v>
      </c>
      <c r="I728" t="s">
        <v>73</v>
      </c>
      <c r="J728">
        <v>20</v>
      </c>
      <c r="K728" t="s">
        <v>1563</v>
      </c>
      <c r="L728" t="str">
        <f t="shared" si="99"/>
        <v>Y</v>
      </c>
      <c r="M728" t="str">
        <f t="shared" si="100"/>
        <v>Y</v>
      </c>
      <c r="N728" t="str">
        <f t="shared" si="101"/>
        <v>Y</v>
      </c>
      <c r="O728">
        <f t="shared" si="102"/>
        <v>15</v>
      </c>
      <c r="P728" s="6">
        <f t="shared" si="103"/>
        <v>0.99333333333333329</v>
      </c>
      <c r="Q728" s="6">
        <f t="shared" si="104"/>
        <v>6.7114093959731544E-2</v>
      </c>
      <c r="R728">
        <f t="shared" si="105"/>
        <v>1</v>
      </c>
      <c r="S728">
        <f t="shared" si="106"/>
        <v>0</v>
      </c>
      <c r="T728" t="str">
        <f t="shared" si="107"/>
        <v>May-26</v>
      </c>
    </row>
    <row r="729" spans="1:20">
      <c r="A729" t="s">
        <v>1214</v>
      </c>
      <c r="B729" t="s">
        <v>22</v>
      </c>
      <c r="C729" t="s">
        <v>23</v>
      </c>
      <c r="D729">
        <v>583</v>
      </c>
      <c r="E729" s="4">
        <v>46045</v>
      </c>
      <c r="F729" s="4">
        <v>46057</v>
      </c>
      <c r="G729" s="4">
        <v>46063</v>
      </c>
      <c r="H729">
        <v>593</v>
      </c>
      <c r="I729" t="s">
        <v>248</v>
      </c>
      <c r="J729">
        <v>3</v>
      </c>
      <c r="K729" t="s">
        <v>1563</v>
      </c>
      <c r="L729" t="str">
        <f t="shared" si="99"/>
        <v>N</v>
      </c>
      <c r="M729" t="str">
        <f t="shared" si="100"/>
        <v>Y</v>
      </c>
      <c r="N729" t="str">
        <f t="shared" si="101"/>
        <v>N</v>
      </c>
      <c r="O729">
        <f t="shared" si="102"/>
        <v>18</v>
      </c>
      <c r="P729" s="6">
        <f t="shared" si="103"/>
        <v>1.0171526586620927</v>
      </c>
      <c r="Q729" s="6">
        <f t="shared" si="104"/>
        <v>5.0590219224283303E-3</v>
      </c>
      <c r="R729">
        <f t="shared" si="105"/>
        <v>0</v>
      </c>
      <c r="S729">
        <f t="shared" si="106"/>
        <v>6</v>
      </c>
      <c r="T729" t="str">
        <f t="shared" si="107"/>
        <v>Feb-26</v>
      </c>
    </row>
    <row r="730" spans="1:20">
      <c r="A730" t="s">
        <v>1215</v>
      </c>
      <c r="B730" t="s">
        <v>54</v>
      </c>
      <c r="C730" t="s">
        <v>12</v>
      </c>
      <c r="D730">
        <v>716</v>
      </c>
      <c r="E730" s="4">
        <v>46052</v>
      </c>
      <c r="F730" s="4">
        <v>46058</v>
      </c>
      <c r="G730" s="4">
        <v>46067</v>
      </c>
      <c r="H730">
        <v>719</v>
      </c>
      <c r="I730" t="s">
        <v>403</v>
      </c>
      <c r="J730">
        <v>10</v>
      </c>
      <c r="K730" t="s">
        <v>1563</v>
      </c>
      <c r="L730" t="str">
        <f t="shared" si="99"/>
        <v>N</v>
      </c>
      <c r="M730" t="str">
        <f t="shared" si="100"/>
        <v>Y</v>
      </c>
      <c r="N730" t="str">
        <f t="shared" si="101"/>
        <v>N</v>
      </c>
      <c r="O730">
        <f t="shared" si="102"/>
        <v>15</v>
      </c>
      <c r="P730" s="6">
        <f t="shared" si="103"/>
        <v>1.0041899441340782</v>
      </c>
      <c r="Q730" s="6">
        <f t="shared" si="104"/>
        <v>1.3908205841446454E-2</v>
      </c>
      <c r="R730">
        <f t="shared" si="105"/>
        <v>0</v>
      </c>
      <c r="S730">
        <f t="shared" si="106"/>
        <v>9</v>
      </c>
      <c r="T730" t="str">
        <f t="shared" si="107"/>
        <v>Feb-26</v>
      </c>
    </row>
    <row r="731" spans="1:20">
      <c r="A731" t="s">
        <v>1217</v>
      </c>
      <c r="B731" t="s">
        <v>52</v>
      </c>
      <c r="C731" t="s">
        <v>12</v>
      </c>
      <c r="D731">
        <v>390</v>
      </c>
      <c r="E731" s="4">
        <v>46113</v>
      </c>
      <c r="F731" s="4">
        <v>46122</v>
      </c>
      <c r="G731" s="4">
        <v>46120</v>
      </c>
      <c r="H731">
        <v>394</v>
      </c>
      <c r="I731" t="s">
        <v>403</v>
      </c>
      <c r="J731">
        <v>8</v>
      </c>
      <c r="K731" t="s">
        <v>1563</v>
      </c>
      <c r="L731" t="str">
        <f t="shared" si="99"/>
        <v>Y</v>
      </c>
      <c r="M731" t="str">
        <f t="shared" si="100"/>
        <v>Y</v>
      </c>
      <c r="N731" t="str">
        <f t="shared" si="101"/>
        <v>Y</v>
      </c>
      <c r="O731">
        <f t="shared" si="102"/>
        <v>7</v>
      </c>
      <c r="P731" s="6">
        <f t="shared" si="103"/>
        <v>1.0102564102564102</v>
      </c>
      <c r="Q731" s="6">
        <f t="shared" si="104"/>
        <v>2.030456852791878E-2</v>
      </c>
      <c r="R731">
        <f t="shared" si="105"/>
        <v>1</v>
      </c>
      <c r="S731">
        <f t="shared" si="106"/>
        <v>0</v>
      </c>
      <c r="T731" t="str">
        <f t="shared" si="107"/>
        <v>Apr-26</v>
      </c>
    </row>
    <row r="732" spans="1:20">
      <c r="A732" t="s">
        <v>1218</v>
      </c>
      <c r="B732" t="s">
        <v>19</v>
      </c>
      <c r="C732" t="s">
        <v>12</v>
      </c>
      <c r="D732">
        <v>845</v>
      </c>
      <c r="E732" s="4">
        <v>46176</v>
      </c>
      <c r="F732" s="4">
        <v>46184</v>
      </c>
      <c r="G732" s="4">
        <v>46182</v>
      </c>
      <c r="H732">
        <v>859</v>
      </c>
      <c r="I732" t="s">
        <v>183</v>
      </c>
      <c r="J732">
        <v>4</v>
      </c>
      <c r="K732" t="s">
        <v>1563</v>
      </c>
      <c r="L732" t="str">
        <f t="shared" si="99"/>
        <v>Y</v>
      </c>
      <c r="M732" t="str">
        <f t="shared" si="100"/>
        <v>Y</v>
      </c>
      <c r="N732" t="str">
        <f t="shared" si="101"/>
        <v>Y</v>
      </c>
      <c r="O732">
        <f t="shared" si="102"/>
        <v>6</v>
      </c>
      <c r="P732" s="6">
        <f t="shared" si="103"/>
        <v>1.016568047337278</v>
      </c>
      <c r="Q732" s="6">
        <f t="shared" si="104"/>
        <v>4.6565774155995342E-3</v>
      </c>
      <c r="R732">
        <f t="shared" si="105"/>
        <v>1</v>
      </c>
      <c r="S732">
        <f t="shared" si="106"/>
        <v>0</v>
      </c>
      <c r="T732" t="str">
        <f t="shared" si="107"/>
        <v>Jun-26</v>
      </c>
    </row>
    <row r="733" spans="1:20">
      <c r="A733" t="s">
        <v>1219</v>
      </c>
      <c r="B733" t="s">
        <v>32</v>
      </c>
      <c r="C733" t="s">
        <v>12</v>
      </c>
      <c r="D733">
        <v>466</v>
      </c>
      <c r="E733" s="4">
        <v>46148</v>
      </c>
      <c r="F733" s="4">
        <v>46161</v>
      </c>
      <c r="G733" s="4">
        <v>46160</v>
      </c>
      <c r="H733">
        <v>474</v>
      </c>
      <c r="I733" t="s">
        <v>154</v>
      </c>
      <c r="J733">
        <v>28</v>
      </c>
      <c r="K733" t="s">
        <v>1563</v>
      </c>
      <c r="L733" t="str">
        <f t="shared" si="99"/>
        <v>Y</v>
      </c>
      <c r="M733" t="str">
        <f t="shared" si="100"/>
        <v>Y</v>
      </c>
      <c r="N733" t="str">
        <f t="shared" si="101"/>
        <v>Y</v>
      </c>
      <c r="O733">
        <f t="shared" si="102"/>
        <v>12</v>
      </c>
      <c r="P733" s="6">
        <f t="shared" si="103"/>
        <v>1.0171673819742488</v>
      </c>
      <c r="Q733" s="6">
        <f t="shared" si="104"/>
        <v>5.9071729957805907E-2</v>
      </c>
      <c r="R733">
        <f t="shared" si="105"/>
        <v>1</v>
      </c>
      <c r="S733">
        <f t="shared" si="106"/>
        <v>0</v>
      </c>
      <c r="T733" t="str">
        <f t="shared" si="107"/>
        <v>May-26</v>
      </c>
    </row>
    <row r="734" spans="1:20">
      <c r="A734" t="s">
        <v>1220</v>
      </c>
      <c r="B734" t="s">
        <v>120</v>
      </c>
      <c r="C734" t="s">
        <v>16</v>
      </c>
      <c r="D734">
        <v>615</v>
      </c>
      <c r="E734" s="4">
        <v>46169</v>
      </c>
      <c r="F734" s="4">
        <v>46175</v>
      </c>
      <c r="G734" s="4">
        <v>46175</v>
      </c>
      <c r="H734">
        <v>548</v>
      </c>
      <c r="I734" t="s">
        <v>173</v>
      </c>
      <c r="J734">
        <v>10</v>
      </c>
      <c r="K734" t="s">
        <v>1563</v>
      </c>
      <c r="L734" t="str">
        <f t="shared" si="99"/>
        <v>Y</v>
      </c>
      <c r="M734" t="str">
        <f t="shared" si="100"/>
        <v>N</v>
      </c>
      <c r="N734" t="str">
        <f t="shared" si="101"/>
        <v>N</v>
      </c>
      <c r="O734">
        <f t="shared" si="102"/>
        <v>6</v>
      </c>
      <c r="P734" s="6">
        <f t="shared" si="103"/>
        <v>0.89105691056910574</v>
      </c>
      <c r="Q734" s="6">
        <f t="shared" si="104"/>
        <v>1.824817518248175E-2</v>
      </c>
      <c r="R734">
        <f t="shared" si="105"/>
        <v>0</v>
      </c>
      <c r="S734">
        <f t="shared" si="106"/>
        <v>0</v>
      </c>
      <c r="T734" t="str">
        <f t="shared" si="107"/>
        <v>Jun-26</v>
      </c>
    </row>
    <row r="735" spans="1:20">
      <c r="A735" t="s">
        <v>1221</v>
      </c>
      <c r="B735" t="s">
        <v>70</v>
      </c>
      <c r="C735" t="s">
        <v>12</v>
      </c>
      <c r="D735">
        <v>209</v>
      </c>
      <c r="E735" s="4">
        <v>46078</v>
      </c>
      <c r="F735" s="4">
        <v>46089</v>
      </c>
      <c r="G735" s="4">
        <v>46089</v>
      </c>
      <c r="H735">
        <v>213</v>
      </c>
      <c r="I735" t="s">
        <v>421</v>
      </c>
      <c r="J735">
        <v>4</v>
      </c>
      <c r="K735" t="s">
        <v>1563</v>
      </c>
      <c r="L735" t="str">
        <f t="shared" si="99"/>
        <v>Y</v>
      </c>
      <c r="M735" t="str">
        <f t="shared" si="100"/>
        <v>Y</v>
      </c>
      <c r="N735" t="str">
        <f t="shared" si="101"/>
        <v>Y</v>
      </c>
      <c r="O735">
        <f t="shared" si="102"/>
        <v>11</v>
      </c>
      <c r="P735" s="6">
        <f t="shared" si="103"/>
        <v>1.0191387559808613</v>
      </c>
      <c r="Q735" s="6">
        <f t="shared" si="104"/>
        <v>1.8779342723004695E-2</v>
      </c>
      <c r="R735">
        <f t="shared" si="105"/>
        <v>1</v>
      </c>
      <c r="S735">
        <f t="shared" si="106"/>
        <v>0</v>
      </c>
      <c r="T735" t="str">
        <f t="shared" si="107"/>
        <v>Mar-26</v>
      </c>
    </row>
    <row r="736" spans="1:20">
      <c r="A736" t="s">
        <v>1222</v>
      </c>
      <c r="B736" t="s">
        <v>46</v>
      </c>
      <c r="C736" t="s">
        <v>16</v>
      </c>
      <c r="D736">
        <v>329</v>
      </c>
      <c r="E736" s="4">
        <v>46088</v>
      </c>
      <c r="F736" s="4">
        <v>46095</v>
      </c>
      <c r="G736" s="4">
        <v>46094</v>
      </c>
      <c r="H736">
        <v>333</v>
      </c>
      <c r="I736" t="s">
        <v>1223</v>
      </c>
      <c r="J736">
        <v>20</v>
      </c>
      <c r="K736" t="s">
        <v>1563</v>
      </c>
      <c r="L736" t="str">
        <f t="shared" si="99"/>
        <v>Y</v>
      </c>
      <c r="M736" t="str">
        <f t="shared" si="100"/>
        <v>Y</v>
      </c>
      <c r="N736" t="str">
        <f t="shared" si="101"/>
        <v>Y</v>
      </c>
      <c r="O736">
        <f t="shared" si="102"/>
        <v>6</v>
      </c>
      <c r="P736" s="6">
        <f t="shared" si="103"/>
        <v>1.0121580547112461</v>
      </c>
      <c r="Q736" s="6">
        <f t="shared" si="104"/>
        <v>6.006006006006006E-2</v>
      </c>
      <c r="R736">
        <f t="shared" si="105"/>
        <v>1</v>
      </c>
      <c r="S736">
        <f t="shared" si="106"/>
        <v>0</v>
      </c>
      <c r="T736" t="str">
        <f t="shared" si="107"/>
        <v>Mar-26</v>
      </c>
    </row>
    <row r="737" spans="1:20">
      <c r="A737" t="s">
        <v>1224</v>
      </c>
      <c r="B737" t="s">
        <v>100</v>
      </c>
      <c r="C737" t="s">
        <v>16</v>
      </c>
      <c r="D737">
        <v>328</v>
      </c>
      <c r="E737" s="4">
        <v>46057</v>
      </c>
      <c r="F737" s="4">
        <v>46063</v>
      </c>
      <c r="G737" s="4">
        <v>46060</v>
      </c>
      <c r="H737">
        <v>331</v>
      </c>
      <c r="I737" t="s">
        <v>1153</v>
      </c>
      <c r="J737">
        <v>8</v>
      </c>
      <c r="K737" t="s">
        <v>1563</v>
      </c>
      <c r="L737" t="str">
        <f t="shared" si="99"/>
        <v>Y</v>
      </c>
      <c r="M737" t="str">
        <f t="shared" si="100"/>
        <v>Y</v>
      </c>
      <c r="N737" t="str">
        <f t="shared" si="101"/>
        <v>Y</v>
      </c>
      <c r="O737">
        <f t="shared" si="102"/>
        <v>3</v>
      </c>
      <c r="P737" s="6">
        <f t="shared" si="103"/>
        <v>1.0091463414634145</v>
      </c>
      <c r="Q737" s="6">
        <f t="shared" si="104"/>
        <v>2.4169184290030211E-2</v>
      </c>
      <c r="R737">
        <f t="shared" si="105"/>
        <v>1</v>
      </c>
      <c r="S737">
        <f t="shared" si="106"/>
        <v>0</v>
      </c>
      <c r="T737" t="str">
        <f t="shared" si="107"/>
        <v>Feb-26</v>
      </c>
    </row>
    <row r="738" spans="1:20">
      <c r="A738" t="s">
        <v>1225</v>
      </c>
      <c r="B738" t="s">
        <v>70</v>
      </c>
      <c r="C738" t="s">
        <v>16</v>
      </c>
      <c r="D738">
        <v>135</v>
      </c>
      <c r="E738" s="4">
        <v>46160</v>
      </c>
      <c r="F738" s="4">
        <v>46173</v>
      </c>
      <c r="G738" s="4">
        <v>46181</v>
      </c>
      <c r="H738">
        <v>137</v>
      </c>
      <c r="I738" t="s">
        <v>1153</v>
      </c>
      <c r="J738">
        <v>4</v>
      </c>
      <c r="K738" t="s">
        <v>1563</v>
      </c>
      <c r="L738" t="str">
        <f t="shared" si="99"/>
        <v>N</v>
      </c>
      <c r="M738" t="str">
        <f t="shared" si="100"/>
        <v>Y</v>
      </c>
      <c r="N738" t="str">
        <f t="shared" si="101"/>
        <v>N</v>
      </c>
      <c r="O738">
        <f t="shared" si="102"/>
        <v>21</v>
      </c>
      <c r="P738" s="6">
        <f t="shared" si="103"/>
        <v>1.0148148148148148</v>
      </c>
      <c r="Q738" s="6">
        <f t="shared" si="104"/>
        <v>2.9197080291970802E-2</v>
      </c>
      <c r="R738">
        <f t="shared" si="105"/>
        <v>0</v>
      </c>
      <c r="S738">
        <f t="shared" si="106"/>
        <v>8</v>
      </c>
      <c r="T738" t="str">
        <f t="shared" si="107"/>
        <v>Jun-26</v>
      </c>
    </row>
    <row r="739" spans="1:20">
      <c r="A739" t="s">
        <v>1226</v>
      </c>
      <c r="B739" t="s">
        <v>26</v>
      </c>
      <c r="C739" t="s">
        <v>16</v>
      </c>
      <c r="D739">
        <v>884</v>
      </c>
      <c r="E739" s="4">
        <v>46090</v>
      </c>
      <c r="F739" s="4">
        <v>46100</v>
      </c>
      <c r="G739" s="4">
        <v>46099</v>
      </c>
      <c r="H739">
        <v>885</v>
      </c>
      <c r="I739" t="s">
        <v>1227</v>
      </c>
      <c r="J739">
        <v>2</v>
      </c>
      <c r="K739" t="s">
        <v>1563</v>
      </c>
      <c r="L739" t="str">
        <f t="shared" si="99"/>
        <v>Y</v>
      </c>
      <c r="M739" t="str">
        <f t="shared" si="100"/>
        <v>Y</v>
      </c>
      <c r="N739" t="str">
        <f t="shared" si="101"/>
        <v>Y</v>
      </c>
      <c r="O739">
        <f t="shared" si="102"/>
        <v>9</v>
      </c>
      <c r="P739" s="6">
        <f t="shared" si="103"/>
        <v>1.001131221719457</v>
      </c>
      <c r="Q739" s="6">
        <f t="shared" si="104"/>
        <v>2.2598870056497176E-3</v>
      </c>
      <c r="R739">
        <f t="shared" si="105"/>
        <v>1</v>
      </c>
      <c r="S739">
        <f t="shared" si="106"/>
        <v>0</v>
      </c>
      <c r="T739" t="str">
        <f t="shared" si="107"/>
        <v>Mar-26</v>
      </c>
    </row>
    <row r="740" spans="1:20">
      <c r="A740" t="s">
        <v>1228</v>
      </c>
      <c r="B740" t="s">
        <v>54</v>
      </c>
      <c r="C740" t="s">
        <v>12</v>
      </c>
      <c r="D740">
        <v>514</v>
      </c>
      <c r="E740" s="4">
        <v>46110</v>
      </c>
      <c r="F740" s="4">
        <v>46117</v>
      </c>
      <c r="G740" s="4">
        <v>46115</v>
      </c>
      <c r="H740">
        <v>511</v>
      </c>
      <c r="I740" t="s">
        <v>403</v>
      </c>
      <c r="J740">
        <v>8</v>
      </c>
      <c r="K740" t="s">
        <v>1563</v>
      </c>
      <c r="L740" t="str">
        <f t="shared" si="99"/>
        <v>Y</v>
      </c>
      <c r="M740" t="str">
        <f t="shared" si="100"/>
        <v>Y</v>
      </c>
      <c r="N740" t="str">
        <f t="shared" si="101"/>
        <v>Y</v>
      </c>
      <c r="O740">
        <f t="shared" si="102"/>
        <v>5</v>
      </c>
      <c r="P740" s="6">
        <f t="shared" si="103"/>
        <v>0.99416342412451364</v>
      </c>
      <c r="Q740" s="6">
        <f t="shared" si="104"/>
        <v>1.5655577299412915E-2</v>
      </c>
      <c r="R740">
        <f t="shared" si="105"/>
        <v>1</v>
      </c>
      <c r="S740">
        <f t="shared" si="106"/>
        <v>0</v>
      </c>
      <c r="T740" t="str">
        <f t="shared" si="107"/>
        <v>Apr-26</v>
      </c>
    </row>
    <row r="741" spans="1:20">
      <c r="A741" t="s">
        <v>1229</v>
      </c>
      <c r="B741" t="s">
        <v>26</v>
      </c>
      <c r="C741" t="s">
        <v>12</v>
      </c>
      <c r="D741">
        <v>868</v>
      </c>
      <c r="E741" s="4">
        <v>46041</v>
      </c>
      <c r="F741" s="4">
        <v>46049</v>
      </c>
      <c r="G741" s="4">
        <v>46048</v>
      </c>
      <c r="H741">
        <v>766</v>
      </c>
      <c r="I741" t="s">
        <v>538</v>
      </c>
      <c r="J741">
        <v>7</v>
      </c>
      <c r="K741" t="s">
        <v>1563</v>
      </c>
      <c r="L741" t="str">
        <f t="shared" si="99"/>
        <v>Y</v>
      </c>
      <c r="M741" t="str">
        <f t="shared" si="100"/>
        <v>N</v>
      </c>
      <c r="N741" t="str">
        <f t="shared" si="101"/>
        <v>N</v>
      </c>
      <c r="O741">
        <f t="shared" si="102"/>
        <v>7</v>
      </c>
      <c r="P741" s="6">
        <f t="shared" si="103"/>
        <v>0.88248847926267282</v>
      </c>
      <c r="Q741" s="6">
        <f t="shared" si="104"/>
        <v>9.138381201044387E-3</v>
      </c>
      <c r="R741">
        <f t="shared" si="105"/>
        <v>0</v>
      </c>
      <c r="S741">
        <f t="shared" si="106"/>
        <v>0</v>
      </c>
      <c r="T741" t="str">
        <f t="shared" si="107"/>
        <v>Jan-26</v>
      </c>
    </row>
    <row r="742" spans="1:20">
      <c r="A742" t="s">
        <v>1230</v>
      </c>
      <c r="B742" t="s">
        <v>46</v>
      </c>
      <c r="C742" t="s">
        <v>16</v>
      </c>
      <c r="D742">
        <v>689</v>
      </c>
      <c r="E742" s="4">
        <v>46095</v>
      </c>
      <c r="F742" s="4">
        <v>46103</v>
      </c>
      <c r="G742" s="4">
        <v>46102</v>
      </c>
      <c r="H742">
        <v>697</v>
      </c>
      <c r="I742" t="s">
        <v>301</v>
      </c>
      <c r="J742">
        <v>10</v>
      </c>
      <c r="K742" t="s">
        <v>1563</v>
      </c>
      <c r="L742" t="str">
        <f t="shared" si="99"/>
        <v>Y</v>
      </c>
      <c r="M742" t="str">
        <f t="shared" si="100"/>
        <v>Y</v>
      </c>
      <c r="N742" t="str">
        <f t="shared" si="101"/>
        <v>Y</v>
      </c>
      <c r="O742">
        <f t="shared" si="102"/>
        <v>7</v>
      </c>
      <c r="P742" s="6">
        <f t="shared" si="103"/>
        <v>1.011611030478955</v>
      </c>
      <c r="Q742" s="6">
        <f t="shared" si="104"/>
        <v>1.4347202295552367E-2</v>
      </c>
      <c r="R742">
        <f t="shared" si="105"/>
        <v>1</v>
      </c>
      <c r="S742">
        <f t="shared" si="106"/>
        <v>0</v>
      </c>
      <c r="T742" t="str">
        <f t="shared" si="107"/>
        <v>Mar-26</v>
      </c>
    </row>
    <row r="743" spans="1:20">
      <c r="A743" t="s">
        <v>1231</v>
      </c>
      <c r="B743" t="s">
        <v>70</v>
      </c>
      <c r="C743" t="s">
        <v>12</v>
      </c>
      <c r="D743">
        <v>907</v>
      </c>
      <c r="E743" s="4">
        <v>46088</v>
      </c>
      <c r="F743" s="4">
        <v>46098</v>
      </c>
      <c r="G743" s="4">
        <v>46106</v>
      </c>
      <c r="H743">
        <v>913</v>
      </c>
      <c r="I743" t="s">
        <v>469</v>
      </c>
      <c r="J743">
        <v>2</v>
      </c>
      <c r="K743" t="s">
        <v>1563</v>
      </c>
      <c r="L743" t="str">
        <f t="shared" si="99"/>
        <v>N</v>
      </c>
      <c r="M743" t="str">
        <f t="shared" si="100"/>
        <v>Y</v>
      </c>
      <c r="N743" t="str">
        <f t="shared" si="101"/>
        <v>N</v>
      </c>
      <c r="O743">
        <f t="shared" si="102"/>
        <v>18</v>
      </c>
      <c r="P743" s="6">
        <f t="shared" si="103"/>
        <v>1.0066152149944874</v>
      </c>
      <c r="Q743" s="6">
        <f t="shared" si="104"/>
        <v>2.1905805038335158E-3</v>
      </c>
      <c r="R743">
        <f t="shared" si="105"/>
        <v>0</v>
      </c>
      <c r="S743">
        <f t="shared" si="106"/>
        <v>8</v>
      </c>
      <c r="T743" t="str">
        <f t="shared" si="107"/>
        <v>Mar-26</v>
      </c>
    </row>
    <row r="744" spans="1:20">
      <c r="A744" t="s">
        <v>1232</v>
      </c>
      <c r="B744" t="s">
        <v>32</v>
      </c>
      <c r="C744" t="s">
        <v>23</v>
      </c>
      <c r="D744">
        <v>778</v>
      </c>
      <c r="E744" s="4">
        <v>46043</v>
      </c>
      <c r="F744" s="4">
        <v>46056</v>
      </c>
      <c r="G744" s="4">
        <v>46056</v>
      </c>
      <c r="H744">
        <v>778</v>
      </c>
      <c r="I744" t="s">
        <v>296</v>
      </c>
      <c r="J744">
        <v>52</v>
      </c>
      <c r="K744" t="s">
        <v>1563</v>
      </c>
      <c r="L744" t="str">
        <f t="shared" si="99"/>
        <v>Y</v>
      </c>
      <c r="M744" t="str">
        <f t="shared" si="100"/>
        <v>Y</v>
      </c>
      <c r="N744" t="str">
        <f t="shared" si="101"/>
        <v>Y</v>
      </c>
      <c r="O744">
        <f t="shared" si="102"/>
        <v>13</v>
      </c>
      <c r="P744" s="6">
        <f t="shared" si="103"/>
        <v>1</v>
      </c>
      <c r="Q744" s="6">
        <f t="shared" si="104"/>
        <v>6.6838046272493568E-2</v>
      </c>
      <c r="R744">
        <f t="shared" si="105"/>
        <v>1</v>
      </c>
      <c r="S744">
        <f t="shared" si="106"/>
        <v>0</v>
      </c>
      <c r="T744" t="str">
        <f t="shared" si="107"/>
        <v>Feb-26</v>
      </c>
    </row>
    <row r="745" spans="1:20">
      <c r="A745" t="s">
        <v>1233</v>
      </c>
      <c r="B745" t="s">
        <v>70</v>
      </c>
      <c r="C745" t="s">
        <v>16</v>
      </c>
      <c r="D745">
        <v>917</v>
      </c>
      <c r="E745" s="4">
        <v>46174</v>
      </c>
      <c r="F745" s="4">
        <v>46187</v>
      </c>
      <c r="G745" s="4">
        <v>46189</v>
      </c>
      <c r="H745">
        <v>924</v>
      </c>
      <c r="I745" t="s">
        <v>428</v>
      </c>
      <c r="J745">
        <v>1</v>
      </c>
      <c r="K745" t="s">
        <v>1563</v>
      </c>
      <c r="L745" t="str">
        <f t="shared" si="99"/>
        <v>N</v>
      </c>
      <c r="M745" t="str">
        <f t="shared" si="100"/>
        <v>Y</v>
      </c>
      <c r="N745" t="str">
        <f t="shared" si="101"/>
        <v>N</v>
      </c>
      <c r="O745">
        <f t="shared" si="102"/>
        <v>15</v>
      </c>
      <c r="P745" s="6">
        <f t="shared" si="103"/>
        <v>1.0076335877862594</v>
      </c>
      <c r="Q745" s="6">
        <f t="shared" si="104"/>
        <v>1.0822510822510823E-3</v>
      </c>
      <c r="R745">
        <f t="shared" si="105"/>
        <v>0</v>
      </c>
      <c r="S745">
        <f t="shared" si="106"/>
        <v>2</v>
      </c>
      <c r="T745" t="str">
        <f t="shared" si="107"/>
        <v>Jun-26</v>
      </c>
    </row>
    <row r="746" spans="1:20">
      <c r="A746" t="s">
        <v>1234</v>
      </c>
      <c r="B746" t="s">
        <v>22</v>
      </c>
      <c r="C746" t="s">
        <v>12</v>
      </c>
      <c r="D746">
        <v>252</v>
      </c>
      <c r="E746" s="4">
        <v>46156</v>
      </c>
      <c r="F746" s="4">
        <v>46165</v>
      </c>
      <c r="G746" s="4">
        <v>46173</v>
      </c>
      <c r="H746">
        <v>233</v>
      </c>
      <c r="I746" t="s">
        <v>469</v>
      </c>
      <c r="J746">
        <v>14</v>
      </c>
      <c r="K746" t="s">
        <v>1563</v>
      </c>
      <c r="L746" t="str">
        <f t="shared" si="99"/>
        <v>N</v>
      </c>
      <c r="M746" t="str">
        <f t="shared" si="100"/>
        <v>N</v>
      </c>
      <c r="N746" t="str">
        <f t="shared" si="101"/>
        <v>N</v>
      </c>
      <c r="O746">
        <f t="shared" si="102"/>
        <v>17</v>
      </c>
      <c r="P746" s="6">
        <f t="shared" si="103"/>
        <v>0.92460317460317465</v>
      </c>
      <c r="Q746" s="6">
        <f t="shared" si="104"/>
        <v>6.0085836909871244E-2</v>
      </c>
      <c r="R746">
        <f t="shared" si="105"/>
        <v>0</v>
      </c>
      <c r="S746">
        <f t="shared" si="106"/>
        <v>8</v>
      </c>
      <c r="T746" t="str">
        <f t="shared" si="107"/>
        <v>May-26</v>
      </c>
    </row>
    <row r="747" spans="1:20">
      <c r="A747" t="s">
        <v>1236</v>
      </c>
      <c r="B747" t="s">
        <v>22</v>
      </c>
      <c r="C747" t="s">
        <v>16</v>
      </c>
      <c r="D747">
        <v>222</v>
      </c>
      <c r="E747" s="4">
        <v>46176</v>
      </c>
      <c r="F747" s="4">
        <v>46191</v>
      </c>
      <c r="G747" s="4">
        <v>46188</v>
      </c>
      <c r="H747">
        <v>197</v>
      </c>
      <c r="I747" t="s">
        <v>17</v>
      </c>
      <c r="J747">
        <v>7</v>
      </c>
      <c r="K747" t="s">
        <v>1563</v>
      </c>
      <c r="L747" t="str">
        <f t="shared" si="99"/>
        <v>Y</v>
      </c>
      <c r="M747" t="str">
        <f t="shared" si="100"/>
        <v>N</v>
      </c>
      <c r="N747" t="str">
        <f t="shared" si="101"/>
        <v>N</v>
      </c>
      <c r="O747">
        <f t="shared" si="102"/>
        <v>12</v>
      </c>
      <c r="P747" s="6">
        <f t="shared" si="103"/>
        <v>0.88738738738738743</v>
      </c>
      <c r="Q747" s="6">
        <f t="shared" si="104"/>
        <v>3.553299492385787E-2</v>
      </c>
      <c r="R747">
        <f t="shared" si="105"/>
        <v>0</v>
      </c>
      <c r="S747">
        <f t="shared" si="106"/>
        <v>0</v>
      </c>
      <c r="T747" t="str">
        <f t="shared" si="107"/>
        <v>Jun-26</v>
      </c>
    </row>
    <row r="748" spans="1:20">
      <c r="A748" t="s">
        <v>1237</v>
      </c>
      <c r="B748" t="s">
        <v>22</v>
      </c>
      <c r="C748" t="s">
        <v>12</v>
      </c>
      <c r="D748">
        <v>411</v>
      </c>
      <c r="E748" s="4">
        <v>46154</v>
      </c>
      <c r="F748" s="4">
        <v>46168</v>
      </c>
      <c r="G748" s="4">
        <v>46174</v>
      </c>
      <c r="H748">
        <v>408</v>
      </c>
      <c r="I748" t="s">
        <v>968</v>
      </c>
      <c r="J748">
        <v>19</v>
      </c>
      <c r="K748" t="s">
        <v>1563</v>
      </c>
      <c r="L748" t="str">
        <f t="shared" si="99"/>
        <v>N</v>
      </c>
      <c r="M748" t="str">
        <f t="shared" si="100"/>
        <v>Y</v>
      </c>
      <c r="N748" t="str">
        <f t="shared" si="101"/>
        <v>N</v>
      </c>
      <c r="O748">
        <f t="shared" si="102"/>
        <v>20</v>
      </c>
      <c r="P748" s="6">
        <f t="shared" si="103"/>
        <v>0.99270072992700731</v>
      </c>
      <c r="Q748" s="6">
        <f t="shared" si="104"/>
        <v>4.6568627450980393E-2</v>
      </c>
      <c r="R748">
        <f t="shared" si="105"/>
        <v>0</v>
      </c>
      <c r="S748">
        <f t="shared" si="106"/>
        <v>6</v>
      </c>
      <c r="T748" t="str">
        <f t="shared" si="107"/>
        <v>Jun-26</v>
      </c>
    </row>
    <row r="749" spans="1:20">
      <c r="A749" t="s">
        <v>1238</v>
      </c>
      <c r="B749" t="s">
        <v>32</v>
      </c>
      <c r="C749" t="s">
        <v>16</v>
      </c>
      <c r="D749">
        <v>626</v>
      </c>
      <c r="E749" s="4">
        <v>46145</v>
      </c>
      <c r="F749" s="4">
        <v>46159</v>
      </c>
      <c r="G749" s="4">
        <v>46158</v>
      </c>
      <c r="H749">
        <v>625</v>
      </c>
      <c r="I749" t="s">
        <v>272</v>
      </c>
      <c r="J749">
        <v>25</v>
      </c>
      <c r="K749" t="s">
        <v>1563</v>
      </c>
      <c r="L749" t="str">
        <f t="shared" si="99"/>
        <v>Y</v>
      </c>
      <c r="M749" t="str">
        <f t="shared" si="100"/>
        <v>Y</v>
      </c>
      <c r="N749" t="str">
        <f t="shared" si="101"/>
        <v>Y</v>
      </c>
      <c r="O749">
        <f t="shared" si="102"/>
        <v>13</v>
      </c>
      <c r="P749" s="6">
        <f t="shared" si="103"/>
        <v>0.99840255591054317</v>
      </c>
      <c r="Q749" s="6">
        <f t="shared" si="104"/>
        <v>0.04</v>
      </c>
      <c r="R749">
        <f t="shared" si="105"/>
        <v>1</v>
      </c>
      <c r="S749">
        <f t="shared" si="106"/>
        <v>0</v>
      </c>
      <c r="T749" t="str">
        <f t="shared" si="107"/>
        <v>May-26</v>
      </c>
    </row>
    <row r="750" spans="1:20">
      <c r="A750" t="s">
        <v>1239</v>
      </c>
      <c r="B750" t="s">
        <v>32</v>
      </c>
      <c r="C750" t="s">
        <v>12</v>
      </c>
      <c r="D750">
        <v>663</v>
      </c>
      <c r="E750" s="4">
        <v>46168</v>
      </c>
      <c r="F750" s="4">
        <v>46181</v>
      </c>
      <c r="G750" s="4">
        <v>46181</v>
      </c>
      <c r="H750">
        <v>655</v>
      </c>
      <c r="I750" t="s">
        <v>647</v>
      </c>
      <c r="J750">
        <v>25</v>
      </c>
      <c r="K750" t="s">
        <v>1563</v>
      </c>
      <c r="L750" t="str">
        <f t="shared" si="99"/>
        <v>Y</v>
      </c>
      <c r="M750" t="str">
        <f t="shared" si="100"/>
        <v>Y</v>
      </c>
      <c r="N750" t="str">
        <f t="shared" si="101"/>
        <v>Y</v>
      </c>
      <c r="O750">
        <f t="shared" si="102"/>
        <v>13</v>
      </c>
      <c r="P750" s="6">
        <f t="shared" si="103"/>
        <v>0.98793363499245856</v>
      </c>
      <c r="Q750" s="6">
        <f t="shared" si="104"/>
        <v>3.8167938931297711E-2</v>
      </c>
      <c r="R750">
        <f t="shared" si="105"/>
        <v>1</v>
      </c>
      <c r="S750">
        <f t="shared" si="106"/>
        <v>0</v>
      </c>
      <c r="T750" t="str">
        <f t="shared" si="107"/>
        <v>Jun-26</v>
      </c>
    </row>
    <row r="751" spans="1:20">
      <c r="A751" t="s">
        <v>1240</v>
      </c>
      <c r="B751" t="s">
        <v>35</v>
      </c>
      <c r="C751" t="s">
        <v>12</v>
      </c>
      <c r="D751">
        <v>963</v>
      </c>
      <c r="E751" s="4">
        <v>46118</v>
      </c>
      <c r="F751" s="4">
        <v>46131</v>
      </c>
      <c r="G751" s="4">
        <v>46137</v>
      </c>
      <c r="H751">
        <v>775</v>
      </c>
      <c r="I751" t="s">
        <v>705</v>
      </c>
      <c r="J751">
        <v>13</v>
      </c>
      <c r="K751" t="s">
        <v>1563</v>
      </c>
      <c r="L751" t="str">
        <f t="shared" si="99"/>
        <v>N</v>
      </c>
      <c r="M751" t="str">
        <f t="shared" si="100"/>
        <v>N</v>
      </c>
      <c r="N751" t="str">
        <f t="shared" si="101"/>
        <v>N</v>
      </c>
      <c r="O751">
        <f t="shared" si="102"/>
        <v>19</v>
      </c>
      <c r="P751" s="6">
        <f t="shared" si="103"/>
        <v>0.80477673935617866</v>
      </c>
      <c r="Q751" s="6">
        <f t="shared" si="104"/>
        <v>1.6774193548387096E-2</v>
      </c>
      <c r="R751">
        <f t="shared" si="105"/>
        <v>0</v>
      </c>
      <c r="S751">
        <f t="shared" si="106"/>
        <v>6</v>
      </c>
      <c r="T751" t="str">
        <f t="shared" si="107"/>
        <v>Apr-26</v>
      </c>
    </row>
    <row r="752" spans="1:20">
      <c r="A752" t="s">
        <v>1241</v>
      </c>
      <c r="B752" t="s">
        <v>120</v>
      </c>
      <c r="C752" t="s">
        <v>23</v>
      </c>
      <c r="D752">
        <v>628</v>
      </c>
      <c r="E752" s="4">
        <v>46093</v>
      </c>
      <c r="F752" s="4">
        <v>46104</v>
      </c>
      <c r="G752" s="4">
        <v>46102</v>
      </c>
      <c r="H752">
        <v>547</v>
      </c>
      <c r="I752" t="s">
        <v>1242</v>
      </c>
      <c r="J752">
        <v>26</v>
      </c>
      <c r="K752" t="s">
        <v>1563</v>
      </c>
      <c r="L752" t="str">
        <f t="shared" si="99"/>
        <v>Y</v>
      </c>
      <c r="M752" t="str">
        <f t="shared" si="100"/>
        <v>N</v>
      </c>
      <c r="N752" t="str">
        <f t="shared" si="101"/>
        <v>N</v>
      </c>
      <c r="O752">
        <f t="shared" si="102"/>
        <v>9</v>
      </c>
      <c r="P752" s="6">
        <f t="shared" si="103"/>
        <v>0.87101910828025475</v>
      </c>
      <c r="Q752" s="6">
        <f t="shared" si="104"/>
        <v>4.7531992687385741E-2</v>
      </c>
      <c r="R752">
        <f t="shared" si="105"/>
        <v>0</v>
      </c>
      <c r="S752">
        <f t="shared" si="106"/>
        <v>0</v>
      </c>
      <c r="T752" t="str">
        <f t="shared" si="107"/>
        <v>Mar-26</v>
      </c>
    </row>
    <row r="753" spans="1:20">
      <c r="A753" t="s">
        <v>1243</v>
      </c>
      <c r="B753" t="s">
        <v>35</v>
      </c>
      <c r="C753" t="s">
        <v>12</v>
      </c>
      <c r="D753">
        <v>838</v>
      </c>
      <c r="E753" s="4">
        <v>46150</v>
      </c>
      <c r="F753" s="4">
        <v>46155</v>
      </c>
      <c r="G753" s="4">
        <v>46154</v>
      </c>
      <c r="H753">
        <v>850</v>
      </c>
      <c r="I753" t="s">
        <v>1244</v>
      </c>
      <c r="J753">
        <v>12</v>
      </c>
      <c r="K753" t="s">
        <v>1563</v>
      </c>
      <c r="L753" t="str">
        <f t="shared" si="99"/>
        <v>Y</v>
      </c>
      <c r="M753" t="str">
        <f t="shared" si="100"/>
        <v>Y</v>
      </c>
      <c r="N753" t="str">
        <f t="shared" si="101"/>
        <v>Y</v>
      </c>
      <c r="O753">
        <f t="shared" si="102"/>
        <v>4</v>
      </c>
      <c r="P753" s="6">
        <f t="shared" si="103"/>
        <v>1.0143198090692125</v>
      </c>
      <c r="Q753" s="6">
        <f t="shared" si="104"/>
        <v>1.411764705882353E-2</v>
      </c>
      <c r="R753">
        <f t="shared" si="105"/>
        <v>1</v>
      </c>
      <c r="S753">
        <f t="shared" si="106"/>
        <v>0</v>
      </c>
      <c r="T753" t="str">
        <f t="shared" si="107"/>
        <v>May-26</v>
      </c>
    </row>
    <row r="754" spans="1:20">
      <c r="A754" t="s">
        <v>1245</v>
      </c>
      <c r="B754" t="s">
        <v>81</v>
      </c>
      <c r="C754" t="s">
        <v>12</v>
      </c>
      <c r="D754">
        <v>153</v>
      </c>
      <c r="E754" s="4">
        <v>46075</v>
      </c>
      <c r="F754" s="4">
        <v>46084</v>
      </c>
      <c r="G754" s="4">
        <v>46084</v>
      </c>
      <c r="H754">
        <v>124</v>
      </c>
      <c r="I754" t="s">
        <v>872</v>
      </c>
      <c r="J754">
        <v>2</v>
      </c>
      <c r="K754" t="s">
        <v>1563</v>
      </c>
      <c r="L754" t="str">
        <f t="shared" si="99"/>
        <v>Y</v>
      </c>
      <c r="M754" t="str">
        <f t="shared" si="100"/>
        <v>N</v>
      </c>
      <c r="N754" t="str">
        <f t="shared" si="101"/>
        <v>N</v>
      </c>
      <c r="O754">
        <f t="shared" si="102"/>
        <v>9</v>
      </c>
      <c r="P754" s="6">
        <f t="shared" si="103"/>
        <v>0.81045751633986929</v>
      </c>
      <c r="Q754" s="6">
        <f t="shared" si="104"/>
        <v>1.6129032258064516E-2</v>
      </c>
      <c r="R754">
        <f t="shared" si="105"/>
        <v>0</v>
      </c>
      <c r="S754">
        <f t="shared" si="106"/>
        <v>0</v>
      </c>
      <c r="T754" t="str">
        <f t="shared" si="107"/>
        <v>Mar-26</v>
      </c>
    </row>
    <row r="755" spans="1:20">
      <c r="A755" t="s">
        <v>1246</v>
      </c>
      <c r="B755" t="s">
        <v>177</v>
      </c>
      <c r="C755" t="s">
        <v>23</v>
      </c>
      <c r="D755">
        <v>378</v>
      </c>
      <c r="E755" s="4">
        <v>46086</v>
      </c>
      <c r="F755" s="4">
        <v>46100</v>
      </c>
      <c r="G755" s="4">
        <v>46097</v>
      </c>
      <c r="H755">
        <v>376</v>
      </c>
      <c r="I755" t="s">
        <v>745</v>
      </c>
      <c r="J755">
        <v>7</v>
      </c>
      <c r="K755" t="s">
        <v>1563</v>
      </c>
      <c r="L755" t="str">
        <f t="shared" si="99"/>
        <v>Y</v>
      </c>
      <c r="M755" t="str">
        <f t="shared" si="100"/>
        <v>Y</v>
      </c>
      <c r="N755" t="str">
        <f t="shared" si="101"/>
        <v>Y</v>
      </c>
      <c r="O755">
        <f t="shared" si="102"/>
        <v>11</v>
      </c>
      <c r="P755" s="6">
        <f t="shared" si="103"/>
        <v>0.99470899470899465</v>
      </c>
      <c r="Q755" s="6">
        <f t="shared" si="104"/>
        <v>1.8617021276595744E-2</v>
      </c>
      <c r="R755">
        <f t="shared" si="105"/>
        <v>1</v>
      </c>
      <c r="S755">
        <f t="shared" si="106"/>
        <v>0</v>
      </c>
      <c r="T755" t="str">
        <f t="shared" si="107"/>
        <v>Mar-26</v>
      </c>
    </row>
    <row r="756" spans="1:20">
      <c r="A756" t="s">
        <v>1247</v>
      </c>
      <c r="B756" t="s">
        <v>26</v>
      </c>
      <c r="C756" t="s">
        <v>12</v>
      </c>
      <c r="D756">
        <v>831</v>
      </c>
      <c r="E756" s="4">
        <v>46034</v>
      </c>
      <c r="F756" s="4">
        <v>46042</v>
      </c>
      <c r="G756" s="4">
        <v>46040</v>
      </c>
      <c r="H756">
        <v>802</v>
      </c>
      <c r="I756" t="s">
        <v>98</v>
      </c>
      <c r="J756">
        <v>5</v>
      </c>
      <c r="K756" t="s">
        <v>1563</v>
      </c>
      <c r="L756" t="str">
        <f t="shared" si="99"/>
        <v>Y</v>
      </c>
      <c r="M756" t="str">
        <f t="shared" si="100"/>
        <v>N</v>
      </c>
      <c r="N756" t="str">
        <f t="shared" si="101"/>
        <v>N</v>
      </c>
      <c r="O756">
        <f t="shared" si="102"/>
        <v>6</v>
      </c>
      <c r="P756" s="6">
        <f t="shared" si="103"/>
        <v>0.96510228640192541</v>
      </c>
      <c r="Q756" s="6">
        <f t="shared" si="104"/>
        <v>6.2344139650872821E-3</v>
      </c>
      <c r="R756">
        <f t="shared" si="105"/>
        <v>0</v>
      </c>
      <c r="S756">
        <f t="shared" si="106"/>
        <v>0</v>
      </c>
      <c r="T756" t="str">
        <f t="shared" si="107"/>
        <v>Jan-26</v>
      </c>
    </row>
    <row r="757" spans="1:20">
      <c r="A757" t="s">
        <v>1248</v>
      </c>
      <c r="B757" t="s">
        <v>100</v>
      </c>
      <c r="C757" t="s">
        <v>16</v>
      </c>
      <c r="D757">
        <v>741</v>
      </c>
      <c r="E757" s="4">
        <v>46109</v>
      </c>
      <c r="F757" s="4">
        <v>46115</v>
      </c>
      <c r="G757" s="4">
        <v>46115</v>
      </c>
      <c r="H757">
        <v>736</v>
      </c>
      <c r="I757" t="s">
        <v>383</v>
      </c>
      <c r="J757">
        <v>14</v>
      </c>
      <c r="K757" t="s">
        <v>1563</v>
      </c>
      <c r="L757" t="str">
        <f t="shared" si="99"/>
        <v>Y</v>
      </c>
      <c r="M757" t="str">
        <f t="shared" si="100"/>
        <v>Y</v>
      </c>
      <c r="N757" t="str">
        <f t="shared" si="101"/>
        <v>Y</v>
      </c>
      <c r="O757">
        <f t="shared" si="102"/>
        <v>6</v>
      </c>
      <c r="P757" s="6">
        <f t="shared" si="103"/>
        <v>0.99325236167341435</v>
      </c>
      <c r="Q757" s="6">
        <f t="shared" si="104"/>
        <v>1.9021739130434784E-2</v>
      </c>
      <c r="R757">
        <f t="shared" si="105"/>
        <v>1</v>
      </c>
      <c r="S757">
        <f t="shared" si="106"/>
        <v>0</v>
      </c>
      <c r="T757" t="str">
        <f t="shared" si="107"/>
        <v>Apr-26</v>
      </c>
    </row>
    <row r="758" spans="1:20">
      <c r="A758" t="s">
        <v>1249</v>
      </c>
      <c r="B758" t="s">
        <v>52</v>
      </c>
      <c r="C758" t="s">
        <v>16</v>
      </c>
      <c r="D758">
        <v>290</v>
      </c>
      <c r="E758" s="4">
        <v>46084</v>
      </c>
      <c r="F758" s="4">
        <v>46094</v>
      </c>
      <c r="G758" s="4">
        <v>46091</v>
      </c>
      <c r="H758">
        <v>279</v>
      </c>
      <c r="I758" t="s">
        <v>1250</v>
      </c>
      <c r="J758">
        <v>2</v>
      </c>
      <c r="K758" t="s">
        <v>1563</v>
      </c>
      <c r="L758" t="str">
        <f t="shared" si="99"/>
        <v>Y</v>
      </c>
      <c r="M758" t="str">
        <f t="shared" si="100"/>
        <v>N</v>
      </c>
      <c r="N758" t="str">
        <f t="shared" si="101"/>
        <v>N</v>
      </c>
      <c r="O758">
        <f t="shared" si="102"/>
        <v>7</v>
      </c>
      <c r="P758" s="6">
        <f t="shared" si="103"/>
        <v>0.96206896551724141</v>
      </c>
      <c r="Q758" s="6">
        <f t="shared" si="104"/>
        <v>7.1684587813620072E-3</v>
      </c>
      <c r="R758">
        <f t="shared" si="105"/>
        <v>0</v>
      </c>
      <c r="S758">
        <f t="shared" si="106"/>
        <v>0</v>
      </c>
      <c r="T758" t="str">
        <f t="shared" si="107"/>
        <v>Mar-26</v>
      </c>
    </row>
    <row r="759" spans="1:20">
      <c r="A759" t="s">
        <v>1251</v>
      </c>
      <c r="B759" t="s">
        <v>32</v>
      </c>
      <c r="C759" t="s">
        <v>12</v>
      </c>
      <c r="D759">
        <v>86</v>
      </c>
      <c r="E759" s="4">
        <v>46137</v>
      </c>
      <c r="F759" s="4">
        <v>46145</v>
      </c>
      <c r="G759" s="4">
        <v>46144</v>
      </c>
      <c r="H759">
        <v>78</v>
      </c>
      <c r="I759" t="s">
        <v>1072</v>
      </c>
      <c r="J759">
        <v>2</v>
      </c>
      <c r="K759" t="s">
        <v>1563</v>
      </c>
      <c r="L759" t="str">
        <f t="shared" si="99"/>
        <v>Y</v>
      </c>
      <c r="M759" t="str">
        <f t="shared" si="100"/>
        <v>N</v>
      </c>
      <c r="N759" t="str">
        <f t="shared" si="101"/>
        <v>N</v>
      </c>
      <c r="O759">
        <f t="shared" si="102"/>
        <v>7</v>
      </c>
      <c r="P759" s="6">
        <f t="shared" si="103"/>
        <v>0.90697674418604646</v>
      </c>
      <c r="Q759" s="6">
        <f t="shared" si="104"/>
        <v>2.564102564102564E-2</v>
      </c>
      <c r="R759">
        <f t="shared" si="105"/>
        <v>0</v>
      </c>
      <c r="S759">
        <f t="shared" si="106"/>
        <v>0</v>
      </c>
      <c r="T759" t="str">
        <f t="shared" si="107"/>
        <v>May-26</v>
      </c>
    </row>
    <row r="760" spans="1:20">
      <c r="A760" t="s">
        <v>1252</v>
      </c>
      <c r="B760" t="s">
        <v>70</v>
      </c>
      <c r="C760" t="s">
        <v>12</v>
      </c>
      <c r="D760">
        <v>965</v>
      </c>
      <c r="E760" s="4">
        <v>46081</v>
      </c>
      <c r="F760" s="4">
        <v>46091</v>
      </c>
      <c r="G760" s="4">
        <v>46097</v>
      </c>
      <c r="H760">
        <v>976</v>
      </c>
      <c r="I760" t="s">
        <v>714</v>
      </c>
      <c r="J760">
        <v>23</v>
      </c>
      <c r="K760" t="s">
        <v>1563</v>
      </c>
      <c r="L760" t="str">
        <f t="shared" si="99"/>
        <v>N</v>
      </c>
      <c r="M760" t="str">
        <f t="shared" si="100"/>
        <v>Y</v>
      </c>
      <c r="N760" t="str">
        <f t="shared" si="101"/>
        <v>N</v>
      </c>
      <c r="O760">
        <f t="shared" si="102"/>
        <v>16</v>
      </c>
      <c r="P760" s="6">
        <f t="shared" si="103"/>
        <v>1.01139896373057</v>
      </c>
      <c r="Q760" s="6">
        <f t="shared" si="104"/>
        <v>2.3565573770491802E-2</v>
      </c>
      <c r="R760">
        <f t="shared" si="105"/>
        <v>0</v>
      </c>
      <c r="S760">
        <f t="shared" si="106"/>
        <v>6</v>
      </c>
      <c r="T760" t="str">
        <f t="shared" si="107"/>
        <v>Mar-26</v>
      </c>
    </row>
    <row r="761" spans="1:20">
      <c r="A761" t="s">
        <v>1253</v>
      </c>
      <c r="B761" t="s">
        <v>52</v>
      </c>
      <c r="C761" t="s">
        <v>23</v>
      </c>
      <c r="D761">
        <v>430</v>
      </c>
      <c r="E761" s="4">
        <v>46091</v>
      </c>
      <c r="F761" s="4">
        <v>46096</v>
      </c>
      <c r="G761" s="4">
        <v>46095</v>
      </c>
      <c r="H761">
        <v>405</v>
      </c>
      <c r="I761" t="s">
        <v>619</v>
      </c>
      <c r="J761">
        <v>7</v>
      </c>
      <c r="K761" t="s">
        <v>1563</v>
      </c>
      <c r="L761" t="str">
        <f t="shared" si="99"/>
        <v>Y</v>
      </c>
      <c r="M761" t="str">
        <f t="shared" si="100"/>
        <v>N</v>
      </c>
      <c r="N761" t="str">
        <f t="shared" si="101"/>
        <v>N</v>
      </c>
      <c r="O761">
        <f t="shared" si="102"/>
        <v>4</v>
      </c>
      <c r="P761" s="6">
        <f t="shared" si="103"/>
        <v>0.94186046511627908</v>
      </c>
      <c r="Q761" s="6">
        <f t="shared" si="104"/>
        <v>1.7283950617283949E-2</v>
      </c>
      <c r="R761">
        <f t="shared" si="105"/>
        <v>0</v>
      </c>
      <c r="S761">
        <f t="shared" si="106"/>
        <v>0</v>
      </c>
      <c r="T761" t="str">
        <f t="shared" si="107"/>
        <v>Mar-26</v>
      </c>
    </row>
    <row r="762" spans="1:20">
      <c r="A762" t="s">
        <v>1254</v>
      </c>
      <c r="B762" t="s">
        <v>40</v>
      </c>
      <c r="C762" t="s">
        <v>16</v>
      </c>
      <c r="D762">
        <v>909</v>
      </c>
      <c r="E762" s="4">
        <v>46060</v>
      </c>
      <c r="F762" s="4">
        <v>46075</v>
      </c>
      <c r="G762" s="4">
        <v>46075</v>
      </c>
      <c r="H762">
        <v>923</v>
      </c>
      <c r="I762" t="s">
        <v>597</v>
      </c>
      <c r="J762">
        <v>27</v>
      </c>
      <c r="K762" t="s">
        <v>1563</v>
      </c>
      <c r="L762" t="str">
        <f t="shared" si="99"/>
        <v>Y</v>
      </c>
      <c r="M762" t="str">
        <f t="shared" si="100"/>
        <v>Y</v>
      </c>
      <c r="N762" t="str">
        <f t="shared" si="101"/>
        <v>Y</v>
      </c>
      <c r="O762">
        <f t="shared" si="102"/>
        <v>15</v>
      </c>
      <c r="P762" s="6">
        <f t="shared" si="103"/>
        <v>1.0154015401540153</v>
      </c>
      <c r="Q762" s="6">
        <f t="shared" si="104"/>
        <v>2.9252437703141929E-2</v>
      </c>
      <c r="R762">
        <f t="shared" si="105"/>
        <v>1</v>
      </c>
      <c r="S762">
        <f t="shared" si="106"/>
        <v>0</v>
      </c>
      <c r="T762" t="str">
        <f t="shared" si="107"/>
        <v>Feb-26</v>
      </c>
    </row>
    <row r="763" spans="1:20">
      <c r="A763" t="s">
        <v>1255</v>
      </c>
      <c r="B763" t="s">
        <v>29</v>
      </c>
      <c r="C763" t="s">
        <v>16</v>
      </c>
      <c r="D763">
        <v>322</v>
      </c>
      <c r="E763" s="4">
        <v>46042</v>
      </c>
      <c r="F763" s="4">
        <v>46057</v>
      </c>
      <c r="G763" s="4">
        <v>46066</v>
      </c>
      <c r="H763">
        <v>326</v>
      </c>
      <c r="I763" t="s">
        <v>1256</v>
      </c>
      <c r="J763">
        <v>2</v>
      </c>
      <c r="K763" t="s">
        <v>1563</v>
      </c>
      <c r="L763" t="str">
        <f t="shared" si="99"/>
        <v>N</v>
      </c>
      <c r="M763" t="str">
        <f t="shared" si="100"/>
        <v>Y</v>
      </c>
      <c r="N763" t="str">
        <f t="shared" si="101"/>
        <v>N</v>
      </c>
      <c r="O763">
        <f t="shared" si="102"/>
        <v>24</v>
      </c>
      <c r="P763" s="6">
        <f t="shared" si="103"/>
        <v>1.0124223602484472</v>
      </c>
      <c r="Q763" s="6">
        <f t="shared" si="104"/>
        <v>6.1349693251533744E-3</v>
      </c>
      <c r="R763">
        <f t="shared" si="105"/>
        <v>0</v>
      </c>
      <c r="S763">
        <f t="shared" si="106"/>
        <v>9</v>
      </c>
      <c r="T763" t="str">
        <f t="shared" si="107"/>
        <v>Feb-26</v>
      </c>
    </row>
    <row r="764" spans="1:20">
      <c r="A764" t="s">
        <v>1257</v>
      </c>
      <c r="B764" t="s">
        <v>43</v>
      </c>
      <c r="C764" t="s">
        <v>12</v>
      </c>
      <c r="D764">
        <v>930</v>
      </c>
      <c r="E764" s="4">
        <v>46154</v>
      </c>
      <c r="F764" s="4">
        <v>46161</v>
      </c>
      <c r="G764" s="4">
        <v>46160</v>
      </c>
      <c r="H764">
        <v>925</v>
      </c>
      <c r="I764" t="s">
        <v>191</v>
      </c>
      <c r="J764">
        <v>25</v>
      </c>
      <c r="K764" t="s">
        <v>1563</v>
      </c>
      <c r="L764" t="str">
        <f t="shared" si="99"/>
        <v>Y</v>
      </c>
      <c r="M764" t="str">
        <f t="shared" si="100"/>
        <v>Y</v>
      </c>
      <c r="N764" t="str">
        <f t="shared" si="101"/>
        <v>Y</v>
      </c>
      <c r="O764">
        <f t="shared" si="102"/>
        <v>6</v>
      </c>
      <c r="P764" s="6">
        <f t="shared" si="103"/>
        <v>0.9946236559139785</v>
      </c>
      <c r="Q764" s="6">
        <f t="shared" si="104"/>
        <v>2.7027027027027029E-2</v>
      </c>
      <c r="R764">
        <f t="shared" si="105"/>
        <v>1</v>
      </c>
      <c r="S764">
        <f t="shared" si="106"/>
        <v>0</v>
      </c>
      <c r="T764" t="str">
        <f t="shared" si="107"/>
        <v>May-26</v>
      </c>
    </row>
    <row r="765" spans="1:20">
      <c r="A765" t="s">
        <v>1258</v>
      </c>
      <c r="B765" t="s">
        <v>120</v>
      </c>
      <c r="C765" t="s">
        <v>23</v>
      </c>
      <c r="D765">
        <v>447</v>
      </c>
      <c r="E765" s="4">
        <v>46059</v>
      </c>
      <c r="F765" s="4">
        <v>46068</v>
      </c>
      <c r="G765" s="4">
        <v>46065</v>
      </c>
      <c r="H765">
        <v>451</v>
      </c>
      <c r="I765" t="s">
        <v>765</v>
      </c>
      <c r="J765">
        <v>21</v>
      </c>
      <c r="K765" t="s">
        <v>1563</v>
      </c>
      <c r="L765" t="str">
        <f t="shared" si="99"/>
        <v>Y</v>
      </c>
      <c r="M765" t="str">
        <f t="shared" si="100"/>
        <v>Y</v>
      </c>
      <c r="N765" t="str">
        <f t="shared" si="101"/>
        <v>Y</v>
      </c>
      <c r="O765">
        <f t="shared" si="102"/>
        <v>6</v>
      </c>
      <c r="P765" s="6">
        <f t="shared" si="103"/>
        <v>1.0089485458612975</v>
      </c>
      <c r="Q765" s="6">
        <f t="shared" si="104"/>
        <v>4.6563192904656318E-2</v>
      </c>
      <c r="R765">
        <f t="shared" si="105"/>
        <v>1</v>
      </c>
      <c r="S765">
        <f t="shared" si="106"/>
        <v>0</v>
      </c>
      <c r="T765" t="str">
        <f t="shared" si="107"/>
        <v>Feb-26</v>
      </c>
    </row>
    <row r="766" spans="1:20">
      <c r="A766" t="s">
        <v>1259</v>
      </c>
      <c r="B766" t="s">
        <v>81</v>
      </c>
      <c r="C766" t="s">
        <v>12</v>
      </c>
      <c r="D766">
        <v>751</v>
      </c>
      <c r="E766" s="4">
        <v>46085</v>
      </c>
      <c r="F766" s="4">
        <v>46095</v>
      </c>
      <c r="G766" s="4">
        <v>46092</v>
      </c>
      <c r="H766">
        <v>609</v>
      </c>
      <c r="I766" t="s">
        <v>520</v>
      </c>
      <c r="J766">
        <v>3</v>
      </c>
      <c r="K766" t="s">
        <v>1563</v>
      </c>
      <c r="L766" t="str">
        <f t="shared" si="99"/>
        <v>Y</v>
      </c>
      <c r="M766" t="str">
        <f t="shared" si="100"/>
        <v>N</v>
      </c>
      <c r="N766" t="str">
        <f t="shared" si="101"/>
        <v>N</v>
      </c>
      <c r="O766">
        <f t="shared" si="102"/>
        <v>7</v>
      </c>
      <c r="P766" s="6">
        <f t="shared" si="103"/>
        <v>0.81091877496671105</v>
      </c>
      <c r="Q766" s="6">
        <f t="shared" si="104"/>
        <v>4.9261083743842365E-3</v>
      </c>
      <c r="R766">
        <f t="shared" si="105"/>
        <v>0</v>
      </c>
      <c r="S766">
        <f t="shared" si="106"/>
        <v>0</v>
      </c>
      <c r="T766" t="str">
        <f t="shared" si="107"/>
        <v>Mar-26</v>
      </c>
    </row>
    <row r="767" spans="1:20">
      <c r="A767" t="s">
        <v>1260</v>
      </c>
      <c r="B767" t="s">
        <v>49</v>
      </c>
      <c r="C767" t="s">
        <v>12</v>
      </c>
      <c r="D767">
        <v>734</v>
      </c>
      <c r="E767" s="4">
        <v>46115</v>
      </c>
      <c r="F767" s="4">
        <v>46124</v>
      </c>
      <c r="G767" s="4">
        <v>46122</v>
      </c>
      <c r="H767">
        <v>740</v>
      </c>
      <c r="I767" t="s">
        <v>154</v>
      </c>
      <c r="J767">
        <v>5</v>
      </c>
      <c r="K767" t="s">
        <v>1563</v>
      </c>
      <c r="L767" t="str">
        <f t="shared" si="99"/>
        <v>Y</v>
      </c>
      <c r="M767" t="str">
        <f t="shared" si="100"/>
        <v>Y</v>
      </c>
      <c r="N767" t="str">
        <f t="shared" si="101"/>
        <v>Y</v>
      </c>
      <c r="O767">
        <f t="shared" si="102"/>
        <v>7</v>
      </c>
      <c r="P767" s="6">
        <f t="shared" si="103"/>
        <v>1.0081743869209809</v>
      </c>
      <c r="Q767" s="6">
        <f t="shared" si="104"/>
        <v>6.7567567567567571E-3</v>
      </c>
      <c r="R767">
        <f t="shared" si="105"/>
        <v>1</v>
      </c>
      <c r="S767">
        <f t="shared" si="106"/>
        <v>0</v>
      </c>
      <c r="T767" t="str">
        <f t="shared" si="107"/>
        <v>Apr-26</v>
      </c>
    </row>
    <row r="768" spans="1:20">
      <c r="A768" t="s">
        <v>1261</v>
      </c>
      <c r="B768" t="s">
        <v>46</v>
      </c>
      <c r="C768" t="s">
        <v>16</v>
      </c>
      <c r="D768">
        <v>346</v>
      </c>
      <c r="E768" s="4">
        <v>46175</v>
      </c>
      <c r="F768" s="4">
        <v>46188</v>
      </c>
      <c r="G768" s="4">
        <v>46186</v>
      </c>
      <c r="H768">
        <v>345</v>
      </c>
      <c r="I768" t="s">
        <v>277</v>
      </c>
      <c r="J768">
        <v>32</v>
      </c>
      <c r="K768" t="s">
        <v>1563</v>
      </c>
      <c r="L768" t="str">
        <f t="shared" si="99"/>
        <v>Y</v>
      </c>
      <c r="M768" t="str">
        <f t="shared" si="100"/>
        <v>Y</v>
      </c>
      <c r="N768" t="str">
        <f t="shared" si="101"/>
        <v>Y</v>
      </c>
      <c r="O768">
        <f t="shared" si="102"/>
        <v>11</v>
      </c>
      <c r="P768" s="6">
        <f t="shared" si="103"/>
        <v>0.99710982658959535</v>
      </c>
      <c r="Q768" s="6">
        <f t="shared" si="104"/>
        <v>9.2753623188405798E-2</v>
      </c>
      <c r="R768">
        <f t="shared" si="105"/>
        <v>1</v>
      </c>
      <c r="S768">
        <f t="shared" si="106"/>
        <v>0</v>
      </c>
      <c r="T768" t="str">
        <f t="shared" si="107"/>
        <v>Jun-26</v>
      </c>
    </row>
    <row r="769" spans="1:20">
      <c r="A769" t="s">
        <v>1262</v>
      </c>
      <c r="B769" t="s">
        <v>19</v>
      </c>
      <c r="C769" t="s">
        <v>12</v>
      </c>
      <c r="D769">
        <v>527</v>
      </c>
      <c r="E769" s="4">
        <v>46095</v>
      </c>
      <c r="F769" s="4">
        <v>46103</v>
      </c>
      <c r="G769" s="4">
        <v>46100</v>
      </c>
      <c r="H769">
        <v>527</v>
      </c>
      <c r="I769" t="s">
        <v>731</v>
      </c>
      <c r="J769">
        <v>26</v>
      </c>
      <c r="K769" t="s">
        <v>1563</v>
      </c>
      <c r="L769" t="str">
        <f t="shared" si="99"/>
        <v>Y</v>
      </c>
      <c r="M769" t="str">
        <f t="shared" si="100"/>
        <v>Y</v>
      </c>
      <c r="N769" t="str">
        <f t="shared" si="101"/>
        <v>Y</v>
      </c>
      <c r="O769">
        <f t="shared" si="102"/>
        <v>5</v>
      </c>
      <c r="P769" s="6">
        <f t="shared" si="103"/>
        <v>1</v>
      </c>
      <c r="Q769" s="6">
        <f t="shared" si="104"/>
        <v>4.9335863377609111E-2</v>
      </c>
      <c r="R769">
        <f t="shared" si="105"/>
        <v>1</v>
      </c>
      <c r="S769">
        <f t="shared" si="106"/>
        <v>0</v>
      </c>
      <c r="T769" t="str">
        <f t="shared" si="107"/>
        <v>Mar-26</v>
      </c>
    </row>
    <row r="770" spans="1:20">
      <c r="A770" t="s">
        <v>1263</v>
      </c>
      <c r="B770" t="s">
        <v>100</v>
      </c>
      <c r="C770" t="s">
        <v>12</v>
      </c>
      <c r="D770">
        <v>523</v>
      </c>
      <c r="E770" s="4">
        <v>46122</v>
      </c>
      <c r="F770" s="4">
        <v>46136</v>
      </c>
      <c r="G770" s="4">
        <v>46133</v>
      </c>
      <c r="H770">
        <v>528</v>
      </c>
      <c r="I770" t="s">
        <v>376</v>
      </c>
      <c r="J770">
        <v>5</v>
      </c>
      <c r="K770" t="s">
        <v>1563</v>
      </c>
      <c r="L770" t="str">
        <f t="shared" ref="L770:L833" si="108">IF(G770="","N/A",IF(G770&lt;=F770,"Y","N"))</f>
        <v>Y</v>
      </c>
      <c r="M770" t="str">
        <f t="shared" ref="M770:M833" si="109">IF(H770="","N/A",IF(H770&gt;=D770*0.98,"Y","N"))</f>
        <v>Y</v>
      </c>
      <c r="N770" t="str">
        <f t="shared" ref="N770:N833" si="110">IF(OR(L770="N/A",M770="N/A"),"N/A",IF(AND(L770="Y",M770="Y"),"Y","N"))</f>
        <v>Y</v>
      </c>
      <c r="O770">
        <f t="shared" ref="O770:O833" si="111">IF(G770="","N/A",G770-E770)</f>
        <v>11</v>
      </c>
      <c r="P770" s="6">
        <f t="shared" ref="P770:P833" si="112">IF(H770="","N/A",H770/D770)</f>
        <v>1.0095602294455066</v>
      </c>
      <c r="Q770" s="6">
        <f t="shared" ref="Q770:Q833" si="113">IF(H770="","N/A",IF(H770=0,0,J770/H770))</f>
        <v>9.46969696969697E-3</v>
      </c>
      <c r="R770">
        <f t="shared" ref="R770:R833" si="114">IF(N770="Y",1,IF(N770="N",0,""))</f>
        <v>1</v>
      </c>
      <c r="S770">
        <f t="shared" ref="S770:S833" si="115">IF(G770="","N/A",MAX(G770-F770,0))</f>
        <v>0</v>
      </c>
      <c r="T770" t="str">
        <f t="shared" ref="T770:T833" si="116">IF(G770="","N/A",TEXT(G770,"mmm-yy"))</f>
        <v>Apr-26</v>
      </c>
    </row>
    <row r="771" spans="1:20">
      <c r="A771" t="s">
        <v>1264</v>
      </c>
      <c r="B771" t="s">
        <v>26</v>
      </c>
      <c r="C771" t="s">
        <v>16</v>
      </c>
      <c r="D771">
        <v>766</v>
      </c>
      <c r="E771" s="4">
        <v>46108</v>
      </c>
      <c r="F771" s="4">
        <v>46115</v>
      </c>
      <c r="G771" s="4">
        <v>46115</v>
      </c>
      <c r="H771">
        <v>765</v>
      </c>
      <c r="I771" t="s">
        <v>1265</v>
      </c>
      <c r="J771">
        <v>25</v>
      </c>
      <c r="K771" t="s">
        <v>1563</v>
      </c>
      <c r="L771" t="str">
        <f t="shared" si="108"/>
        <v>Y</v>
      </c>
      <c r="M771" t="str">
        <f t="shared" si="109"/>
        <v>Y</v>
      </c>
      <c r="N771" t="str">
        <f t="shared" si="110"/>
        <v>Y</v>
      </c>
      <c r="O771">
        <f t="shared" si="111"/>
        <v>7</v>
      </c>
      <c r="P771" s="6">
        <f t="shared" si="112"/>
        <v>0.99869451697127942</v>
      </c>
      <c r="Q771" s="6">
        <f t="shared" si="113"/>
        <v>3.2679738562091505E-2</v>
      </c>
      <c r="R771">
        <f t="shared" si="114"/>
        <v>1</v>
      </c>
      <c r="S771">
        <f t="shared" si="115"/>
        <v>0</v>
      </c>
      <c r="T771" t="str">
        <f t="shared" si="116"/>
        <v>Apr-26</v>
      </c>
    </row>
    <row r="772" spans="1:20">
      <c r="A772" t="s">
        <v>1266</v>
      </c>
      <c r="B772" t="s">
        <v>67</v>
      </c>
      <c r="C772" t="s">
        <v>16</v>
      </c>
      <c r="D772">
        <v>282</v>
      </c>
      <c r="E772" s="4">
        <v>46056</v>
      </c>
      <c r="F772" s="4">
        <v>46066</v>
      </c>
      <c r="G772" s="4">
        <v>46066</v>
      </c>
      <c r="H772">
        <v>285</v>
      </c>
      <c r="I772" t="s">
        <v>769</v>
      </c>
      <c r="J772">
        <v>4</v>
      </c>
      <c r="K772" t="s">
        <v>1563</v>
      </c>
      <c r="L772" t="str">
        <f t="shared" si="108"/>
        <v>Y</v>
      </c>
      <c r="M772" t="str">
        <f t="shared" si="109"/>
        <v>Y</v>
      </c>
      <c r="N772" t="str">
        <f t="shared" si="110"/>
        <v>Y</v>
      </c>
      <c r="O772">
        <f t="shared" si="111"/>
        <v>10</v>
      </c>
      <c r="P772" s="6">
        <f t="shared" si="112"/>
        <v>1.0106382978723405</v>
      </c>
      <c r="Q772" s="6">
        <f t="shared" si="113"/>
        <v>1.4035087719298246E-2</v>
      </c>
      <c r="R772">
        <f t="shared" si="114"/>
        <v>1</v>
      </c>
      <c r="S772">
        <f t="shared" si="115"/>
        <v>0</v>
      </c>
      <c r="T772" t="str">
        <f t="shared" si="116"/>
        <v>Feb-26</v>
      </c>
    </row>
    <row r="773" spans="1:20">
      <c r="A773" t="s">
        <v>1267</v>
      </c>
      <c r="B773" t="s">
        <v>70</v>
      </c>
      <c r="C773" t="s">
        <v>12</v>
      </c>
      <c r="D773">
        <v>275</v>
      </c>
      <c r="E773" s="4">
        <v>46055</v>
      </c>
      <c r="F773" s="4">
        <v>46068</v>
      </c>
      <c r="G773" s="4">
        <v>46066</v>
      </c>
      <c r="H773">
        <v>270</v>
      </c>
      <c r="I773" t="s">
        <v>994</v>
      </c>
      <c r="J773">
        <v>5</v>
      </c>
      <c r="K773" t="s">
        <v>1563</v>
      </c>
      <c r="L773" t="str">
        <f t="shared" si="108"/>
        <v>Y</v>
      </c>
      <c r="M773" t="str">
        <f t="shared" si="109"/>
        <v>Y</v>
      </c>
      <c r="N773" t="str">
        <f t="shared" si="110"/>
        <v>Y</v>
      </c>
      <c r="O773">
        <f t="shared" si="111"/>
        <v>11</v>
      </c>
      <c r="P773" s="6">
        <f t="shared" si="112"/>
        <v>0.98181818181818181</v>
      </c>
      <c r="Q773" s="6">
        <f t="shared" si="113"/>
        <v>1.8518518518518517E-2</v>
      </c>
      <c r="R773">
        <f t="shared" si="114"/>
        <v>1</v>
      </c>
      <c r="S773">
        <f t="shared" si="115"/>
        <v>0</v>
      </c>
      <c r="T773" t="str">
        <f t="shared" si="116"/>
        <v>Feb-26</v>
      </c>
    </row>
    <row r="774" spans="1:20">
      <c r="A774" t="s">
        <v>1268</v>
      </c>
      <c r="B774" t="s">
        <v>49</v>
      </c>
      <c r="C774" t="s">
        <v>16</v>
      </c>
      <c r="D774">
        <v>628</v>
      </c>
      <c r="E774" s="4">
        <v>46140</v>
      </c>
      <c r="F774" s="4">
        <v>46155</v>
      </c>
      <c r="G774" s="4">
        <v>46153</v>
      </c>
      <c r="H774">
        <v>623</v>
      </c>
      <c r="I774" t="s">
        <v>1269</v>
      </c>
      <c r="J774">
        <v>4</v>
      </c>
      <c r="K774" t="s">
        <v>1563</v>
      </c>
      <c r="L774" t="str">
        <f t="shared" si="108"/>
        <v>Y</v>
      </c>
      <c r="M774" t="str">
        <f t="shared" si="109"/>
        <v>Y</v>
      </c>
      <c r="N774" t="str">
        <f t="shared" si="110"/>
        <v>Y</v>
      </c>
      <c r="O774">
        <f t="shared" si="111"/>
        <v>13</v>
      </c>
      <c r="P774" s="6">
        <f t="shared" si="112"/>
        <v>0.9920382165605095</v>
      </c>
      <c r="Q774" s="6">
        <f t="shared" si="113"/>
        <v>6.420545746388443E-3</v>
      </c>
      <c r="R774">
        <f t="shared" si="114"/>
        <v>1</v>
      </c>
      <c r="S774">
        <f t="shared" si="115"/>
        <v>0</v>
      </c>
      <c r="T774" t="str">
        <f t="shared" si="116"/>
        <v>May-26</v>
      </c>
    </row>
    <row r="775" spans="1:20">
      <c r="A775" t="s">
        <v>1270</v>
      </c>
      <c r="B775" t="s">
        <v>70</v>
      </c>
      <c r="C775" t="s">
        <v>23</v>
      </c>
      <c r="D775">
        <v>866</v>
      </c>
      <c r="E775" s="4">
        <v>46073</v>
      </c>
      <c r="F775" s="4">
        <v>46081</v>
      </c>
      <c r="G775" s="4">
        <v>46083</v>
      </c>
      <c r="H775">
        <v>860</v>
      </c>
      <c r="I775" t="s">
        <v>1271</v>
      </c>
      <c r="J775">
        <v>2</v>
      </c>
      <c r="K775" t="s">
        <v>1563</v>
      </c>
      <c r="L775" t="str">
        <f t="shared" si="108"/>
        <v>N</v>
      </c>
      <c r="M775" t="str">
        <f t="shared" si="109"/>
        <v>Y</v>
      </c>
      <c r="N775" t="str">
        <f t="shared" si="110"/>
        <v>N</v>
      </c>
      <c r="O775">
        <f t="shared" si="111"/>
        <v>10</v>
      </c>
      <c r="P775" s="6">
        <f t="shared" si="112"/>
        <v>0.99307159353348728</v>
      </c>
      <c r="Q775" s="6">
        <f t="shared" si="113"/>
        <v>2.3255813953488372E-3</v>
      </c>
      <c r="R775">
        <f t="shared" si="114"/>
        <v>0</v>
      </c>
      <c r="S775">
        <f t="shared" si="115"/>
        <v>2</v>
      </c>
      <c r="T775" t="str">
        <f t="shared" si="116"/>
        <v>Mar-26</v>
      </c>
    </row>
    <row r="776" spans="1:20">
      <c r="A776" t="s">
        <v>1272</v>
      </c>
      <c r="B776" t="s">
        <v>70</v>
      </c>
      <c r="C776" t="s">
        <v>12</v>
      </c>
      <c r="D776">
        <v>191</v>
      </c>
      <c r="E776" s="4">
        <v>46057</v>
      </c>
      <c r="F776" s="4">
        <v>46070</v>
      </c>
      <c r="G776" s="4">
        <v>46074</v>
      </c>
      <c r="H776">
        <v>187</v>
      </c>
      <c r="I776" t="s">
        <v>1273</v>
      </c>
      <c r="J776">
        <v>4</v>
      </c>
      <c r="K776" t="s">
        <v>1563</v>
      </c>
      <c r="L776" t="str">
        <f t="shared" si="108"/>
        <v>N</v>
      </c>
      <c r="M776" t="str">
        <f t="shared" si="109"/>
        <v>N</v>
      </c>
      <c r="N776" t="str">
        <f t="shared" si="110"/>
        <v>N</v>
      </c>
      <c r="O776">
        <f t="shared" si="111"/>
        <v>17</v>
      </c>
      <c r="P776" s="6">
        <f t="shared" si="112"/>
        <v>0.97905759162303663</v>
      </c>
      <c r="Q776" s="6">
        <f t="shared" si="113"/>
        <v>2.1390374331550801E-2</v>
      </c>
      <c r="R776">
        <f t="shared" si="114"/>
        <v>0</v>
      </c>
      <c r="S776">
        <f t="shared" si="115"/>
        <v>4</v>
      </c>
      <c r="T776" t="str">
        <f t="shared" si="116"/>
        <v>Feb-26</v>
      </c>
    </row>
    <row r="777" spans="1:20">
      <c r="A777" t="s">
        <v>1274</v>
      </c>
      <c r="B777" t="s">
        <v>11</v>
      </c>
      <c r="C777" t="s">
        <v>12</v>
      </c>
      <c r="D777">
        <v>430</v>
      </c>
      <c r="E777" s="4">
        <v>46112</v>
      </c>
      <c r="F777" s="4">
        <v>46121</v>
      </c>
      <c r="G777" s="4"/>
      <c r="I777" t="s">
        <v>821</v>
      </c>
      <c r="J777">
        <v>1</v>
      </c>
      <c r="K777" t="s">
        <v>1565</v>
      </c>
      <c r="L777" t="str">
        <f t="shared" si="108"/>
        <v>N/A</v>
      </c>
      <c r="M777" t="str">
        <f t="shared" si="109"/>
        <v>N/A</v>
      </c>
      <c r="N777" t="str">
        <f t="shared" si="110"/>
        <v>N/A</v>
      </c>
      <c r="O777" t="str">
        <f t="shared" si="111"/>
        <v>N/A</v>
      </c>
      <c r="P777" s="6" t="str">
        <f t="shared" si="112"/>
        <v>N/A</v>
      </c>
      <c r="Q777" s="6" t="str">
        <f t="shared" si="113"/>
        <v>N/A</v>
      </c>
      <c r="R777" t="str">
        <f t="shared" si="114"/>
        <v/>
      </c>
      <c r="S777" t="str">
        <f t="shared" si="115"/>
        <v>N/A</v>
      </c>
      <c r="T777" t="str">
        <f t="shared" si="116"/>
        <v>N/A</v>
      </c>
    </row>
    <row r="778" spans="1:20">
      <c r="A778" t="s">
        <v>1275</v>
      </c>
      <c r="B778" t="s">
        <v>22</v>
      </c>
      <c r="C778" t="s">
        <v>12</v>
      </c>
      <c r="D778">
        <v>597</v>
      </c>
      <c r="E778" s="4">
        <v>46069</v>
      </c>
      <c r="F778" s="4">
        <v>46075</v>
      </c>
      <c r="G778" s="4">
        <v>46074</v>
      </c>
      <c r="H778">
        <v>599</v>
      </c>
      <c r="I778" t="s">
        <v>44</v>
      </c>
      <c r="J778">
        <v>18</v>
      </c>
      <c r="K778" t="s">
        <v>1563</v>
      </c>
      <c r="L778" t="str">
        <f t="shared" si="108"/>
        <v>Y</v>
      </c>
      <c r="M778" t="str">
        <f t="shared" si="109"/>
        <v>Y</v>
      </c>
      <c r="N778" t="str">
        <f t="shared" si="110"/>
        <v>Y</v>
      </c>
      <c r="O778">
        <f t="shared" si="111"/>
        <v>5</v>
      </c>
      <c r="P778" s="6">
        <f t="shared" si="112"/>
        <v>1.0033500837520939</v>
      </c>
      <c r="Q778" s="6">
        <f t="shared" si="113"/>
        <v>3.0050083472454091E-2</v>
      </c>
      <c r="R778">
        <f t="shared" si="114"/>
        <v>1</v>
      </c>
      <c r="S778">
        <f t="shared" si="115"/>
        <v>0</v>
      </c>
      <c r="T778" t="str">
        <f t="shared" si="116"/>
        <v>Feb-26</v>
      </c>
    </row>
    <row r="779" spans="1:20">
      <c r="A779" t="s">
        <v>1276</v>
      </c>
      <c r="B779" t="s">
        <v>64</v>
      </c>
      <c r="C779" t="s">
        <v>12</v>
      </c>
      <c r="D779">
        <v>737</v>
      </c>
      <c r="E779" s="4">
        <v>46035</v>
      </c>
      <c r="F779" s="4">
        <v>46044</v>
      </c>
      <c r="G779" s="4">
        <v>46042</v>
      </c>
      <c r="H779">
        <v>630</v>
      </c>
      <c r="I779" t="s">
        <v>711</v>
      </c>
      <c r="J779">
        <v>39</v>
      </c>
      <c r="K779" t="s">
        <v>1563</v>
      </c>
      <c r="L779" t="str">
        <f t="shared" si="108"/>
        <v>Y</v>
      </c>
      <c r="M779" t="str">
        <f t="shared" si="109"/>
        <v>N</v>
      </c>
      <c r="N779" t="str">
        <f t="shared" si="110"/>
        <v>N</v>
      </c>
      <c r="O779">
        <f t="shared" si="111"/>
        <v>7</v>
      </c>
      <c r="P779" s="6">
        <f t="shared" si="112"/>
        <v>0.85481682496607869</v>
      </c>
      <c r="Q779" s="6">
        <f t="shared" si="113"/>
        <v>6.1904761904761907E-2</v>
      </c>
      <c r="R779">
        <f t="shared" si="114"/>
        <v>0</v>
      </c>
      <c r="S779">
        <f t="shared" si="115"/>
        <v>0</v>
      </c>
      <c r="T779" t="str">
        <f t="shared" si="116"/>
        <v>Jan-26</v>
      </c>
    </row>
    <row r="780" spans="1:20">
      <c r="A780" t="s">
        <v>1277</v>
      </c>
      <c r="B780" t="s">
        <v>26</v>
      </c>
      <c r="C780" t="s">
        <v>12</v>
      </c>
      <c r="D780">
        <v>950</v>
      </c>
      <c r="E780" s="4">
        <v>46073</v>
      </c>
      <c r="F780" s="4">
        <v>46088</v>
      </c>
      <c r="G780" s="4">
        <v>46088</v>
      </c>
      <c r="H780">
        <v>851</v>
      </c>
      <c r="I780" t="s">
        <v>750</v>
      </c>
      <c r="J780">
        <v>28</v>
      </c>
      <c r="K780" t="s">
        <v>1563</v>
      </c>
      <c r="L780" t="str">
        <f t="shared" si="108"/>
        <v>Y</v>
      </c>
      <c r="M780" t="str">
        <f t="shared" si="109"/>
        <v>N</v>
      </c>
      <c r="N780" t="str">
        <f t="shared" si="110"/>
        <v>N</v>
      </c>
      <c r="O780">
        <f t="shared" si="111"/>
        <v>15</v>
      </c>
      <c r="P780" s="6">
        <f t="shared" si="112"/>
        <v>0.89578947368421058</v>
      </c>
      <c r="Q780" s="6">
        <f t="shared" si="113"/>
        <v>3.2902467685076382E-2</v>
      </c>
      <c r="R780">
        <f t="shared" si="114"/>
        <v>0</v>
      </c>
      <c r="S780">
        <f t="shared" si="115"/>
        <v>0</v>
      </c>
      <c r="T780" t="str">
        <f t="shared" si="116"/>
        <v>Mar-26</v>
      </c>
    </row>
    <row r="781" spans="1:20">
      <c r="A781" t="s">
        <v>1278</v>
      </c>
      <c r="B781" t="s">
        <v>177</v>
      </c>
      <c r="C781" t="s">
        <v>12</v>
      </c>
      <c r="D781">
        <v>96</v>
      </c>
      <c r="E781" s="4">
        <v>46157</v>
      </c>
      <c r="F781" s="4">
        <v>46167</v>
      </c>
      <c r="G781" s="4">
        <v>46167</v>
      </c>
      <c r="H781">
        <v>84</v>
      </c>
      <c r="I781" t="s">
        <v>854</v>
      </c>
      <c r="J781">
        <v>4</v>
      </c>
      <c r="K781" t="s">
        <v>1563</v>
      </c>
      <c r="L781" t="str">
        <f t="shared" si="108"/>
        <v>Y</v>
      </c>
      <c r="M781" t="str">
        <f t="shared" si="109"/>
        <v>N</v>
      </c>
      <c r="N781" t="str">
        <f t="shared" si="110"/>
        <v>N</v>
      </c>
      <c r="O781">
        <f t="shared" si="111"/>
        <v>10</v>
      </c>
      <c r="P781" s="6">
        <f t="shared" si="112"/>
        <v>0.875</v>
      </c>
      <c r="Q781" s="6">
        <f t="shared" si="113"/>
        <v>4.7619047619047616E-2</v>
      </c>
      <c r="R781">
        <f t="shared" si="114"/>
        <v>0</v>
      </c>
      <c r="S781">
        <f t="shared" si="115"/>
        <v>0</v>
      </c>
      <c r="T781" t="str">
        <f t="shared" si="116"/>
        <v>May-26</v>
      </c>
    </row>
    <row r="782" spans="1:20">
      <c r="A782" t="s">
        <v>1279</v>
      </c>
      <c r="B782" t="s">
        <v>52</v>
      </c>
      <c r="C782" t="s">
        <v>16</v>
      </c>
      <c r="D782">
        <v>578</v>
      </c>
      <c r="E782" s="4">
        <v>46089</v>
      </c>
      <c r="F782" s="4">
        <v>46104</v>
      </c>
      <c r="G782" s="4">
        <v>46103</v>
      </c>
      <c r="H782">
        <v>580</v>
      </c>
      <c r="I782" t="s">
        <v>1280</v>
      </c>
      <c r="J782">
        <v>15</v>
      </c>
      <c r="K782" t="s">
        <v>1563</v>
      </c>
      <c r="L782" t="str">
        <f t="shared" si="108"/>
        <v>Y</v>
      </c>
      <c r="M782" t="str">
        <f t="shared" si="109"/>
        <v>Y</v>
      </c>
      <c r="N782" t="str">
        <f t="shared" si="110"/>
        <v>Y</v>
      </c>
      <c r="O782">
        <f t="shared" si="111"/>
        <v>14</v>
      </c>
      <c r="P782" s="6">
        <f t="shared" si="112"/>
        <v>1.0034602076124568</v>
      </c>
      <c r="Q782" s="6">
        <f t="shared" si="113"/>
        <v>2.5862068965517241E-2</v>
      </c>
      <c r="R782">
        <f t="shared" si="114"/>
        <v>1</v>
      </c>
      <c r="S782">
        <f t="shared" si="115"/>
        <v>0</v>
      </c>
      <c r="T782" t="str">
        <f t="shared" si="116"/>
        <v>Mar-26</v>
      </c>
    </row>
    <row r="783" spans="1:20">
      <c r="A783" t="s">
        <v>1281</v>
      </c>
      <c r="B783" t="s">
        <v>120</v>
      </c>
      <c r="C783" t="s">
        <v>23</v>
      </c>
      <c r="D783">
        <v>391</v>
      </c>
      <c r="E783" s="4">
        <v>46166</v>
      </c>
      <c r="F783" s="4">
        <v>46181</v>
      </c>
      <c r="G783" s="4">
        <v>46178</v>
      </c>
      <c r="H783">
        <v>336</v>
      </c>
      <c r="I783" t="s">
        <v>1282</v>
      </c>
      <c r="J783">
        <v>18</v>
      </c>
      <c r="K783" t="s">
        <v>1563</v>
      </c>
      <c r="L783" t="str">
        <f t="shared" si="108"/>
        <v>Y</v>
      </c>
      <c r="M783" t="str">
        <f t="shared" si="109"/>
        <v>N</v>
      </c>
      <c r="N783" t="str">
        <f t="shared" si="110"/>
        <v>N</v>
      </c>
      <c r="O783">
        <f t="shared" si="111"/>
        <v>12</v>
      </c>
      <c r="P783" s="6">
        <f t="shared" si="112"/>
        <v>0.85933503836317138</v>
      </c>
      <c r="Q783" s="6">
        <f t="shared" si="113"/>
        <v>5.3571428571428568E-2</v>
      </c>
      <c r="R783">
        <f t="shared" si="114"/>
        <v>0</v>
      </c>
      <c r="S783">
        <f t="shared" si="115"/>
        <v>0</v>
      </c>
      <c r="T783" t="str">
        <f t="shared" si="116"/>
        <v>Jun-26</v>
      </c>
    </row>
    <row r="784" spans="1:20">
      <c r="A784" t="s">
        <v>1283</v>
      </c>
      <c r="B784" t="s">
        <v>67</v>
      </c>
      <c r="C784" t="s">
        <v>23</v>
      </c>
      <c r="D784">
        <v>365</v>
      </c>
      <c r="E784" s="4">
        <v>46061</v>
      </c>
      <c r="F784" s="4">
        <v>46073</v>
      </c>
      <c r="G784" s="4">
        <v>46072</v>
      </c>
      <c r="H784">
        <v>361</v>
      </c>
      <c r="I784" t="s">
        <v>779</v>
      </c>
      <c r="J784">
        <v>20</v>
      </c>
      <c r="K784" t="s">
        <v>1563</v>
      </c>
      <c r="L784" t="str">
        <f t="shared" si="108"/>
        <v>Y</v>
      </c>
      <c r="M784" t="str">
        <f t="shared" si="109"/>
        <v>Y</v>
      </c>
      <c r="N784" t="str">
        <f t="shared" si="110"/>
        <v>Y</v>
      </c>
      <c r="O784">
        <f t="shared" si="111"/>
        <v>11</v>
      </c>
      <c r="P784" s="6">
        <f t="shared" si="112"/>
        <v>0.989041095890411</v>
      </c>
      <c r="Q784" s="6">
        <f t="shared" si="113"/>
        <v>5.5401662049861494E-2</v>
      </c>
      <c r="R784">
        <f t="shared" si="114"/>
        <v>1</v>
      </c>
      <c r="S784">
        <f t="shared" si="115"/>
        <v>0</v>
      </c>
      <c r="T784" t="str">
        <f t="shared" si="116"/>
        <v>Feb-26</v>
      </c>
    </row>
    <row r="785" spans="1:20">
      <c r="A785" t="s">
        <v>1285</v>
      </c>
      <c r="B785" t="s">
        <v>46</v>
      </c>
      <c r="C785" t="s">
        <v>23</v>
      </c>
      <c r="D785">
        <v>943</v>
      </c>
      <c r="E785" s="4">
        <v>46074</v>
      </c>
      <c r="F785" s="4">
        <v>46082</v>
      </c>
      <c r="G785" s="4">
        <v>46081</v>
      </c>
      <c r="H785">
        <v>935</v>
      </c>
      <c r="I785" t="s">
        <v>61</v>
      </c>
      <c r="J785">
        <v>18</v>
      </c>
      <c r="K785" t="s">
        <v>1563</v>
      </c>
      <c r="L785" t="str">
        <f t="shared" si="108"/>
        <v>Y</v>
      </c>
      <c r="M785" t="str">
        <f t="shared" si="109"/>
        <v>Y</v>
      </c>
      <c r="N785" t="str">
        <f t="shared" si="110"/>
        <v>Y</v>
      </c>
      <c r="O785">
        <f t="shared" si="111"/>
        <v>7</v>
      </c>
      <c r="P785" s="6">
        <f t="shared" si="112"/>
        <v>0.99151643690349944</v>
      </c>
      <c r="Q785" s="6">
        <f t="shared" si="113"/>
        <v>1.9251336898395723E-2</v>
      </c>
      <c r="R785">
        <f t="shared" si="114"/>
        <v>1</v>
      </c>
      <c r="S785">
        <f t="shared" si="115"/>
        <v>0</v>
      </c>
      <c r="T785" t="str">
        <f t="shared" si="116"/>
        <v>Feb-26</v>
      </c>
    </row>
    <row r="786" spans="1:20">
      <c r="A786" t="s">
        <v>1286</v>
      </c>
      <c r="B786" t="s">
        <v>70</v>
      </c>
      <c r="C786" t="s">
        <v>12</v>
      </c>
      <c r="D786">
        <v>460</v>
      </c>
      <c r="E786" s="4">
        <v>46057</v>
      </c>
      <c r="F786" s="4">
        <v>46068</v>
      </c>
      <c r="G786" s="4"/>
      <c r="I786" t="s">
        <v>379</v>
      </c>
      <c r="K786" t="s">
        <v>1565</v>
      </c>
      <c r="L786" t="str">
        <f t="shared" si="108"/>
        <v>N/A</v>
      </c>
      <c r="M786" t="str">
        <f t="shared" si="109"/>
        <v>N/A</v>
      </c>
      <c r="N786" t="str">
        <f t="shared" si="110"/>
        <v>N/A</v>
      </c>
      <c r="O786" t="str">
        <f t="shared" si="111"/>
        <v>N/A</v>
      </c>
      <c r="P786" s="6" t="str">
        <f t="shared" si="112"/>
        <v>N/A</v>
      </c>
      <c r="Q786" s="6" t="str">
        <f t="shared" si="113"/>
        <v>N/A</v>
      </c>
      <c r="R786" t="str">
        <f t="shared" si="114"/>
        <v/>
      </c>
      <c r="S786" t="str">
        <f t="shared" si="115"/>
        <v>N/A</v>
      </c>
      <c r="T786" t="str">
        <f t="shared" si="116"/>
        <v>N/A</v>
      </c>
    </row>
    <row r="787" spans="1:20">
      <c r="A787" t="s">
        <v>1288</v>
      </c>
      <c r="B787" t="s">
        <v>120</v>
      </c>
      <c r="C787" t="s">
        <v>16</v>
      </c>
      <c r="D787">
        <v>571</v>
      </c>
      <c r="E787" s="4">
        <v>46076</v>
      </c>
      <c r="F787" s="4">
        <v>46088</v>
      </c>
      <c r="G787" s="4">
        <v>46086</v>
      </c>
      <c r="H787">
        <v>577</v>
      </c>
      <c r="I787" t="s">
        <v>1108</v>
      </c>
      <c r="J787">
        <v>18</v>
      </c>
      <c r="K787" t="s">
        <v>1563</v>
      </c>
      <c r="L787" t="str">
        <f t="shared" si="108"/>
        <v>Y</v>
      </c>
      <c r="M787" t="str">
        <f t="shared" si="109"/>
        <v>Y</v>
      </c>
      <c r="N787" t="str">
        <f t="shared" si="110"/>
        <v>Y</v>
      </c>
      <c r="O787">
        <f t="shared" si="111"/>
        <v>10</v>
      </c>
      <c r="P787" s="6">
        <f t="shared" si="112"/>
        <v>1.0105078809106831</v>
      </c>
      <c r="Q787" s="6">
        <f t="shared" si="113"/>
        <v>3.1195840554592721E-2</v>
      </c>
      <c r="R787">
        <f t="shared" si="114"/>
        <v>1</v>
      </c>
      <c r="S787">
        <f t="shared" si="115"/>
        <v>0</v>
      </c>
      <c r="T787" t="str">
        <f t="shared" si="116"/>
        <v>Mar-26</v>
      </c>
    </row>
    <row r="788" spans="1:20">
      <c r="A788" t="s">
        <v>1289</v>
      </c>
      <c r="B788" t="s">
        <v>177</v>
      </c>
      <c r="C788" t="s">
        <v>16</v>
      </c>
      <c r="D788">
        <v>605</v>
      </c>
      <c r="E788" s="4">
        <v>46141</v>
      </c>
      <c r="F788" s="4">
        <v>46146</v>
      </c>
      <c r="G788" s="4">
        <v>46144</v>
      </c>
      <c r="H788">
        <v>599</v>
      </c>
      <c r="I788" t="s">
        <v>1290</v>
      </c>
      <c r="J788">
        <v>5</v>
      </c>
      <c r="K788" t="s">
        <v>1563</v>
      </c>
      <c r="L788" t="str">
        <f t="shared" si="108"/>
        <v>Y</v>
      </c>
      <c r="M788" t="str">
        <f t="shared" si="109"/>
        <v>Y</v>
      </c>
      <c r="N788" t="str">
        <f t="shared" si="110"/>
        <v>Y</v>
      </c>
      <c r="O788">
        <f t="shared" si="111"/>
        <v>3</v>
      </c>
      <c r="P788" s="6">
        <f t="shared" si="112"/>
        <v>0.99008264462809914</v>
      </c>
      <c r="Q788" s="6">
        <f t="shared" si="113"/>
        <v>8.3472454090150246E-3</v>
      </c>
      <c r="R788">
        <f t="shared" si="114"/>
        <v>1</v>
      </c>
      <c r="S788">
        <f t="shared" si="115"/>
        <v>0</v>
      </c>
      <c r="T788" t="str">
        <f t="shared" si="116"/>
        <v>May-26</v>
      </c>
    </row>
    <row r="789" spans="1:20">
      <c r="A789" t="s">
        <v>1291</v>
      </c>
      <c r="B789" t="s">
        <v>32</v>
      </c>
      <c r="C789" t="s">
        <v>16</v>
      </c>
      <c r="D789">
        <v>482</v>
      </c>
      <c r="E789" s="4">
        <v>46164</v>
      </c>
      <c r="F789" s="4">
        <v>46171</v>
      </c>
      <c r="G789" s="4">
        <v>46170</v>
      </c>
      <c r="H789">
        <v>474</v>
      </c>
      <c r="I789" t="s">
        <v>1292</v>
      </c>
      <c r="J789">
        <v>31</v>
      </c>
      <c r="K789" t="s">
        <v>1563</v>
      </c>
      <c r="L789" t="str">
        <f t="shared" si="108"/>
        <v>Y</v>
      </c>
      <c r="M789" t="str">
        <f t="shared" si="109"/>
        <v>Y</v>
      </c>
      <c r="N789" t="str">
        <f t="shared" si="110"/>
        <v>Y</v>
      </c>
      <c r="O789">
        <f t="shared" si="111"/>
        <v>6</v>
      </c>
      <c r="P789" s="6">
        <f t="shared" si="112"/>
        <v>0.98340248962655596</v>
      </c>
      <c r="Q789" s="6">
        <f t="shared" si="113"/>
        <v>6.5400843881856546E-2</v>
      </c>
      <c r="R789">
        <f t="shared" si="114"/>
        <v>1</v>
      </c>
      <c r="S789">
        <f t="shared" si="115"/>
        <v>0</v>
      </c>
      <c r="T789" t="str">
        <f t="shared" si="116"/>
        <v>May-26</v>
      </c>
    </row>
    <row r="790" spans="1:20">
      <c r="A790" t="s">
        <v>1293</v>
      </c>
      <c r="B790" t="s">
        <v>35</v>
      </c>
      <c r="C790" t="s">
        <v>23</v>
      </c>
      <c r="D790">
        <v>331</v>
      </c>
      <c r="E790" s="4">
        <v>46062</v>
      </c>
      <c r="F790" s="4">
        <v>46072</v>
      </c>
      <c r="G790" s="4">
        <v>46078</v>
      </c>
      <c r="H790">
        <v>328</v>
      </c>
      <c r="I790" t="s">
        <v>1294</v>
      </c>
      <c r="J790">
        <v>7</v>
      </c>
      <c r="K790" t="s">
        <v>1563</v>
      </c>
      <c r="L790" t="str">
        <f t="shared" si="108"/>
        <v>N</v>
      </c>
      <c r="M790" t="str">
        <f t="shared" si="109"/>
        <v>Y</v>
      </c>
      <c r="N790" t="str">
        <f t="shared" si="110"/>
        <v>N</v>
      </c>
      <c r="O790">
        <f t="shared" si="111"/>
        <v>16</v>
      </c>
      <c r="P790" s="6">
        <f t="shared" si="112"/>
        <v>0.99093655589123864</v>
      </c>
      <c r="Q790" s="6">
        <f t="shared" si="113"/>
        <v>2.1341463414634148E-2</v>
      </c>
      <c r="R790">
        <f t="shared" si="114"/>
        <v>0</v>
      </c>
      <c r="S790">
        <f t="shared" si="115"/>
        <v>6</v>
      </c>
      <c r="T790" t="str">
        <f t="shared" si="116"/>
        <v>Feb-26</v>
      </c>
    </row>
    <row r="791" spans="1:20">
      <c r="A791" t="s">
        <v>1295</v>
      </c>
      <c r="B791" t="s">
        <v>177</v>
      </c>
      <c r="C791" t="s">
        <v>16</v>
      </c>
      <c r="D791">
        <v>412</v>
      </c>
      <c r="E791" s="4">
        <v>46168</v>
      </c>
      <c r="F791" s="4">
        <v>46173</v>
      </c>
      <c r="G791" s="4">
        <v>46173</v>
      </c>
      <c r="H791">
        <v>414</v>
      </c>
      <c r="I791" t="s">
        <v>1296</v>
      </c>
      <c r="J791">
        <v>8</v>
      </c>
      <c r="K791" t="s">
        <v>1563</v>
      </c>
      <c r="L791" t="str">
        <f t="shared" si="108"/>
        <v>Y</v>
      </c>
      <c r="M791" t="str">
        <f t="shared" si="109"/>
        <v>Y</v>
      </c>
      <c r="N791" t="str">
        <f t="shared" si="110"/>
        <v>Y</v>
      </c>
      <c r="O791">
        <f t="shared" si="111"/>
        <v>5</v>
      </c>
      <c r="P791" s="6">
        <f t="shared" si="112"/>
        <v>1.0048543689320388</v>
      </c>
      <c r="Q791" s="6">
        <f t="shared" si="113"/>
        <v>1.932367149758454E-2</v>
      </c>
      <c r="R791">
        <f t="shared" si="114"/>
        <v>1</v>
      </c>
      <c r="S791">
        <f t="shared" si="115"/>
        <v>0</v>
      </c>
      <c r="T791" t="str">
        <f t="shared" si="116"/>
        <v>May-26</v>
      </c>
    </row>
    <row r="792" spans="1:20">
      <c r="A792" t="s">
        <v>1297</v>
      </c>
      <c r="B792" t="s">
        <v>81</v>
      </c>
      <c r="C792" t="s">
        <v>16</v>
      </c>
      <c r="D792">
        <v>571</v>
      </c>
      <c r="E792" s="4">
        <v>46051</v>
      </c>
      <c r="F792" s="4">
        <v>46059</v>
      </c>
      <c r="G792" s="4">
        <v>46060</v>
      </c>
      <c r="H792">
        <v>500</v>
      </c>
      <c r="I792" t="s">
        <v>405</v>
      </c>
      <c r="J792">
        <v>7</v>
      </c>
      <c r="K792" t="s">
        <v>1563</v>
      </c>
      <c r="L792" t="str">
        <f t="shared" si="108"/>
        <v>N</v>
      </c>
      <c r="M792" t="str">
        <f t="shared" si="109"/>
        <v>N</v>
      </c>
      <c r="N792" t="str">
        <f t="shared" si="110"/>
        <v>N</v>
      </c>
      <c r="O792">
        <f t="shared" si="111"/>
        <v>9</v>
      </c>
      <c r="P792" s="6">
        <f t="shared" si="112"/>
        <v>0.87565674255691772</v>
      </c>
      <c r="Q792" s="6">
        <f t="shared" si="113"/>
        <v>1.4E-2</v>
      </c>
      <c r="R792">
        <f t="shared" si="114"/>
        <v>0</v>
      </c>
      <c r="S792">
        <f t="shared" si="115"/>
        <v>1</v>
      </c>
      <c r="T792" t="str">
        <f t="shared" si="116"/>
        <v>Feb-26</v>
      </c>
    </row>
    <row r="793" spans="1:20">
      <c r="A793" t="s">
        <v>1298</v>
      </c>
      <c r="B793" t="s">
        <v>19</v>
      </c>
      <c r="C793" t="s">
        <v>16</v>
      </c>
      <c r="D793">
        <v>795</v>
      </c>
      <c r="E793" s="4">
        <v>46075</v>
      </c>
      <c r="F793" s="4">
        <v>46089</v>
      </c>
      <c r="G793" s="4">
        <v>46087</v>
      </c>
      <c r="H793">
        <v>808</v>
      </c>
      <c r="I793" t="s">
        <v>1299</v>
      </c>
      <c r="J793">
        <v>7</v>
      </c>
      <c r="K793" t="s">
        <v>1563</v>
      </c>
      <c r="L793" t="str">
        <f t="shared" si="108"/>
        <v>Y</v>
      </c>
      <c r="M793" t="str">
        <f t="shared" si="109"/>
        <v>Y</v>
      </c>
      <c r="N793" t="str">
        <f t="shared" si="110"/>
        <v>Y</v>
      </c>
      <c r="O793">
        <f t="shared" si="111"/>
        <v>12</v>
      </c>
      <c r="P793" s="6">
        <f t="shared" si="112"/>
        <v>1.0163522012578616</v>
      </c>
      <c r="Q793" s="6">
        <f t="shared" si="113"/>
        <v>8.6633663366336641E-3</v>
      </c>
      <c r="R793">
        <f t="shared" si="114"/>
        <v>1</v>
      </c>
      <c r="S793">
        <f t="shared" si="115"/>
        <v>0</v>
      </c>
      <c r="T793" t="str">
        <f t="shared" si="116"/>
        <v>Mar-26</v>
      </c>
    </row>
    <row r="794" spans="1:20">
      <c r="A794" t="s">
        <v>1300</v>
      </c>
      <c r="B794" t="s">
        <v>40</v>
      </c>
      <c r="C794" t="s">
        <v>16</v>
      </c>
      <c r="D794">
        <v>384</v>
      </c>
      <c r="E794" s="4">
        <v>46172</v>
      </c>
      <c r="F794" s="4">
        <v>46185</v>
      </c>
      <c r="G794" s="4">
        <v>46184</v>
      </c>
      <c r="H794">
        <v>387</v>
      </c>
      <c r="I794" t="s">
        <v>874</v>
      </c>
      <c r="J794">
        <v>14</v>
      </c>
      <c r="K794" t="s">
        <v>1563</v>
      </c>
      <c r="L794" t="str">
        <f t="shared" si="108"/>
        <v>Y</v>
      </c>
      <c r="M794" t="str">
        <f t="shared" si="109"/>
        <v>Y</v>
      </c>
      <c r="N794" t="str">
        <f t="shared" si="110"/>
        <v>Y</v>
      </c>
      <c r="O794">
        <f t="shared" si="111"/>
        <v>12</v>
      </c>
      <c r="P794" s="6">
        <f t="shared" si="112"/>
        <v>1.0078125</v>
      </c>
      <c r="Q794" s="6">
        <f t="shared" si="113"/>
        <v>3.6175710594315243E-2</v>
      </c>
      <c r="R794">
        <f t="shared" si="114"/>
        <v>1</v>
      </c>
      <c r="S794">
        <f t="shared" si="115"/>
        <v>0</v>
      </c>
      <c r="T794" t="str">
        <f t="shared" si="116"/>
        <v>Jun-26</v>
      </c>
    </row>
    <row r="795" spans="1:20">
      <c r="A795" t="s">
        <v>1301</v>
      </c>
      <c r="B795" t="s">
        <v>100</v>
      </c>
      <c r="C795" t="s">
        <v>16</v>
      </c>
      <c r="D795">
        <v>223</v>
      </c>
      <c r="E795" s="4">
        <v>46061</v>
      </c>
      <c r="F795" s="4">
        <v>46073</v>
      </c>
      <c r="G795" s="4">
        <v>46075</v>
      </c>
      <c r="H795">
        <v>227</v>
      </c>
      <c r="I795" t="s">
        <v>1302</v>
      </c>
      <c r="J795">
        <v>7</v>
      </c>
      <c r="K795" t="s">
        <v>1563</v>
      </c>
      <c r="L795" t="str">
        <f t="shared" si="108"/>
        <v>N</v>
      </c>
      <c r="M795" t="str">
        <f t="shared" si="109"/>
        <v>Y</v>
      </c>
      <c r="N795" t="str">
        <f t="shared" si="110"/>
        <v>N</v>
      </c>
      <c r="O795">
        <f t="shared" si="111"/>
        <v>14</v>
      </c>
      <c r="P795" s="6">
        <f t="shared" si="112"/>
        <v>1.0179372197309418</v>
      </c>
      <c r="Q795" s="6">
        <f t="shared" si="113"/>
        <v>3.0837004405286344E-2</v>
      </c>
      <c r="R795">
        <f t="shared" si="114"/>
        <v>0</v>
      </c>
      <c r="S795">
        <f t="shared" si="115"/>
        <v>2</v>
      </c>
      <c r="T795" t="str">
        <f t="shared" si="116"/>
        <v>Feb-26</v>
      </c>
    </row>
    <row r="796" spans="1:20">
      <c r="A796" t="s">
        <v>1303</v>
      </c>
      <c r="B796" t="s">
        <v>29</v>
      </c>
      <c r="C796" t="s">
        <v>23</v>
      </c>
      <c r="D796">
        <v>520</v>
      </c>
      <c r="E796" s="4">
        <v>46163</v>
      </c>
      <c r="F796" s="4">
        <v>46170</v>
      </c>
      <c r="G796" s="4">
        <v>46168</v>
      </c>
      <c r="H796">
        <v>516</v>
      </c>
      <c r="I796" t="s">
        <v>894</v>
      </c>
      <c r="J796">
        <v>1</v>
      </c>
      <c r="K796" t="s">
        <v>1563</v>
      </c>
      <c r="L796" t="str">
        <f t="shared" si="108"/>
        <v>Y</v>
      </c>
      <c r="M796" t="str">
        <f t="shared" si="109"/>
        <v>Y</v>
      </c>
      <c r="N796" t="str">
        <f t="shared" si="110"/>
        <v>Y</v>
      </c>
      <c r="O796">
        <f t="shared" si="111"/>
        <v>5</v>
      </c>
      <c r="P796" s="6">
        <f t="shared" si="112"/>
        <v>0.99230769230769234</v>
      </c>
      <c r="Q796" s="6">
        <f t="shared" si="113"/>
        <v>1.937984496124031E-3</v>
      </c>
      <c r="R796">
        <f t="shared" si="114"/>
        <v>1</v>
      </c>
      <c r="S796">
        <f t="shared" si="115"/>
        <v>0</v>
      </c>
      <c r="T796" t="str">
        <f t="shared" si="116"/>
        <v>May-26</v>
      </c>
    </row>
    <row r="797" spans="1:20">
      <c r="A797" t="s">
        <v>1304</v>
      </c>
      <c r="B797" t="s">
        <v>40</v>
      </c>
      <c r="C797" t="s">
        <v>12</v>
      </c>
      <c r="D797">
        <v>772</v>
      </c>
      <c r="E797" s="4">
        <v>46070</v>
      </c>
      <c r="F797" s="4">
        <v>46080</v>
      </c>
      <c r="G797" s="4">
        <v>46082</v>
      </c>
      <c r="H797">
        <v>762</v>
      </c>
      <c r="I797" t="s">
        <v>349</v>
      </c>
      <c r="J797">
        <v>46</v>
      </c>
      <c r="K797" t="s">
        <v>1563</v>
      </c>
      <c r="L797" t="str">
        <f t="shared" si="108"/>
        <v>N</v>
      </c>
      <c r="M797" t="str">
        <f t="shared" si="109"/>
        <v>Y</v>
      </c>
      <c r="N797" t="str">
        <f t="shared" si="110"/>
        <v>N</v>
      </c>
      <c r="O797">
        <f t="shared" si="111"/>
        <v>12</v>
      </c>
      <c r="P797" s="6">
        <f t="shared" si="112"/>
        <v>0.98704663212435229</v>
      </c>
      <c r="Q797" s="6">
        <f t="shared" si="113"/>
        <v>6.0367454068241469E-2</v>
      </c>
      <c r="R797">
        <f t="shared" si="114"/>
        <v>0</v>
      </c>
      <c r="S797">
        <f t="shared" si="115"/>
        <v>2</v>
      </c>
      <c r="T797" t="str">
        <f t="shared" si="116"/>
        <v>Mar-26</v>
      </c>
    </row>
    <row r="798" spans="1:20">
      <c r="A798" t="s">
        <v>1305</v>
      </c>
      <c r="B798" t="s">
        <v>19</v>
      </c>
      <c r="C798" t="s">
        <v>16</v>
      </c>
      <c r="D798">
        <v>183</v>
      </c>
      <c r="E798" s="4">
        <v>46042</v>
      </c>
      <c r="F798" s="4">
        <v>46047</v>
      </c>
      <c r="G798" s="4">
        <v>46053</v>
      </c>
      <c r="H798">
        <v>170</v>
      </c>
      <c r="I798" t="s">
        <v>1306</v>
      </c>
      <c r="J798">
        <v>8</v>
      </c>
      <c r="K798" t="s">
        <v>1563</v>
      </c>
      <c r="L798" t="str">
        <f t="shared" si="108"/>
        <v>N</v>
      </c>
      <c r="M798" t="str">
        <f t="shared" si="109"/>
        <v>N</v>
      </c>
      <c r="N798" t="str">
        <f t="shared" si="110"/>
        <v>N</v>
      </c>
      <c r="O798">
        <f t="shared" si="111"/>
        <v>11</v>
      </c>
      <c r="P798" s="6">
        <f t="shared" si="112"/>
        <v>0.92896174863387981</v>
      </c>
      <c r="Q798" s="6">
        <f t="shared" si="113"/>
        <v>4.7058823529411764E-2</v>
      </c>
      <c r="R798">
        <f t="shared" si="114"/>
        <v>0</v>
      </c>
      <c r="S798">
        <f t="shared" si="115"/>
        <v>6</v>
      </c>
      <c r="T798" t="str">
        <f t="shared" si="116"/>
        <v>Jan-26</v>
      </c>
    </row>
    <row r="799" spans="1:20">
      <c r="A799" t="s">
        <v>1307</v>
      </c>
      <c r="B799" t="s">
        <v>64</v>
      </c>
      <c r="C799" t="s">
        <v>16</v>
      </c>
      <c r="D799">
        <v>92</v>
      </c>
      <c r="E799" s="4">
        <v>46129</v>
      </c>
      <c r="F799" s="4">
        <v>46140</v>
      </c>
      <c r="G799" s="4"/>
      <c r="I799" t="s">
        <v>398</v>
      </c>
      <c r="K799" t="s">
        <v>1565</v>
      </c>
      <c r="L799" t="str">
        <f t="shared" si="108"/>
        <v>N/A</v>
      </c>
      <c r="M799" t="str">
        <f t="shared" si="109"/>
        <v>N/A</v>
      </c>
      <c r="N799" t="str">
        <f t="shared" si="110"/>
        <v>N/A</v>
      </c>
      <c r="O799" t="str">
        <f t="shared" si="111"/>
        <v>N/A</v>
      </c>
      <c r="P799" s="6" t="str">
        <f t="shared" si="112"/>
        <v>N/A</v>
      </c>
      <c r="Q799" s="6" t="str">
        <f t="shared" si="113"/>
        <v>N/A</v>
      </c>
      <c r="R799" t="str">
        <f t="shared" si="114"/>
        <v/>
      </c>
      <c r="S799" t="str">
        <f t="shared" si="115"/>
        <v>N/A</v>
      </c>
      <c r="T799" t="str">
        <f t="shared" si="116"/>
        <v>N/A</v>
      </c>
    </row>
    <row r="800" spans="1:20">
      <c r="A800" t="s">
        <v>1308</v>
      </c>
      <c r="B800" t="s">
        <v>19</v>
      </c>
      <c r="C800" t="s">
        <v>23</v>
      </c>
      <c r="D800">
        <v>422</v>
      </c>
      <c r="E800" s="4">
        <v>46141</v>
      </c>
      <c r="F800" s="4">
        <v>46148</v>
      </c>
      <c r="G800" s="4">
        <v>46146</v>
      </c>
      <c r="H800">
        <v>428</v>
      </c>
      <c r="I800" t="s">
        <v>47</v>
      </c>
      <c r="J800">
        <v>23</v>
      </c>
      <c r="K800" t="s">
        <v>1563</v>
      </c>
      <c r="L800" t="str">
        <f t="shared" si="108"/>
        <v>Y</v>
      </c>
      <c r="M800" t="str">
        <f t="shared" si="109"/>
        <v>Y</v>
      </c>
      <c r="N800" t="str">
        <f t="shared" si="110"/>
        <v>Y</v>
      </c>
      <c r="O800">
        <f t="shared" si="111"/>
        <v>5</v>
      </c>
      <c r="P800" s="6">
        <f t="shared" si="112"/>
        <v>1.014218009478673</v>
      </c>
      <c r="Q800" s="6">
        <f t="shared" si="113"/>
        <v>5.3738317757009345E-2</v>
      </c>
      <c r="R800">
        <f t="shared" si="114"/>
        <v>1</v>
      </c>
      <c r="S800">
        <f t="shared" si="115"/>
        <v>0</v>
      </c>
      <c r="T800" t="str">
        <f t="shared" si="116"/>
        <v>May-26</v>
      </c>
    </row>
    <row r="801" spans="1:20">
      <c r="A801" t="s">
        <v>1309</v>
      </c>
      <c r="B801" t="s">
        <v>54</v>
      </c>
      <c r="C801" t="s">
        <v>16</v>
      </c>
      <c r="D801">
        <v>191</v>
      </c>
      <c r="E801" s="4">
        <v>46088</v>
      </c>
      <c r="F801" s="4">
        <v>46099</v>
      </c>
      <c r="G801" s="4">
        <v>46097</v>
      </c>
      <c r="H801">
        <v>189</v>
      </c>
      <c r="I801" t="s">
        <v>432</v>
      </c>
      <c r="J801">
        <v>3</v>
      </c>
      <c r="K801" t="s">
        <v>1563</v>
      </c>
      <c r="L801" t="str">
        <f t="shared" si="108"/>
        <v>Y</v>
      </c>
      <c r="M801" t="str">
        <f t="shared" si="109"/>
        <v>Y</v>
      </c>
      <c r="N801" t="str">
        <f t="shared" si="110"/>
        <v>Y</v>
      </c>
      <c r="O801">
        <f t="shared" si="111"/>
        <v>9</v>
      </c>
      <c r="P801" s="6">
        <f t="shared" si="112"/>
        <v>0.98952879581151831</v>
      </c>
      <c r="Q801" s="6">
        <f t="shared" si="113"/>
        <v>1.5873015873015872E-2</v>
      </c>
      <c r="R801">
        <f t="shared" si="114"/>
        <v>1</v>
      </c>
      <c r="S801">
        <f t="shared" si="115"/>
        <v>0</v>
      </c>
      <c r="T801" t="str">
        <f t="shared" si="116"/>
        <v>Mar-26</v>
      </c>
    </row>
    <row r="802" spans="1:20">
      <c r="A802" t="s">
        <v>1310</v>
      </c>
      <c r="B802" t="s">
        <v>40</v>
      </c>
      <c r="C802" t="s">
        <v>16</v>
      </c>
      <c r="D802">
        <v>842</v>
      </c>
      <c r="E802" s="4">
        <v>46143</v>
      </c>
      <c r="F802" s="4">
        <v>46153</v>
      </c>
      <c r="G802" s="4">
        <v>46160</v>
      </c>
      <c r="H802">
        <v>831</v>
      </c>
      <c r="I802" t="s">
        <v>757</v>
      </c>
      <c r="J802">
        <v>79</v>
      </c>
      <c r="K802" t="s">
        <v>1563</v>
      </c>
      <c r="L802" t="str">
        <f t="shared" si="108"/>
        <v>N</v>
      </c>
      <c r="M802" t="str">
        <f t="shared" si="109"/>
        <v>Y</v>
      </c>
      <c r="N802" t="str">
        <f t="shared" si="110"/>
        <v>N</v>
      </c>
      <c r="O802">
        <f t="shared" si="111"/>
        <v>17</v>
      </c>
      <c r="P802" s="6">
        <f t="shared" si="112"/>
        <v>0.98693586698337288</v>
      </c>
      <c r="Q802" s="6">
        <f t="shared" si="113"/>
        <v>9.5066185318892896E-2</v>
      </c>
      <c r="R802">
        <f t="shared" si="114"/>
        <v>0</v>
      </c>
      <c r="S802">
        <f t="shared" si="115"/>
        <v>7</v>
      </c>
      <c r="T802" t="str">
        <f t="shared" si="116"/>
        <v>May-26</v>
      </c>
    </row>
    <row r="803" spans="1:20">
      <c r="A803" t="s">
        <v>1311</v>
      </c>
      <c r="B803" t="s">
        <v>81</v>
      </c>
      <c r="C803" t="s">
        <v>12</v>
      </c>
      <c r="D803">
        <v>183</v>
      </c>
      <c r="E803" s="4">
        <v>46114</v>
      </c>
      <c r="F803" s="4">
        <v>46120</v>
      </c>
      <c r="G803" s="4">
        <v>46127</v>
      </c>
      <c r="H803">
        <v>186</v>
      </c>
      <c r="I803" t="s">
        <v>312</v>
      </c>
      <c r="J803">
        <v>2</v>
      </c>
      <c r="K803" t="s">
        <v>1563</v>
      </c>
      <c r="L803" t="str">
        <f t="shared" si="108"/>
        <v>N</v>
      </c>
      <c r="M803" t="str">
        <f t="shared" si="109"/>
        <v>Y</v>
      </c>
      <c r="N803" t="str">
        <f t="shared" si="110"/>
        <v>N</v>
      </c>
      <c r="O803">
        <f t="shared" si="111"/>
        <v>13</v>
      </c>
      <c r="P803" s="6">
        <f t="shared" si="112"/>
        <v>1.0163934426229508</v>
      </c>
      <c r="Q803" s="6">
        <f t="shared" si="113"/>
        <v>1.0752688172043012E-2</v>
      </c>
      <c r="R803">
        <f t="shared" si="114"/>
        <v>0</v>
      </c>
      <c r="S803">
        <f t="shared" si="115"/>
        <v>7</v>
      </c>
      <c r="T803" t="str">
        <f t="shared" si="116"/>
        <v>Apr-26</v>
      </c>
    </row>
    <row r="804" spans="1:20">
      <c r="A804" t="s">
        <v>1312</v>
      </c>
      <c r="B804" t="s">
        <v>43</v>
      </c>
      <c r="C804" t="s">
        <v>12</v>
      </c>
      <c r="D804">
        <v>822</v>
      </c>
      <c r="E804" s="4">
        <v>46170</v>
      </c>
      <c r="F804" s="4">
        <v>46177</v>
      </c>
      <c r="G804" s="4">
        <v>46176</v>
      </c>
      <c r="H804">
        <v>820</v>
      </c>
      <c r="I804" t="s">
        <v>140</v>
      </c>
      <c r="J804">
        <v>1</v>
      </c>
      <c r="K804" t="s">
        <v>1563</v>
      </c>
      <c r="L804" t="str">
        <f t="shared" si="108"/>
        <v>Y</v>
      </c>
      <c r="M804" t="str">
        <f t="shared" si="109"/>
        <v>Y</v>
      </c>
      <c r="N804" t="str">
        <f t="shared" si="110"/>
        <v>Y</v>
      </c>
      <c r="O804">
        <f t="shared" si="111"/>
        <v>6</v>
      </c>
      <c r="P804" s="6">
        <f t="shared" si="112"/>
        <v>0.9975669099756691</v>
      </c>
      <c r="Q804" s="6">
        <f t="shared" si="113"/>
        <v>1.2195121951219512E-3</v>
      </c>
      <c r="R804">
        <f t="shared" si="114"/>
        <v>1</v>
      </c>
      <c r="S804">
        <f t="shared" si="115"/>
        <v>0</v>
      </c>
      <c r="T804" t="str">
        <f t="shared" si="116"/>
        <v>Jun-26</v>
      </c>
    </row>
    <row r="805" spans="1:20">
      <c r="A805" t="s">
        <v>1313</v>
      </c>
      <c r="B805" t="s">
        <v>64</v>
      </c>
      <c r="C805" t="s">
        <v>16</v>
      </c>
      <c r="D805">
        <v>368</v>
      </c>
      <c r="E805" s="4">
        <v>46117</v>
      </c>
      <c r="F805" s="4">
        <v>46124</v>
      </c>
      <c r="G805" s="4">
        <v>46126</v>
      </c>
      <c r="H805">
        <v>337</v>
      </c>
      <c r="I805" t="s">
        <v>1314</v>
      </c>
      <c r="J805">
        <v>2</v>
      </c>
      <c r="K805" t="s">
        <v>1563</v>
      </c>
      <c r="L805" t="str">
        <f t="shared" si="108"/>
        <v>N</v>
      </c>
      <c r="M805" t="str">
        <f t="shared" si="109"/>
        <v>N</v>
      </c>
      <c r="N805" t="str">
        <f t="shared" si="110"/>
        <v>N</v>
      </c>
      <c r="O805">
        <f t="shared" si="111"/>
        <v>9</v>
      </c>
      <c r="P805" s="6">
        <f t="shared" si="112"/>
        <v>0.91576086956521741</v>
      </c>
      <c r="Q805" s="6">
        <f t="shared" si="113"/>
        <v>5.9347181008902079E-3</v>
      </c>
      <c r="R805">
        <f t="shared" si="114"/>
        <v>0</v>
      </c>
      <c r="S805">
        <f t="shared" si="115"/>
        <v>2</v>
      </c>
      <c r="T805" t="str">
        <f t="shared" si="116"/>
        <v>Apr-26</v>
      </c>
    </row>
    <row r="806" spans="1:20">
      <c r="A806" t="s">
        <v>1315</v>
      </c>
      <c r="B806" t="s">
        <v>120</v>
      </c>
      <c r="C806" t="s">
        <v>12</v>
      </c>
      <c r="D806">
        <v>327</v>
      </c>
      <c r="E806" s="4">
        <v>46113</v>
      </c>
      <c r="F806" s="4">
        <v>46118</v>
      </c>
      <c r="G806" s="4">
        <v>46117</v>
      </c>
      <c r="H806">
        <v>333</v>
      </c>
      <c r="I806" t="s">
        <v>1316</v>
      </c>
      <c r="J806">
        <v>18</v>
      </c>
      <c r="K806" t="s">
        <v>1563</v>
      </c>
      <c r="L806" t="str">
        <f t="shared" si="108"/>
        <v>Y</v>
      </c>
      <c r="M806" t="str">
        <f t="shared" si="109"/>
        <v>Y</v>
      </c>
      <c r="N806" t="str">
        <f t="shared" si="110"/>
        <v>Y</v>
      </c>
      <c r="O806">
        <f t="shared" si="111"/>
        <v>4</v>
      </c>
      <c r="P806" s="6">
        <f t="shared" si="112"/>
        <v>1.0183486238532109</v>
      </c>
      <c r="Q806" s="6">
        <f t="shared" si="113"/>
        <v>5.4054054054054057E-2</v>
      </c>
      <c r="R806">
        <f t="shared" si="114"/>
        <v>1</v>
      </c>
      <c r="S806">
        <f t="shared" si="115"/>
        <v>0</v>
      </c>
      <c r="T806" t="str">
        <f t="shared" si="116"/>
        <v>Apr-26</v>
      </c>
    </row>
    <row r="807" spans="1:20">
      <c r="A807" t="s">
        <v>1317</v>
      </c>
      <c r="B807" t="s">
        <v>11</v>
      </c>
      <c r="C807" t="s">
        <v>16</v>
      </c>
      <c r="D807">
        <v>673</v>
      </c>
      <c r="E807" s="4">
        <v>46045</v>
      </c>
      <c r="F807" s="4">
        <v>46052</v>
      </c>
      <c r="G807" s="4">
        <v>46052</v>
      </c>
      <c r="H807">
        <v>561</v>
      </c>
      <c r="I807" t="s">
        <v>401</v>
      </c>
      <c r="J807">
        <v>12</v>
      </c>
      <c r="K807" t="s">
        <v>1563</v>
      </c>
      <c r="L807" t="str">
        <f t="shared" si="108"/>
        <v>Y</v>
      </c>
      <c r="M807" t="str">
        <f t="shared" si="109"/>
        <v>N</v>
      </c>
      <c r="N807" t="str">
        <f t="shared" si="110"/>
        <v>N</v>
      </c>
      <c r="O807">
        <f t="shared" si="111"/>
        <v>7</v>
      </c>
      <c r="P807" s="6">
        <f t="shared" si="112"/>
        <v>0.83358098068350672</v>
      </c>
      <c r="Q807" s="6">
        <f t="shared" si="113"/>
        <v>2.1390374331550801E-2</v>
      </c>
      <c r="R807">
        <f t="shared" si="114"/>
        <v>0</v>
      </c>
      <c r="S807">
        <f t="shared" si="115"/>
        <v>0</v>
      </c>
      <c r="T807" t="str">
        <f t="shared" si="116"/>
        <v>Jan-26</v>
      </c>
    </row>
    <row r="808" spans="1:20">
      <c r="A808" t="s">
        <v>1318</v>
      </c>
      <c r="B808" t="s">
        <v>43</v>
      </c>
      <c r="C808" t="s">
        <v>12</v>
      </c>
      <c r="D808">
        <v>819</v>
      </c>
      <c r="E808" s="4">
        <v>46093</v>
      </c>
      <c r="F808" s="4">
        <v>46104</v>
      </c>
      <c r="G808" s="4">
        <v>46104</v>
      </c>
      <c r="H808">
        <v>819</v>
      </c>
      <c r="I808" t="s">
        <v>486</v>
      </c>
      <c r="J808">
        <v>16</v>
      </c>
      <c r="K808" t="s">
        <v>1563</v>
      </c>
      <c r="L808" t="str">
        <f t="shared" si="108"/>
        <v>Y</v>
      </c>
      <c r="M808" t="str">
        <f t="shared" si="109"/>
        <v>Y</v>
      </c>
      <c r="N808" t="str">
        <f t="shared" si="110"/>
        <v>Y</v>
      </c>
      <c r="O808">
        <f t="shared" si="111"/>
        <v>11</v>
      </c>
      <c r="P808" s="6">
        <f t="shared" si="112"/>
        <v>1</v>
      </c>
      <c r="Q808" s="6">
        <f t="shared" si="113"/>
        <v>1.9536019536019536E-2</v>
      </c>
      <c r="R808">
        <f t="shared" si="114"/>
        <v>1</v>
      </c>
      <c r="S808">
        <f t="shared" si="115"/>
        <v>0</v>
      </c>
      <c r="T808" t="str">
        <f t="shared" si="116"/>
        <v>Mar-26</v>
      </c>
    </row>
    <row r="809" spans="1:20">
      <c r="A809" t="s">
        <v>1319</v>
      </c>
      <c r="B809" t="s">
        <v>64</v>
      </c>
      <c r="C809" t="s">
        <v>12</v>
      </c>
      <c r="D809">
        <v>256</v>
      </c>
      <c r="E809" s="4">
        <v>46171</v>
      </c>
      <c r="F809" s="4">
        <v>46183</v>
      </c>
      <c r="G809" s="4">
        <v>46182</v>
      </c>
      <c r="H809">
        <v>240</v>
      </c>
      <c r="I809" t="s">
        <v>819</v>
      </c>
      <c r="J809">
        <v>10</v>
      </c>
      <c r="K809" t="s">
        <v>1563</v>
      </c>
      <c r="L809" t="str">
        <f t="shared" si="108"/>
        <v>Y</v>
      </c>
      <c r="M809" t="str">
        <f t="shared" si="109"/>
        <v>N</v>
      </c>
      <c r="N809" t="str">
        <f t="shared" si="110"/>
        <v>N</v>
      </c>
      <c r="O809">
        <f t="shared" si="111"/>
        <v>11</v>
      </c>
      <c r="P809" s="6">
        <f t="shared" si="112"/>
        <v>0.9375</v>
      </c>
      <c r="Q809" s="6">
        <f t="shared" si="113"/>
        <v>4.1666666666666664E-2</v>
      </c>
      <c r="R809">
        <f t="shared" si="114"/>
        <v>0</v>
      </c>
      <c r="S809">
        <f t="shared" si="115"/>
        <v>0</v>
      </c>
      <c r="T809" t="str">
        <f t="shared" si="116"/>
        <v>Jun-26</v>
      </c>
    </row>
    <row r="810" spans="1:20">
      <c r="A810" t="s">
        <v>1320</v>
      </c>
      <c r="B810" t="s">
        <v>100</v>
      </c>
      <c r="C810" t="s">
        <v>16</v>
      </c>
      <c r="D810">
        <v>557</v>
      </c>
      <c r="E810" s="4">
        <v>46059</v>
      </c>
      <c r="F810" s="4">
        <v>46067</v>
      </c>
      <c r="G810" s="4">
        <v>46067</v>
      </c>
      <c r="H810">
        <v>563</v>
      </c>
      <c r="I810" t="s">
        <v>1302</v>
      </c>
      <c r="J810">
        <v>16</v>
      </c>
      <c r="K810" t="s">
        <v>1563</v>
      </c>
      <c r="L810" t="str">
        <f t="shared" si="108"/>
        <v>Y</v>
      </c>
      <c r="M810" t="str">
        <f t="shared" si="109"/>
        <v>Y</v>
      </c>
      <c r="N810" t="str">
        <f t="shared" si="110"/>
        <v>Y</v>
      </c>
      <c r="O810">
        <f t="shared" si="111"/>
        <v>8</v>
      </c>
      <c r="P810" s="6">
        <f t="shared" si="112"/>
        <v>1.0107719928186714</v>
      </c>
      <c r="Q810" s="6">
        <f t="shared" si="113"/>
        <v>2.8419182948490232E-2</v>
      </c>
      <c r="R810">
        <f t="shared" si="114"/>
        <v>1</v>
      </c>
      <c r="S810">
        <f t="shared" si="115"/>
        <v>0</v>
      </c>
      <c r="T810" t="str">
        <f t="shared" si="116"/>
        <v>Feb-26</v>
      </c>
    </row>
    <row r="811" spans="1:20">
      <c r="A811" t="s">
        <v>1321</v>
      </c>
      <c r="B811" t="s">
        <v>43</v>
      </c>
      <c r="C811" t="s">
        <v>12</v>
      </c>
      <c r="D811">
        <v>826</v>
      </c>
      <c r="E811" s="4">
        <v>46049</v>
      </c>
      <c r="F811" s="4">
        <v>46054</v>
      </c>
      <c r="G811" s="4">
        <v>46051</v>
      </c>
      <c r="H811">
        <v>821</v>
      </c>
      <c r="I811" t="s">
        <v>191</v>
      </c>
      <c r="J811">
        <v>59</v>
      </c>
      <c r="K811" t="s">
        <v>1563</v>
      </c>
      <c r="L811" t="str">
        <f t="shared" si="108"/>
        <v>Y</v>
      </c>
      <c r="M811" t="str">
        <f t="shared" si="109"/>
        <v>Y</v>
      </c>
      <c r="N811" t="str">
        <f t="shared" si="110"/>
        <v>Y</v>
      </c>
      <c r="O811">
        <f t="shared" si="111"/>
        <v>2</v>
      </c>
      <c r="P811" s="6">
        <f t="shared" si="112"/>
        <v>0.99394673123486688</v>
      </c>
      <c r="Q811" s="6">
        <f t="shared" si="113"/>
        <v>7.186358099878197E-2</v>
      </c>
      <c r="R811">
        <f t="shared" si="114"/>
        <v>1</v>
      </c>
      <c r="S811">
        <f t="shared" si="115"/>
        <v>0</v>
      </c>
      <c r="T811" t="str">
        <f t="shared" si="116"/>
        <v>Jan-26</v>
      </c>
    </row>
    <row r="812" spans="1:20">
      <c r="A812" t="s">
        <v>1322</v>
      </c>
      <c r="B812" t="s">
        <v>54</v>
      </c>
      <c r="C812" t="s">
        <v>12</v>
      </c>
      <c r="D812">
        <v>911</v>
      </c>
      <c r="E812" s="4">
        <v>46112</v>
      </c>
      <c r="F812" s="4">
        <v>46119</v>
      </c>
      <c r="G812" s="4">
        <v>46117</v>
      </c>
      <c r="H812">
        <v>921</v>
      </c>
      <c r="I812" t="s">
        <v>931</v>
      </c>
      <c r="J812">
        <v>16</v>
      </c>
      <c r="K812" t="s">
        <v>1563</v>
      </c>
      <c r="L812" t="str">
        <f t="shared" si="108"/>
        <v>Y</v>
      </c>
      <c r="M812" t="str">
        <f t="shared" si="109"/>
        <v>Y</v>
      </c>
      <c r="N812" t="str">
        <f t="shared" si="110"/>
        <v>Y</v>
      </c>
      <c r="O812">
        <f t="shared" si="111"/>
        <v>5</v>
      </c>
      <c r="P812" s="6">
        <f t="shared" si="112"/>
        <v>1.0109769484083424</v>
      </c>
      <c r="Q812" s="6">
        <f t="shared" si="113"/>
        <v>1.737242128121607E-2</v>
      </c>
      <c r="R812">
        <f t="shared" si="114"/>
        <v>1</v>
      </c>
      <c r="S812">
        <f t="shared" si="115"/>
        <v>0</v>
      </c>
      <c r="T812" t="str">
        <f t="shared" si="116"/>
        <v>Apr-26</v>
      </c>
    </row>
    <row r="813" spans="1:20">
      <c r="A813" t="s">
        <v>1323</v>
      </c>
      <c r="B813" t="s">
        <v>11</v>
      </c>
      <c r="C813" t="s">
        <v>16</v>
      </c>
      <c r="D813">
        <v>380</v>
      </c>
      <c r="E813" s="4">
        <v>46038</v>
      </c>
      <c r="F813" s="4">
        <v>46043</v>
      </c>
      <c r="G813" s="4">
        <v>46043</v>
      </c>
      <c r="H813">
        <v>372</v>
      </c>
      <c r="I813" t="s">
        <v>815</v>
      </c>
      <c r="J813">
        <v>10</v>
      </c>
      <c r="K813" t="s">
        <v>1563</v>
      </c>
      <c r="L813" t="str">
        <f t="shared" si="108"/>
        <v>Y</v>
      </c>
      <c r="M813" t="str">
        <f t="shared" si="109"/>
        <v>N</v>
      </c>
      <c r="N813" t="str">
        <f t="shared" si="110"/>
        <v>N</v>
      </c>
      <c r="O813">
        <f t="shared" si="111"/>
        <v>5</v>
      </c>
      <c r="P813" s="6">
        <f t="shared" si="112"/>
        <v>0.97894736842105268</v>
      </c>
      <c r="Q813" s="6">
        <f t="shared" si="113"/>
        <v>2.6881720430107527E-2</v>
      </c>
      <c r="R813">
        <f t="shared" si="114"/>
        <v>0</v>
      </c>
      <c r="S813">
        <f t="shared" si="115"/>
        <v>0</v>
      </c>
      <c r="T813" t="str">
        <f t="shared" si="116"/>
        <v>Jan-26</v>
      </c>
    </row>
    <row r="814" spans="1:20">
      <c r="A814" t="s">
        <v>1324</v>
      </c>
      <c r="B814" t="s">
        <v>54</v>
      </c>
      <c r="C814" t="s">
        <v>12</v>
      </c>
      <c r="D814">
        <v>89</v>
      </c>
      <c r="E814" s="4">
        <v>46040</v>
      </c>
      <c r="F814" s="4">
        <v>46045</v>
      </c>
      <c r="G814" s="4">
        <v>46049</v>
      </c>
      <c r="H814">
        <v>90</v>
      </c>
      <c r="I814" t="s">
        <v>38</v>
      </c>
      <c r="J814">
        <v>2</v>
      </c>
      <c r="K814" t="s">
        <v>1563</v>
      </c>
      <c r="L814" t="str">
        <f t="shared" si="108"/>
        <v>N</v>
      </c>
      <c r="M814" t="str">
        <f t="shared" si="109"/>
        <v>Y</v>
      </c>
      <c r="N814" t="str">
        <f t="shared" si="110"/>
        <v>N</v>
      </c>
      <c r="O814">
        <f t="shared" si="111"/>
        <v>9</v>
      </c>
      <c r="P814" s="6">
        <f t="shared" si="112"/>
        <v>1.0112359550561798</v>
      </c>
      <c r="Q814" s="6">
        <f t="shared" si="113"/>
        <v>2.2222222222222223E-2</v>
      </c>
      <c r="R814">
        <f t="shared" si="114"/>
        <v>0</v>
      </c>
      <c r="S814">
        <f t="shared" si="115"/>
        <v>4</v>
      </c>
      <c r="T814" t="str">
        <f t="shared" si="116"/>
        <v>Jan-26</v>
      </c>
    </row>
    <row r="815" spans="1:20">
      <c r="A815" t="s">
        <v>1325</v>
      </c>
      <c r="B815" t="s">
        <v>81</v>
      </c>
      <c r="C815" t="s">
        <v>16</v>
      </c>
      <c r="D815">
        <v>356</v>
      </c>
      <c r="E815" s="4">
        <v>46150</v>
      </c>
      <c r="F815" s="4">
        <v>46156</v>
      </c>
      <c r="G815" s="4">
        <v>46156</v>
      </c>
      <c r="H815">
        <v>351</v>
      </c>
      <c r="I815" t="s">
        <v>490</v>
      </c>
      <c r="J815">
        <v>3</v>
      </c>
      <c r="K815" t="s">
        <v>1563</v>
      </c>
      <c r="L815" t="str">
        <f t="shared" si="108"/>
        <v>Y</v>
      </c>
      <c r="M815" t="str">
        <f t="shared" si="109"/>
        <v>Y</v>
      </c>
      <c r="N815" t="str">
        <f t="shared" si="110"/>
        <v>Y</v>
      </c>
      <c r="O815">
        <f t="shared" si="111"/>
        <v>6</v>
      </c>
      <c r="P815" s="6">
        <f t="shared" si="112"/>
        <v>0.9859550561797753</v>
      </c>
      <c r="Q815" s="6">
        <f t="shared" si="113"/>
        <v>8.5470085470085479E-3</v>
      </c>
      <c r="R815">
        <f t="shared" si="114"/>
        <v>1</v>
      </c>
      <c r="S815">
        <f t="shared" si="115"/>
        <v>0</v>
      </c>
      <c r="T815" t="str">
        <f t="shared" si="116"/>
        <v>May-26</v>
      </c>
    </row>
    <row r="816" spans="1:20">
      <c r="A816" t="s">
        <v>1326</v>
      </c>
      <c r="B816" t="s">
        <v>81</v>
      </c>
      <c r="C816" t="s">
        <v>16</v>
      </c>
      <c r="D816">
        <v>155</v>
      </c>
      <c r="E816" s="4">
        <v>46045</v>
      </c>
      <c r="F816" s="4">
        <v>46051</v>
      </c>
      <c r="G816" s="4">
        <v>46051</v>
      </c>
      <c r="H816">
        <v>154</v>
      </c>
      <c r="I816" t="s">
        <v>1292</v>
      </c>
      <c r="J816">
        <v>1</v>
      </c>
      <c r="K816" t="s">
        <v>1563</v>
      </c>
      <c r="L816" t="str">
        <f t="shared" si="108"/>
        <v>Y</v>
      </c>
      <c r="M816" t="str">
        <f t="shared" si="109"/>
        <v>Y</v>
      </c>
      <c r="N816" t="str">
        <f t="shared" si="110"/>
        <v>Y</v>
      </c>
      <c r="O816">
        <f t="shared" si="111"/>
        <v>6</v>
      </c>
      <c r="P816" s="6">
        <f t="shared" si="112"/>
        <v>0.99354838709677418</v>
      </c>
      <c r="Q816" s="6">
        <f t="shared" si="113"/>
        <v>6.4935064935064939E-3</v>
      </c>
      <c r="R816">
        <f t="shared" si="114"/>
        <v>1</v>
      </c>
      <c r="S816">
        <f t="shared" si="115"/>
        <v>0</v>
      </c>
      <c r="T816" t="str">
        <f t="shared" si="116"/>
        <v>Jan-26</v>
      </c>
    </row>
    <row r="817" spans="1:20">
      <c r="A817" t="s">
        <v>1327</v>
      </c>
      <c r="B817" t="s">
        <v>54</v>
      </c>
      <c r="C817" t="s">
        <v>12</v>
      </c>
      <c r="D817">
        <v>269</v>
      </c>
      <c r="E817" s="4">
        <v>46118</v>
      </c>
      <c r="F817" s="4">
        <v>46129</v>
      </c>
      <c r="G817" s="4">
        <v>46128</v>
      </c>
      <c r="H817">
        <v>265</v>
      </c>
      <c r="I817" t="s">
        <v>670</v>
      </c>
      <c r="J817">
        <v>6</v>
      </c>
      <c r="K817" t="s">
        <v>1563</v>
      </c>
      <c r="L817" t="str">
        <f t="shared" si="108"/>
        <v>Y</v>
      </c>
      <c r="M817" t="str">
        <f t="shared" si="109"/>
        <v>Y</v>
      </c>
      <c r="N817" t="str">
        <f t="shared" si="110"/>
        <v>Y</v>
      </c>
      <c r="O817">
        <f t="shared" si="111"/>
        <v>10</v>
      </c>
      <c r="P817" s="6">
        <f t="shared" si="112"/>
        <v>0.98513011152416352</v>
      </c>
      <c r="Q817" s="6">
        <f t="shared" si="113"/>
        <v>2.2641509433962263E-2</v>
      </c>
      <c r="R817">
        <f t="shared" si="114"/>
        <v>1</v>
      </c>
      <c r="S817">
        <f t="shared" si="115"/>
        <v>0</v>
      </c>
      <c r="T817" t="str">
        <f t="shared" si="116"/>
        <v>Apr-26</v>
      </c>
    </row>
    <row r="818" spans="1:20">
      <c r="A818" t="s">
        <v>1328</v>
      </c>
      <c r="B818" t="s">
        <v>64</v>
      </c>
      <c r="C818" t="s">
        <v>23</v>
      </c>
      <c r="D818">
        <v>259</v>
      </c>
      <c r="E818" s="4">
        <v>46051</v>
      </c>
      <c r="F818" s="4">
        <v>46062</v>
      </c>
      <c r="G818" s="4">
        <v>46070</v>
      </c>
      <c r="H818">
        <v>242</v>
      </c>
      <c r="I818" t="s">
        <v>33</v>
      </c>
      <c r="J818">
        <v>6</v>
      </c>
      <c r="K818" t="s">
        <v>1563</v>
      </c>
      <c r="L818" t="str">
        <f t="shared" si="108"/>
        <v>N</v>
      </c>
      <c r="M818" t="str">
        <f t="shared" si="109"/>
        <v>N</v>
      </c>
      <c r="N818" t="str">
        <f t="shared" si="110"/>
        <v>N</v>
      </c>
      <c r="O818">
        <f t="shared" si="111"/>
        <v>19</v>
      </c>
      <c r="P818" s="6">
        <f t="shared" si="112"/>
        <v>0.93436293436293438</v>
      </c>
      <c r="Q818" s="6">
        <f t="shared" si="113"/>
        <v>2.4793388429752067E-2</v>
      </c>
      <c r="R818">
        <f t="shared" si="114"/>
        <v>0</v>
      </c>
      <c r="S818">
        <f t="shared" si="115"/>
        <v>8</v>
      </c>
      <c r="T818" t="str">
        <f t="shared" si="116"/>
        <v>Feb-26</v>
      </c>
    </row>
    <row r="819" spans="1:20">
      <c r="A819" t="s">
        <v>1329</v>
      </c>
      <c r="B819" t="s">
        <v>100</v>
      </c>
      <c r="C819" t="s">
        <v>16</v>
      </c>
      <c r="D819">
        <v>636</v>
      </c>
      <c r="E819" s="4">
        <v>46111</v>
      </c>
      <c r="F819" s="4">
        <v>46118</v>
      </c>
      <c r="G819" s="4">
        <v>46118</v>
      </c>
      <c r="H819">
        <v>646</v>
      </c>
      <c r="I819" t="s">
        <v>1331</v>
      </c>
      <c r="J819">
        <v>14</v>
      </c>
      <c r="K819" t="s">
        <v>1563</v>
      </c>
      <c r="L819" t="str">
        <f t="shared" si="108"/>
        <v>Y</v>
      </c>
      <c r="M819" t="str">
        <f t="shared" si="109"/>
        <v>Y</v>
      </c>
      <c r="N819" t="str">
        <f t="shared" si="110"/>
        <v>Y</v>
      </c>
      <c r="O819">
        <f t="shared" si="111"/>
        <v>7</v>
      </c>
      <c r="P819" s="6">
        <f t="shared" si="112"/>
        <v>1.0157232704402517</v>
      </c>
      <c r="Q819" s="6">
        <f t="shared" si="113"/>
        <v>2.1671826625386997E-2</v>
      </c>
      <c r="R819">
        <f t="shared" si="114"/>
        <v>1</v>
      </c>
      <c r="S819">
        <f t="shared" si="115"/>
        <v>0</v>
      </c>
      <c r="T819" t="str">
        <f t="shared" si="116"/>
        <v>Apr-26</v>
      </c>
    </row>
    <row r="820" spans="1:20">
      <c r="A820" t="s">
        <v>1332</v>
      </c>
      <c r="B820" t="s">
        <v>11</v>
      </c>
      <c r="C820" t="s">
        <v>23</v>
      </c>
      <c r="D820">
        <v>339</v>
      </c>
      <c r="E820" s="4">
        <v>46133</v>
      </c>
      <c r="F820" s="4">
        <v>46142</v>
      </c>
      <c r="G820" s="4">
        <v>46140</v>
      </c>
      <c r="H820">
        <v>322</v>
      </c>
      <c r="I820" t="s">
        <v>771</v>
      </c>
      <c r="J820">
        <v>11</v>
      </c>
      <c r="K820" t="s">
        <v>1563</v>
      </c>
      <c r="L820" t="str">
        <f t="shared" si="108"/>
        <v>Y</v>
      </c>
      <c r="M820" t="str">
        <f t="shared" si="109"/>
        <v>N</v>
      </c>
      <c r="N820" t="str">
        <f t="shared" si="110"/>
        <v>N</v>
      </c>
      <c r="O820">
        <f t="shared" si="111"/>
        <v>7</v>
      </c>
      <c r="P820" s="6">
        <f t="shared" si="112"/>
        <v>0.94985250737463123</v>
      </c>
      <c r="Q820" s="6">
        <f t="shared" si="113"/>
        <v>3.4161490683229816E-2</v>
      </c>
      <c r="R820">
        <f t="shared" si="114"/>
        <v>0</v>
      </c>
      <c r="S820">
        <f t="shared" si="115"/>
        <v>0</v>
      </c>
      <c r="T820" t="str">
        <f t="shared" si="116"/>
        <v>Apr-26</v>
      </c>
    </row>
    <row r="821" spans="1:20">
      <c r="A821" t="s">
        <v>1333</v>
      </c>
      <c r="B821" t="s">
        <v>22</v>
      </c>
      <c r="C821" t="s">
        <v>16</v>
      </c>
      <c r="D821">
        <v>388</v>
      </c>
      <c r="E821" s="4">
        <v>46099</v>
      </c>
      <c r="F821" s="4">
        <v>46114</v>
      </c>
      <c r="G821" s="4">
        <v>46112</v>
      </c>
      <c r="H821">
        <v>385</v>
      </c>
      <c r="I821" t="s">
        <v>1331</v>
      </c>
      <c r="J821">
        <v>32</v>
      </c>
      <c r="K821" t="s">
        <v>1563</v>
      </c>
      <c r="L821" t="str">
        <f t="shared" si="108"/>
        <v>Y</v>
      </c>
      <c r="M821" t="str">
        <f t="shared" si="109"/>
        <v>Y</v>
      </c>
      <c r="N821" t="str">
        <f t="shared" si="110"/>
        <v>Y</v>
      </c>
      <c r="O821">
        <f t="shared" si="111"/>
        <v>13</v>
      </c>
      <c r="P821" s="6">
        <f t="shared" si="112"/>
        <v>0.99226804123711343</v>
      </c>
      <c r="Q821" s="6">
        <f t="shared" si="113"/>
        <v>8.3116883116883117E-2</v>
      </c>
      <c r="R821">
        <f t="shared" si="114"/>
        <v>1</v>
      </c>
      <c r="S821">
        <f t="shared" si="115"/>
        <v>0</v>
      </c>
      <c r="T821" t="str">
        <f t="shared" si="116"/>
        <v>Mar-26</v>
      </c>
    </row>
    <row r="822" spans="1:20">
      <c r="A822" t="s">
        <v>1334</v>
      </c>
      <c r="B822" t="s">
        <v>46</v>
      </c>
      <c r="C822" t="s">
        <v>16</v>
      </c>
      <c r="D822">
        <v>499</v>
      </c>
      <c r="E822" s="4">
        <v>46155</v>
      </c>
      <c r="F822" s="4">
        <v>46169</v>
      </c>
      <c r="G822" s="4">
        <v>46167</v>
      </c>
      <c r="H822">
        <v>502</v>
      </c>
      <c r="I822" t="s">
        <v>529</v>
      </c>
      <c r="J822">
        <v>48</v>
      </c>
      <c r="K822" t="s">
        <v>1563</v>
      </c>
      <c r="L822" t="str">
        <f t="shared" si="108"/>
        <v>Y</v>
      </c>
      <c r="M822" t="str">
        <f t="shared" si="109"/>
        <v>Y</v>
      </c>
      <c r="N822" t="str">
        <f t="shared" si="110"/>
        <v>Y</v>
      </c>
      <c r="O822">
        <f t="shared" si="111"/>
        <v>12</v>
      </c>
      <c r="P822" s="6">
        <f t="shared" si="112"/>
        <v>1.0060120240480961</v>
      </c>
      <c r="Q822" s="6">
        <f t="shared" si="113"/>
        <v>9.5617529880478086E-2</v>
      </c>
      <c r="R822">
        <f t="shared" si="114"/>
        <v>1</v>
      </c>
      <c r="S822">
        <f t="shared" si="115"/>
        <v>0</v>
      </c>
      <c r="T822" t="str">
        <f t="shared" si="116"/>
        <v>May-26</v>
      </c>
    </row>
    <row r="823" spans="1:20">
      <c r="A823" t="s">
        <v>1335</v>
      </c>
      <c r="B823" t="s">
        <v>43</v>
      </c>
      <c r="C823" t="s">
        <v>23</v>
      </c>
      <c r="D823">
        <v>298</v>
      </c>
      <c r="E823" s="4">
        <v>46160</v>
      </c>
      <c r="F823" s="4">
        <v>46175</v>
      </c>
      <c r="G823" s="4">
        <v>46174</v>
      </c>
      <c r="H823">
        <v>297</v>
      </c>
      <c r="I823" t="s">
        <v>82</v>
      </c>
      <c r="J823">
        <v>5</v>
      </c>
      <c r="K823" t="s">
        <v>1563</v>
      </c>
      <c r="L823" t="str">
        <f t="shared" si="108"/>
        <v>Y</v>
      </c>
      <c r="M823" t="str">
        <f t="shared" si="109"/>
        <v>Y</v>
      </c>
      <c r="N823" t="str">
        <f t="shared" si="110"/>
        <v>Y</v>
      </c>
      <c r="O823">
        <f t="shared" si="111"/>
        <v>14</v>
      </c>
      <c r="P823" s="6">
        <f t="shared" si="112"/>
        <v>0.99664429530201337</v>
      </c>
      <c r="Q823" s="6">
        <f t="shared" si="113"/>
        <v>1.6835016835016835E-2</v>
      </c>
      <c r="R823">
        <f t="shared" si="114"/>
        <v>1</v>
      </c>
      <c r="S823">
        <f t="shared" si="115"/>
        <v>0</v>
      </c>
      <c r="T823" t="str">
        <f t="shared" si="116"/>
        <v>Jun-26</v>
      </c>
    </row>
    <row r="824" spans="1:20">
      <c r="A824" t="s">
        <v>1336</v>
      </c>
      <c r="B824" t="s">
        <v>52</v>
      </c>
      <c r="C824" t="s">
        <v>23</v>
      </c>
      <c r="D824">
        <v>427</v>
      </c>
      <c r="E824" s="4">
        <v>46092</v>
      </c>
      <c r="F824" s="4">
        <v>46100</v>
      </c>
      <c r="G824" s="4">
        <v>46098</v>
      </c>
      <c r="H824">
        <v>421</v>
      </c>
      <c r="I824" t="s">
        <v>1337</v>
      </c>
      <c r="J824">
        <v>10</v>
      </c>
      <c r="K824" t="s">
        <v>1563</v>
      </c>
      <c r="L824" t="str">
        <f t="shared" si="108"/>
        <v>Y</v>
      </c>
      <c r="M824" t="str">
        <f t="shared" si="109"/>
        <v>Y</v>
      </c>
      <c r="N824" t="str">
        <f t="shared" si="110"/>
        <v>Y</v>
      </c>
      <c r="O824">
        <f t="shared" si="111"/>
        <v>6</v>
      </c>
      <c r="P824" s="6">
        <f t="shared" si="112"/>
        <v>0.98594847775175642</v>
      </c>
      <c r="Q824" s="6">
        <f t="shared" si="113"/>
        <v>2.3752969121140142E-2</v>
      </c>
      <c r="R824">
        <f t="shared" si="114"/>
        <v>1</v>
      </c>
      <c r="S824">
        <f t="shared" si="115"/>
        <v>0</v>
      </c>
      <c r="T824" t="str">
        <f t="shared" si="116"/>
        <v>Mar-26</v>
      </c>
    </row>
    <row r="825" spans="1:20">
      <c r="A825" t="s">
        <v>1338</v>
      </c>
      <c r="B825" t="s">
        <v>26</v>
      </c>
      <c r="C825" t="s">
        <v>12</v>
      </c>
      <c r="D825">
        <v>388</v>
      </c>
      <c r="E825" s="4">
        <v>46173</v>
      </c>
      <c r="F825" s="4">
        <v>46180</v>
      </c>
      <c r="G825" s="4">
        <v>46178</v>
      </c>
      <c r="H825">
        <v>384</v>
      </c>
      <c r="I825" t="s">
        <v>148</v>
      </c>
      <c r="J825">
        <v>5</v>
      </c>
      <c r="K825" t="s">
        <v>1563</v>
      </c>
      <c r="L825" t="str">
        <f t="shared" si="108"/>
        <v>Y</v>
      </c>
      <c r="M825" t="str">
        <f t="shared" si="109"/>
        <v>Y</v>
      </c>
      <c r="N825" t="str">
        <f t="shared" si="110"/>
        <v>Y</v>
      </c>
      <c r="O825">
        <f t="shared" si="111"/>
        <v>5</v>
      </c>
      <c r="P825" s="6">
        <f t="shared" si="112"/>
        <v>0.98969072164948457</v>
      </c>
      <c r="Q825" s="6">
        <f t="shared" si="113"/>
        <v>1.3020833333333334E-2</v>
      </c>
      <c r="R825">
        <f t="shared" si="114"/>
        <v>1</v>
      </c>
      <c r="S825">
        <f t="shared" si="115"/>
        <v>0</v>
      </c>
      <c r="T825" t="str">
        <f t="shared" si="116"/>
        <v>Jun-26</v>
      </c>
    </row>
    <row r="826" spans="1:20">
      <c r="A826" t="s">
        <v>1339</v>
      </c>
      <c r="B826" t="s">
        <v>43</v>
      </c>
      <c r="C826" t="s">
        <v>23</v>
      </c>
      <c r="D826">
        <v>755</v>
      </c>
      <c r="E826" s="4">
        <v>46046</v>
      </c>
      <c r="F826" s="4">
        <v>46052</v>
      </c>
      <c r="G826" s="4">
        <v>46057</v>
      </c>
      <c r="H826">
        <v>765</v>
      </c>
      <c r="I826" t="s">
        <v>894</v>
      </c>
      <c r="J826">
        <v>45</v>
      </c>
      <c r="K826" t="s">
        <v>1563</v>
      </c>
      <c r="L826" t="str">
        <f t="shared" si="108"/>
        <v>N</v>
      </c>
      <c r="M826" t="str">
        <f t="shared" si="109"/>
        <v>Y</v>
      </c>
      <c r="N826" t="str">
        <f t="shared" si="110"/>
        <v>N</v>
      </c>
      <c r="O826">
        <f t="shared" si="111"/>
        <v>11</v>
      </c>
      <c r="P826" s="6">
        <f t="shared" si="112"/>
        <v>1.0132450331125828</v>
      </c>
      <c r="Q826" s="6">
        <f t="shared" si="113"/>
        <v>5.8823529411764705E-2</v>
      </c>
      <c r="R826">
        <f t="shared" si="114"/>
        <v>0</v>
      </c>
      <c r="S826">
        <f t="shared" si="115"/>
        <v>5</v>
      </c>
      <c r="T826" t="str">
        <f t="shared" si="116"/>
        <v>Feb-26</v>
      </c>
    </row>
    <row r="827" spans="1:20">
      <c r="A827" t="s">
        <v>1340</v>
      </c>
      <c r="B827" t="s">
        <v>54</v>
      </c>
      <c r="C827" t="s">
        <v>16</v>
      </c>
      <c r="D827">
        <v>607</v>
      </c>
      <c r="E827" s="4">
        <v>46040</v>
      </c>
      <c r="F827" s="4">
        <v>46054</v>
      </c>
      <c r="G827" s="4">
        <v>46052</v>
      </c>
      <c r="H827">
        <v>605</v>
      </c>
      <c r="I827" t="s">
        <v>848</v>
      </c>
      <c r="J827">
        <v>4</v>
      </c>
      <c r="K827" t="s">
        <v>1563</v>
      </c>
      <c r="L827" t="str">
        <f t="shared" si="108"/>
        <v>Y</v>
      </c>
      <c r="M827" t="str">
        <f t="shared" si="109"/>
        <v>Y</v>
      </c>
      <c r="N827" t="str">
        <f t="shared" si="110"/>
        <v>Y</v>
      </c>
      <c r="O827">
        <f t="shared" si="111"/>
        <v>12</v>
      </c>
      <c r="P827" s="6">
        <f t="shared" si="112"/>
        <v>0.99670510708401971</v>
      </c>
      <c r="Q827" s="6">
        <f t="shared" si="113"/>
        <v>6.6115702479338841E-3</v>
      </c>
      <c r="R827">
        <f t="shared" si="114"/>
        <v>1</v>
      </c>
      <c r="S827">
        <f t="shared" si="115"/>
        <v>0</v>
      </c>
      <c r="T827" t="str">
        <f t="shared" si="116"/>
        <v>Jan-26</v>
      </c>
    </row>
    <row r="828" spans="1:20">
      <c r="A828" t="s">
        <v>1341</v>
      </c>
      <c r="B828" t="s">
        <v>177</v>
      </c>
      <c r="C828" t="s">
        <v>12</v>
      </c>
      <c r="D828">
        <v>202</v>
      </c>
      <c r="E828" s="4">
        <v>46137</v>
      </c>
      <c r="F828" s="4">
        <v>46143</v>
      </c>
      <c r="G828" s="4">
        <v>46142</v>
      </c>
      <c r="H828">
        <v>200</v>
      </c>
      <c r="I828" t="s">
        <v>156</v>
      </c>
      <c r="J828">
        <v>8</v>
      </c>
      <c r="K828" t="s">
        <v>1563</v>
      </c>
      <c r="L828" t="str">
        <f t="shared" si="108"/>
        <v>Y</v>
      </c>
      <c r="M828" t="str">
        <f t="shared" si="109"/>
        <v>Y</v>
      </c>
      <c r="N828" t="str">
        <f t="shared" si="110"/>
        <v>Y</v>
      </c>
      <c r="O828">
        <f t="shared" si="111"/>
        <v>5</v>
      </c>
      <c r="P828" s="6">
        <f t="shared" si="112"/>
        <v>0.99009900990099009</v>
      </c>
      <c r="Q828" s="6">
        <f t="shared" si="113"/>
        <v>0.04</v>
      </c>
      <c r="R828">
        <f t="shared" si="114"/>
        <v>1</v>
      </c>
      <c r="S828">
        <f t="shared" si="115"/>
        <v>0</v>
      </c>
      <c r="T828" t="str">
        <f t="shared" si="116"/>
        <v>Apr-26</v>
      </c>
    </row>
    <row r="829" spans="1:20">
      <c r="A829" t="s">
        <v>1342</v>
      </c>
      <c r="B829" t="s">
        <v>67</v>
      </c>
      <c r="C829" t="s">
        <v>12</v>
      </c>
      <c r="D829">
        <v>718</v>
      </c>
      <c r="E829" s="4">
        <v>46084</v>
      </c>
      <c r="F829" s="4">
        <v>46095</v>
      </c>
      <c r="G829" s="4">
        <v>46098</v>
      </c>
      <c r="H829">
        <v>708</v>
      </c>
      <c r="I829" t="s">
        <v>84</v>
      </c>
      <c r="J829">
        <v>9</v>
      </c>
      <c r="K829" t="s">
        <v>1563</v>
      </c>
      <c r="L829" t="str">
        <f t="shared" si="108"/>
        <v>N</v>
      </c>
      <c r="M829" t="str">
        <f t="shared" si="109"/>
        <v>Y</v>
      </c>
      <c r="N829" t="str">
        <f t="shared" si="110"/>
        <v>N</v>
      </c>
      <c r="O829">
        <f t="shared" si="111"/>
        <v>14</v>
      </c>
      <c r="P829" s="6">
        <f t="shared" si="112"/>
        <v>0.98607242339832868</v>
      </c>
      <c r="Q829" s="6">
        <f t="shared" si="113"/>
        <v>1.2711864406779662E-2</v>
      </c>
      <c r="R829">
        <f t="shared" si="114"/>
        <v>0</v>
      </c>
      <c r="S829">
        <f t="shared" si="115"/>
        <v>3</v>
      </c>
      <c r="T829" t="str">
        <f t="shared" si="116"/>
        <v>Mar-26</v>
      </c>
    </row>
    <row r="830" spans="1:20">
      <c r="A830" t="s">
        <v>1343</v>
      </c>
      <c r="B830" t="s">
        <v>43</v>
      </c>
      <c r="C830" t="s">
        <v>16</v>
      </c>
      <c r="D830">
        <v>319</v>
      </c>
      <c r="E830" s="4">
        <v>46057</v>
      </c>
      <c r="F830" s="4">
        <v>46066</v>
      </c>
      <c r="G830" s="4">
        <v>46072</v>
      </c>
      <c r="H830">
        <v>319</v>
      </c>
      <c r="I830" t="s">
        <v>815</v>
      </c>
      <c r="J830">
        <v>1</v>
      </c>
      <c r="K830" t="s">
        <v>1563</v>
      </c>
      <c r="L830" t="str">
        <f t="shared" si="108"/>
        <v>N</v>
      </c>
      <c r="M830" t="str">
        <f t="shared" si="109"/>
        <v>Y</v>
      </c>
      <c r="N830" t="str">
        <f t="shared" si="110"/>
        <v>N</v>
      </c>
      <c r="O830">
        <f t="shared" si="111"/>
        <v>15</v>
      </c>
      <c r="P830" s="6">
        <f t="shared" si="112"/>
        <v>1</v>
      </c>
      <c r="Q830" s="6">
        <f t="shared" si="113"/>
        <v>3.134796238244514E-3</v>
      </c>
      <c r="R830">
        <f t="shared" si="114"/>
        <v>0</v>
      </c>
      <c r="S830">
        <f t="shared" si="115"/>
        <v>6</v>
      </c>
      <c r="T830" t="str">
        <f t="shared" si="116"/>
        <v>Feb-26</v>
      </c>
    </row>
    <row r="831" spans="1:20">
      <c r="A831" t="s">
        <v>1344</v>
      </c>
      <c r="B831" t="s">
        <v>81</v>
      </c>
      <c r="C831" t="s">
        <v>12</v>
      </c>
      <c r="D831">
        <v>342</v>
      </c>
      <c r="E831" s="4">
        <v>46099</v>
      </c>
      <c r="F831" s="4">
        <v>46106</v>
      </c>
      <c r="G831" s="4">
        <v>46106</v>
      </c>
      <c r="H831">
        <v>344</v>
      </c>
      <c r="I831" t="s">
        <v>167</v>
      </c>
      <c r="J831">
        <v>1</v>
      </c>
      <c r="K831" t="s">
        <v>1563</v>
      </c>
      <c r="L831" t="str">
        <f t="shared" si="108"/>
        <v>Y</v>
      </c>
      <c r="M831" t="str">
        <f t="shared" si="109"/>
        <v>Y</v>
      </c>
      <c r="N831" t="str">
        <f t="shared" si="110"/>
        <v>Y</v>
      </c>
      <c r="O831">
        <f t="shared" si="111"/>
        <v>7</v>
      </c>
      <c r="P831" s="6">
        <f t="shared" si="112"/>
        <v>1.0058479532163742</v>
      </c>
      <c r="Q831" s="6">
        <f t="shared" si="113"/>
        <v>2.9069767441860465E-3</v>
      </c>
      <c r="R831">
        <f t="shared" si="114"/>
        <v>1</v>
      </c>
      <c r="S831">
        <f t="shared" si="115"/>
        <v>0</v>
      </c>
      <c r="T831" t="str">
        <f t="shared" si="116"/>
        <v>Mar-26</v>
      </c>
    </row>
    <row r="832" spans="1:20">
      <c r="A832" t="s">
        <v>1345</v>
      </c>
      <c r="B832" t="s">
        <v>67</v>
      </c>
      <c r="C832" t="s">
        <v>16</v>
      </c>
      <c r="D832">
        <v>691</v>
      </c>
      <c r="E832" s="4">
        <v>46092</v>
      </c>
      <c r="F832" s="4">
        <v>46101</v>
      </c>
      <c r="G832" s="4">
        <v>46100</v>
      </c>
      <c r="H832">
        <v>565</v>
      </c>
      <c r="I832" t="s">
        <v>426</v>
      </c>
      <c r="J832">
        <v>6</v>
      </c>
      <c r="K832" t="s">
        <v>1563</v>
      </c>
      <c r="L832" t="str">
        <f t="shared" si="108"/>
        <v>Y</v>
      </c>
      <c r="M832" t="str">
        <f t="shared" si="109"/>
        <v>N</v>
      </c>
      <c r="N832" t="str">
        <f t="shared" si="110"/>
        <v>N</v>
      </c>
      <c r="O832">
        <f t="shared" si="111"/>
        <v>8</v>
      </c>
      <c r="P832" s="6">
        <f t="shared" si="112"/>
        <v>0.81765557163531111</v>
      </c>
      <c r="Q832" s="6">
        <f t="shared" si="113"/>
        <v>1.0619469026548672E-2</v>
      </c>
      <c r="R832">
        <f t="shared" si="114"/>
        <v>0</v>
      </c>
      <c r="S832">
        <f t="shared" si="115"/>
        <v>0</v>
      </c>
      <c r="T832" t="str">
        <f t="shared" si="116"/>
        <v>Mar-26</v>
      </c>
    </row>
    <row r="833" spans="1:20">
      <c r="A833" t="s">
        <v>1346</v>
      </c>
      <c r="B833" t="s">
        <v>46</v>
      </c>
      <c r="C833" t="s">
        <v>16</v>
      </c>
      <c r="D833">
        <v>498</v>
      </c>
      <c r="E833" s="4">
        <v>46080</v>
      </c>
      <c r="F833" s="4">
        <v>46086</v>
      </c>
      <c r="G833" s="4">
        <v>46083</v>
      </c>
      <c r="H833">
        <v>497</v>
      </c>
      <c r="I833" t="s">
        <v>1347</v>
      </c>
      <c r="J833">
        <v>13</v>
      </c>
      <c r="K833" t="s">
        <v>1563</v>
      </c>
      <c r="L833" t="str">
        <f t="shared" si="108"/>
        <v>Y</v>
      </c>
      <c r="M833" t="str">
        <f t="shared" si="109"/>
        <v>Y</v>
      </c>
      <c r="N833" t="str">
        <f t="shared" si="110"/>
        <v>Y</v>
      </c>
      <c r="O833">
        <f t="shared" si="111"/>
        <v>3</v>
      </c>
      <c r="P833" s="6">
        <f t="shared" si="112"/>
        <v>0.99799196787148592</v>
      </c>
      <c r="Q833" s="6">
        <f t="shared" si="113"/>
        <v>2.6156941649899398E-2</v>
      </c>
      <c r="R833">
        <f t="shared" si="114"/>
        <v>1</v>
      </c>
      <c r="S833">
        <f t="shared" si="115"/>
        <v>0</v>
      </c>
      <c r="T833" t="str">
        <f t="shared" si="116"/>
        <v>Mar-26</v>
      </c>
    </row>
    <row r="834" spans="1:20">
      <c r="A834" t="s">
        <v>1348</v>
      </c>
      <c r="B834" t="s">
        <v>64</v>
      </c>
      <c r="C834" t="s">
        <v>12</v>
      </c>
      <c r="D834">
        <v>817</v>
      </c>
      <c r="E834" s="4">
        <v>46122</v>
      </c>
      <c r="F834" s="4">
        <v>46135</v>
      </c>
      <c r="G834" s="4">
        <v>46134</v>
      </c>
      <c r="H834">
        <v>815</v>
      </c>
      <c r="I834" t="s">
        <v>310</v>
      </c>
      <c r="J834">
        <v>37</v>
      </c>
      <c r="K834" t="s">
        <v>1563</v>
      </c>
      <c r="L834" t="str">
        <f t="shared" ref="L834:L897" si="117">IF(G834="","N/A",IF(G834&lt;=F834,"Y","N"))</f>
        <v>Y</v>
      </c>
      <c r="M834" t="str">
        <f t="shared" ref="M834:M897" si="118">IF(H834="","N/A",IF(H834&gt;=D834*0.98,"Y","N"))</f>
        <v>Y</v>
      </c>
      <c r="N834" t="str">
        <f t="shared" ref="N834:N897" si="119">IF(OR(L834="N/A",M834="N/A"),"N/A",IF(AND(L834="Y",M834="Y"),"Y","N"))</f>
        <v>Y</v>
      </c>
      <c r="O834">
        <f t="shared" ref="O834:O897" si="120">IF(G834="","N/A",G834-E834)</f>
        <v>12</v>
      </c>
      <c r="P834" s="6">
        <f t="shared" ref="P834:P897" si="121">IF(H834="","N/A",H834/D834)</f>
        <v>0.99755201958384332</v>
      </c>
      <c r="Q834" s="6">
        <f t="shared" ref="Q834:Q897" si="122">IF(H834="","N/A",IF(H834=0,0,J834/H834))</f>
        <v>4.5398773006134971E-2</v>
      </c>
      <c r="R834">
        <f t="shared" ref="R834:R897" si="123">IF(N834="Y",1,IF(N834="N",0,""))</f>
        <v>1</v>
      </c>
      <c r="S834">
        <f t="shared" ref="S834:S897" si="124">IF(G834="","N/A",MAX(G834-F834,0))</f>
        <v>0</v>
      </c>
      <c r="T834" t="str">
        <f t="shared" ref="T834:T897" si="125">IF(G834="","N/A",TEXT(G834,"mmm-yy"))</f>
        <v>Apr-26</v>
      </c>
    </row>
    <row r="835" spans="1:20">
      <c r="A835" t="s">
        <v>1349</v>
      </c>
      <c r="B835" t="s">
        <v>32</v>
      </c>
      <c r="C835" t="s">
        <v>16</v>
      </c>
      <c r="D835">
        <v>361</v>
      </c>
      <c r="E835" s="4">
        <v>46037</v>
      </c>
      <c r="F835" s="4">
        <v>46046</v>
      </c>
      <c r="G835" s="4"/>
      <c r="I835" t="s">
        <v>484</v>
      </c>
      <c r="K835" t="s">
        <v>1565</v>
      </c>
      <c r="L835" t="str">
        <f t="shared" si="117"/>
        <v>N/A</v>
      </c>
      <c r="M835" t="str">
        <f t="shared" si="118"/>
        <v>N/A</v>
      </c>
      <c r="N835" t="str">
        <f t="shared" si="119"/>
        <v>N/A</v>
      </c>
      <c r="O835" t="str">
        <f t="shared" si="120"/>
        <v>N/A</v>
      </c>
      <c r="P835" s="6" t="str">
        <f t="shared" si="121"/>
        <v>N/A</v>
      </c>
      <c r="Q835" s="6" t="str">
        <f t="shared" si="122"/>
        <v>N/A</v>
      </c>
      <c r="R835" t="str">
        <f t="shared" si="123"/>
        <v/>
      </c>
      <c r="S835" t="str">
        <f t="shared" si="124"/>
        <v>N/A</v>
      </c>
      <c r="T835" t="str">
        <f t="shared" si="125"/>
        <v>N/A</v>
      </c>
    </row>
    <row r="836" spans="1:20">
      <c r="A836" t="s">
        <v>1350</v>
      </c>
      <c r="B836" t="s">
        <v>22</v>
      </c>
      <c r="C836" t="s">
        <v>12</v>
      </c>
      <c r="D836">
        <v>971</v>
      </c>
      <c r="E836" s="4">
        <v>46081</v>
      </c>
      <c r="F836" s="4">
        <v>46092</v>
      </c>
      <c r="G836" s="4">
        <v>46089</v>
      </c>
      <c r="H836">
        <v>897</v>
      </c>
      <c r="I836" t="s">
        <v>407</v>
      </c>
      <c r="J836">
        <v>3</v>
      </c>
      <c r="K836" t="s">
        <v>1563</v>
      </c>
      <c r="L836" t="str">
        <f t="shared" si="117"/>
        <v>Y</v>
      </c>
      <c r="M836" t="str">
        <f t="shared" si="118"/>
        <v>N</v>
      </c>
      <c r="N836" t="str">
        <f t="shared" si="119"/>
        <v>N</v>
      </c>
      <c r="O836">
        <f t="shared" si="120"/>
        <v>8</v>
      </c>
      <c r="P836" s="6">
        <f t="shared" si="121"/>
        <v>0.92378990731204946</v>
      </c>
      <c r="Q836" s="6">
        <f t="shared" si="122"/>
        <v>3.3444816053511705E-3</v>
      </c>
      <c r="R836">
        <f t="shared" si="123"/>
        <v>0</v>
      </c>
      <c r="S836">
        <f t="shared" si="124"/>
        <v>0</v>
      </c>
      <c r="T836" t="str">
        <f t="shared" si="125"/>
        <v>Mar-26</v>
      </c>
    </row>
    <row r="837" spans="1:20">
      <c r="A837" t="s">
        <v>1351</v>
      </c>
      <c r="B837" t="s">
        <v>26</v>
      </c>
      <c r="C837" t="s">
        <v>16</v>
      </c>
      <c r="D837">
        <v>778</v>
      </c>
      <c r="E837" s="4">
        <v>46039</v>
      </c>
      <c r="F837" s="4">
        <v>46050</v>
      </c>
      <c r="G837" s="4">
        <v>46050</v>
      </c>
      <c r="H837">
        <v>788</v>
      </c>
      <c r="I837" t="s">
        <v>1352</v>
      </c>
      <c r="J837">
        <v>17</v>
      </c>
      <c r="K837" t="s">
        <v>1563</v>
      </c>
      <c r="L837" t="str">
        <f t="shared" si="117"/>
        <v>Y</v>
      </c>
      <c r="M837" t="str">
        <f t="shared" si="118"/>
        <v>Y</v>
      </c>
      <c r="N837" t="str">
        <f t="shared" si="119"/>
        <v>Y</v>
      </c>
      <c r="O837">
        <f t="shared" si="120"/>
        <v>11</v>
      </c>
      <c r="P837" s="6">
        <f t="shared" si="121"/>
        <v>1.012853470437018</v>
      </c>
      <c r="Q837" s="6">
        <f t="shared" si="122"/>
        <v>2.1573604060913704E-2</v>
      </c>
      <c r="R837">
        <f t="shared" si="123"/>
        <v>1</v>
      </c>
      <c r="S837">
        <f t="shared" si="124"/>
        <v>0</v>
      </c>
      <c r="T837" t="str">
        <f t="shared" si="125"/>
        <v>Jan-26</v>
      </c>
    </row>
    <row r="838" spans="1:20">
      <c r="A838" t="s">
        <v>1353</v>
      </c>
      <c r="B838" t="s">
        <v>26</v>
      </c>
      <c r="C838" t="s">
        <v>12</v>
      </c>
      <c r="D838">
        <v>617</v>
      </c>
      <c r="E838" s="4">
        <v>46116</v>
      </c>
      <c r="F838" s="4">
        <v>46124</v>
      </c>
      <c r="G838" s="4">
        <v>46122</v>
      </c>
      <c r="H838">
        <v>559</v>
      </c>
      <c r="I838" t="s">
        <v>714</v>
      </c>
      <c r="J838">
        <v>15</v>
      </c>
      <c r="K838" t="s">
        <v>1563</v>
      </c>
      <c r="L838" t="str">
        <f t="shared" si="117"/>
        <v>Y</v>
      </c>
      <c r="M838" t="str">
        <f t="shared" si="118"/>
        <v>N</v>
      </c>
      <c r="N838" t="str">
        <f t="shared" si="119"/>
        <v>N</v>
      </c>
      <c r="O838">
        <f t="shared" si="120"/>
        <v>6</v>
      </c>
      <c r="P838" s="6">
        <f t="shared" si="121"/>
        <v>0.90599675850891415</v>
      </c>
      <c r="Q838" s="6">
        <f t="shared" si="122"/>
        <v>2.6833631484794274E-2</v>
      </c>
      <c r="R838">
        <f t="shared" si="123"/>
        <v>0</v>
      </c>
      <c r="S838">
        <f t="shared" si="124"/>
        <v>0</v>
      </c>
      <c r="T838" t="str">
        <f t="shared" si="125"/>
        <v>Apr-26</v>
      </c>
    </row>
    <row r="839" spans="1:20">
      <c r="A839" t="s">
        <v>1355</v>
      </c>
      <c r="B839" t="s">
        <v>11</v>
      </c>
      <c r="C839" t="s">
        <v>12</v>
      </c>
      <c r="D839">
        <v>675</v>
      </c>
      <c r="E839" s="4">
        <v>46056</v>
      </c>
      <c r="F839" s="4">
        <v>46071</v>
      </c>
      <c r="G839" s="4">
        <v>46079</v>
      </c>
      <c r="H839">
        <v>686</v>
      </c>
      <c r="I839" t="s">
        <v>407</v>
      </c>
      <c r="J839">
        <v>8</v>
      </c>
      <c r="K839" t="s">
        <v>1563</v>
      </c>
      <c r="L839" t="str">
        <f t="shared" si="117"/>
        <v>N</v>
      </c>
      <c r="M839" t="str">
        <f t="shared" si="118"/>
        <v>Y</v>
      </c>
      <c r="N839" t="str">
        <f t="shared" si="119"/>
        <v>N</v>
      </c>
      <c r="O839">
        <f t="shared" si="120"/>
        <v>23</v>
      </c>
      <c r="P839" s="6">
        <f t="shared" si="121"/>
        <v>1.0162962962962963</v>
      </c>
      <c r="Q839" s="6">
        <f t="shared" si="122"/>
        <v>1.1661807580174927E-2</v>
      </c>
      <c r="R839">
        <f t="shared" si="123"/>
        <v>0</v>
      </c>
      <c r="S839">
        <f t="shared" si="124"/>
        <v>8</v>
      </c>
      <c r="T839" t="str">
        <f t="shared" si="125"/>
        <v>Feb-26</v>
      </c>
    </row>
    <row r="840" spans="1:20">
      <c r="A840" t="s">
        <v>1356</v>
      </c>
      <c r="B840" t="s">
        <v>19</v>
      </c>
      <c r="C840" t="s">
        <v>16</v>
      </c>
      <c r="D840">
        <v>89</v>
      </c>
      <c r="E840" s="4">
        <v>46065</v>
      </c>
      <c r="F840" s="4">
        <v>46079</v>
      </c>
      <c r="G840" s="4">
        <v>46079</v>
      </c>
      <c r="H840">
        <v>87</v>
      </c>
      <c r="I840" t="s">
        <v>1357</v>
      </c>
      <c r="J840">
        <v>2</v>
      </c>
      <c r="K840" t="s">
        <v>1563</v>
      </c>
      <c r="L840" t="str">
        <f t="shared" si="117"/>
        <v>Y</v>
      </c>
      <c r="M840" t="str">
        <f t="shared" si="118"/>
        <v>N</v>
      </c>
      <c r="N840" t="str">
        <f t="shared" si="119"/>
        <v>N</v>
      </c>
      <c r="O840">
        <f t="shared" si="120"/>
        <v>14</v>
      </c>
      <c r="P840" s="6">
        <f t="shared" si="121"/>
        <v>0.97752808988764039</v>
      </c>
      <c r="Q840" s="6">
        <f t="shared" si="122"/>
        <v>2.2988505747126436E-2</v>
      </c>
      <c r="R840">
        <f t="shared" si="123"/>
        <v>0</v>
      </c>
      <c r="S840">
        <f t="shared" si="124"/>
        <v>0</v>
      </c>
      <c r="T840" t="str">
        <f t="shared" si="125"/>
        <v>Feb-26</v>
      </c>
    </row>
    <row r="841" spans="1:20">
      <c r="A841" t="s">
        <v>1358</v>
      </c>
      <c r="B841" t="s">
        <v>67</v>
      </c>
      <c r="C841" t="s">
        <v>16</v>
      </c>
      <c r="D841">
        <v>702</v>
      </c>
      <c r="E841" s="4">
        <v>46168</v>
      </c>
      <c r="F841" s="4">
        <v>46182</v>
      </c>
      <c r="G841" s="4">
        <v>46180</v>
      </c>
      <c r="H841">
        <v>691</v>
      </c>
      <c r="I841" t="s">
        <v>1359</v>
      </c>
      <c r="J841">
        <v>39</v>
      </c>
      <c r="K841" t="s">
        <v>1563</v>
      </c>
      <c r="L841" t="str">
        <f t="shared" si="117"/>
        <v>Y</v>
      </c>
      <c r="M841" t="str">
        <f t="shared" si="118"/>
        <v>Y</v>
      </c>
      <c r="N841" t="str">
        <f t="shared" si="119"/>
        <v>Y</v>
      </c>
      <c r="O841">
        <f t="shared" si="120"/>
        <v>12</v>
      </c>
      <c r="P841" s="6">
        <f t="shared" si="121"/>
        <v>0.98433048433048431</v>
      </c>
      <c r="Q841" s="6">
        <f t="shared" si="122"/>
        <v>5.6439942112879886E-2</v>
      </c>
      <c r="R841">
        <f t="shared" si="123"/>
        <v>1</v>
      </c>
      <c r="S841">
        <f t="shared" si="124"/>
        <v>0</v>
      </c>
      <c r="T841" t="str">
        <f t="shared" si="125"/>
        <v>Jun-26</v>
      </c>
    </row>
    <row r="842" spans="1:20">
      <c r="A842" t="s">
        <v>1360</v>
      </c>
      <c r="B842" t="s">
        <v>67</v>
      </c>
      <c r="C842" t="s">
        <v>12</v>
      </c>
      <c r="D842">
        <v>407</v>
      </c>
      <c r="E842" s="4">
        <v>46129</v>
      </c>
      <c r="F842" s="4">
        <v>46144</v>
      </c>
      <c r="G842" s="4">
        <v>46144</v>
      </c>
      <c r="H842">
        <v>413</v>
      </c>
      <c r="I842" t="s">
        <v>38</v>
      </c>
      <c r="J842">
        <v>3</v>
      </c>
      <c r="K842" t="s">
        <v>1563</v>
      </c>
      <c r="L842" t="str">
        <f t="shared" si="117"/>
        <v>Y</v>
      </c>
      <c r="M842" t="str">
        <f t="shared" si="118"/>
        <v>Y</v>
      </c>
      <c r="N842" t="str">
        <f t="shared" si="119"/>
        <v>Y</v>
      </c>
      <c r="O842">
        <f t="shared" si="120"/>
        <v>15</v>
      </c>
      <c r="P842" s="6">
        <f t="shared" si="121"/>
        <v>1.0147420147420148</v>
      </c>
      <c r="Q842" s="6">
        <f t="shared" si="122"/>
        <v>7.2639225181598066E-3</v>
      </c>
      <c r="R842">
        <f t="shared" si="123"/>
        <v>1</v>
      </c>
      <c r="S842">
        <f t="shared" si="124"/>
        <v>0</v>
      </c>
      <c r="T842" t="str">
        <f t="shared" si="125"/>
        <v>May-26</v>
      </c>
    </row>
    <row r="843" spans="1:20">
      <c r="A843" t="s">
        <v>1361</v>
      </c>
      <c r="B843" t="s">
        <v>67</v>
      </c>
      <c r="C843" t="s">
        <v>12</v>
      </c>
      <c r="D843">
        <v>427</v>
      </c>
      <c r="E843" s="4">
        <v>46158</v>
      </c>
      <c r="F843" s="4">
        <v>46164</v>
      </c>
      <c r="G843" s="4">
        <v>46164</v>
      </c>
      <c r="H843">
        <v>426</v>
      </c>
      <c r="I843" t="s">
        <v>1043</v>
      </c>
      <c r="J843">
        <v>2</v>
      </c>
      <c r="K843" t="s">
        <v>1563</v>
      </c>
      <c r="L843" t="str">
        <f t="shared" si="117"/>
        <v>Y</v>
      </c>
      <c r="M843" t="str">
        <f t="shared" si="118"/>
        <v>Y</v>
      </c>
      <c r="N843" t="str">
        <f t="shared" si="119"/>
        <v>Y</v>
      </c>
      <c r="O843">
        <f t="shared" si="120"/>
        <v>6</v>
      </c>
      <c r="P843" s="6">
        <f t="shared" si="121"/>
        <v>0.99765807962529274</v>
      </c>
      <c r="Q843" s="6">
        <f t="shared" si="122"/>
        <v>4.6948356807511738E-3</v>
      </c>
      <c r="R843">
        <f t="shared" si="123"/>
        <v>1</v>
      </c>
      <c r="S843">
        <f t="shared" si="124"/>
        <v>0</v>
      </c>
      <c r="T843" t="str">
        <f t="shared" si="125"/>
        <v>May-26</v>
      </c>
    </row>
    <row r="844" spans="1:20">
      <c r="A844" t="s">
        <v>1362</v>
      </c>
      <c r="B844" t="s">
        <v>100</v>
      </c>
      <c r="C844" t="s">
        <v>23</v>
      </c>
      <c r="D844">
        <v>605</v>
      </c>
      <c r="E844" s="4">
        <v>46129</v>
      </c>
      <c r="F844" s="4">
        <v>46134</v>
      </c>
      <c r="G844" s="4">
        <v>46133</v>
      </c>
      <c r="H844">
        <v>605</v>
      </c>
      <c r="I844" t="s">
        <v>86</v>
      </c>
      <c r="J844">
        <v>21</v>
      </c>
      <c r="K844" t="s">
        <v>1563</v>
      </c>
      <c r="L844" t="str">
        <f t="shared" si="117"/>
        <v>Y</v>
      </c>
      <c r="M844" t="str">
        <f t="shared" si="118"/>
        <v>Y</v>
      </c>
      <c r="N844" t="str">
        <f t="shared" si="119"/>
        <v>Y</v>
      </c>
      <c r="O844">
        <f t="shared" si="120"/>
        <v>4</v>
      </c>
      <c r="P844" s="6">
        <f t="shared" si="121"/>
        <v>1</v>
      </c>
      <c r="Q844" s="6">
        <f t="shared" si="122"/>
        <v>3.4710743801652892E-2</v>
      </c>
      <c r="R844">
        <f t="shared" si="123"/>
        <v>1</v>
      </c>
      <c r="S844">
        <f t="shared" si="124"/>
        <v>0</v>
      </c>
      <c r="T844" t="str">
        <f t="shared" si="125"/>
        <v>Apr-26</v>
      </c>
    </row>
    <row r="845" spans="1:20">
      <c r="A845" t="s">
        <v>1363</v>
      </c>
      <c r="B845" t="s">
        <v>26</v>
      </c>
      <c r="C845" t="s">
        <v>16</v>
      </c>
      <c r="D845">
        <v>451</v>
      </c>
      <c r="E845" s="4">
        <v>46135</v>
      </c>
      <c r="F845" s="4">
        <v>46150</v>
      </c>
      <c r="G845" s="4">
        <v>46150</v>
      </c>
      <c r="H845">
        <v>444</v>
      </c>
      <c r="I845" t="s">
        <v>666</v>
      </c>
      <c r="J845">
        <v>0</v>
      </c>
      <c r="K845" t="s">
        <v>1563</v>
      </c>
      <c r="L845" t="str">
        <f t="shared" si="117"/>
        <v>Y</v>
      </c>
      <c r="M845" t="str">
        <f t="shared" si="118"/>
        <v>Y</v>
      </c>
      <c r="N845" t="str">
        <f t="shared" si="119"/>
        <v>Y</v>
      </c>
      <c r="O845">
        <f t="shared" si="120"/>
        <v>15</v>
      </c>
      <c r="P845" s="6">
        <f t="shared" si="121"/>
        <v>0.98447893569844791</v>
      </c>
      <c r="Q845" s="6">
        <f t="shared" si="122"/>
        <v>0</v>
      </c>
      <c r="R845">
        <f t="shared" si="123"/>
        <v>1</v>
      </c>
      <c r="S845">
        <f t="shared" si="124"/>
        <v>0</v>
      </c>
      <c r="T845" t="str">
        <f t="shared" si="125"/>
        <v>May-26</v>
      </c>
    </row>
    <row r="846" spans="1:20">
      <c r="A846" t="s">
        <v>1364</v>
      </c>
      <c r="B846" t="s">
        <v>70</v>
      </c>
      <c r="C846" t="s">
        <v>16</v>
      </c>
      <c r="D846">
        <v>684</v>
      </c>
      <c r="E846" s="4">
        <v>46137</v>
      </c>
      <c r="F846" s="4">
        <v>46143</v>
      </c>
      <c r="G846" s="4">
        <v>46141</v>
      </c>
      <c r="H846">
        <v>676</v>
      </c>
      <c r="I846" t="s">
        <v>1365</v>
      </c>
      <c r="J846">
        <v>2</v>
      </c>
      <c r="K846" t="s">
        <v>1563</v>
      </c>
      <c r="L846" t="str">
        <f t="shared" si="117"/>
        <v>Y</v>
      </c>
      <c r="M846" t="str">
        <f t="shared" si="118"/>
        <v>Y</v>
      </c>
      <c r="N846" t="str">
        <f t="shared" si="119"/>
        <v>Y</v>
      </c>
      <c r="O846">
        <f t="shared" si="120"/>
        <v>4</v>
      </c>
      <c r="P846" s="6">
        <f t="shared" si="121"/>
        <v>0.98830409356725146</v>
      </c>
      <c r="Q846" s="6">
        <f t="shared" si="122"/>
        <v>2.9585798816568047E-3</v>
      </c>
      <c r="R846">
        <f t="shared" si="123"/>
        <v>1</v>
      </c>
      <c r="S846">
        <f t="shared" si="124"/>
        <v>0</v>
      </c>
      <c r="T846" t="str">
        <f t="shared" si="125"/>
        <v>Apr-26</v>
      </c>
    </row>
    <row r="847" spans="1:20">
      <c r="A847" t="s">
        <v>1366</v>
      </c>
      <c r="B847" t="s">
        <v>22</v>
      </c>
      <c r="C847" t="s">
        <v>12</v>
      </c>
      <c r="D847">
        <v>760</v>
      </c>
      <c r="E847" s="4">
        <v>46052</v>
      </c>
      <c r="F847" s="4">
        <v>46062</v>
      </c>
      <c r="G847" s="4">
        <v>46063</v>
      </c>
      <c r="H847">
        <v>771</v>
      </c>
      <c r="I847" t="s">
        <v>625</v>
      </c>
      <c r="J847">
        <v>15</v>
      </c>
      <c r="K847" t="s">
        <v>1563</v>
      </c>
      <c r="L847" t="str">
        <f t="shared" si="117"/>
        <v>N</v>
      </c>
      <c r="M847" t="str">
        <f t="shared" si="118"/>
        <v>Y</v>
      </c>
      <c r="N847" t="str">
        <f t="shared" si="119"/>
        <v>N</v>
      </c>
      <c r="O847">
        <f t="shared" si="120"/>
        <v>11</v>
      </c>
      <c r="P847" s="6">
        <f t="shared" si="121"/>
        <v>1.0144736842105264</v>
      </c>
      <c r="Q847" s="6">
        <f t="shared" si="122"/>
        <v>1.9455252918287938E-2</v>
      </c>
      <c r="R847">
        <f t="shared" si="123"/>
        <v>0</v>
      </c>
      <c r="S847">
        <f t="shared" si="124"/>
        <v>1</v>
      </c>
      <c r="T847" t="str">
        <f t="shared" si="125"/>
        <v>Feb-26</v>
      </c>
    </row>
    <row r="848" spans="1:20">
      <c r="A848" t="s">
        <v>1367</v>
      </c>
      <c r="B848" t="s">
        <v>19</v>
      </c>
      <c r="C848" t="s">
        <v>16</v>
      </c>
      <c r="D848">
        <v>482</v>
      </c>
      <c r="E848" s="4">
        <v>46174</v>
      </c>
      <c r="F848" s="4">
        <v>46189</v>
      </c>
      <c r="G848" s="4">
        <v>46188</v>
      </c>
      <c r="H848">
        <v>485</v>
      </c>
      <c r="I848" t="s">
        <v>978</v>
      </c>
      <c r="J848">
        <v>5</v>
      </c>
      <c r="K848" t="s">
        <v>1563</v>
      </c>
      <c r="L848" t="str">
        <f t="shared" si="117"/>
        <v>Y</v>
      </c>
      <c r="M848" t="str">
        <f t="shared" si="118"/>
        <v>Y</v>
      </c>
      <c r="N848" t="str">
        <f t="shared" si="119"/>
        <v>Y</v>
      </c>
      <c r="O848">
        <f t="shared" si="120"/>
        <v>14</v>
      </c>
      <c r="P848" s="6">
        <f t="shared" si="121"/>
        <v>1.0062240663900415</v>
      </c>
      <c r="Q848" s="6">
        <f t="shared" si="122"/>
        <v>1.0309278350515464E-2</v>
      </c>
      <c r="R848">
        <f t="shared" si="123"/>
        <v>1</v>
      </c>
      <c r="S848">
        <f t="shared" si="124"/>
        <v>0</v>
      </c>
      <c r="T848" t="str">
        <f t="shared" si="125"/>
        <v>Jun-26</v>
      </c>
    </row>
    <row r="849" spans="1:20">
      <c r="A849" t="s">
        <v>1368</v>
      </c>
      <c r="B849" t="s">
        <v>22</v>
      </c>
      <c r="C849" t="s">
        <v>12</v>
      </c>
      <c r="D849">
        <v>750</v>
      </c>
      <c r="E849" s="4">
        <v>46136</v>
      </c>
      <c r="F849" s="4">
        <v>46143</v>
      </c>
      <c r="G849" s="4">
        <v>46147</v>
      </c>
      <c r="H849">
        <v>747</v>
      </c>
      <c r="I849" t="s">
        <v>700</v>
      </c>
      <c r="J849">
        <v>58</v>
      </c>
      <c r="K849" t="s">
        <v>1563</v>
      </c>
      <c r="L849" t="str">
        <f t="shared" si="117"/>
        <v>N</v>
      </c>
      <c r="M849" t="str">
        <f t="shared" si="118"/>
        <v>Y</v>
      </c>
      <c r="N849" t="str">
        <f t="shared" si="119"/>
        <v>N</v>
      </c>
      <c r="O849">
        <f t="shared" si="120"/>
        <v>11</v>
      </c>
      <c r="P849" s="6">
        <f t="shared" si="121"/>
        <v>0.996</v>
      </c>
      <c r="Q849" s="6">
        <f t="shared" si="122"/>
        <v>7.7643908969210168E-2</v>
      </c>
      <c r="R849">
        <f t="shared" si="123"/>
        <v>0</v>
      </c>
      <c r="S849">
        <f t="shared" si="124"/>
        <v>4</v>
      </c>
      <c r="T849" t="str">
        <f t="shared" si="125"/>
        <v>May-26</v>
      </c>
    </row>
    <row r="850" spans="1:20">
      <c r="A850" t="s">
        <v>1369</v>
      </c>
      <c r="B850" t="s">
        <v>11</v>
      </c>
      <c r="C850" t="s">
        <v>12</v>
      </c>
      <c r="D850">
        <v>487</v>
      </c>
      <c r="E850" s="4">
        <v>46155</v>
      </c>
      <c r="F850" s="4">
        <v>46162</v>
      </c>
      <c r="G850" s="4">
        <v>46163</v>
      </c>
      <c r="H850">
        <v>492</v>
      </c>
      <c r="I850" t="s">
        <v>1370</v>
      </c>
      <c r="J850">
        <v>7</v>
      </c>
      <c r="K850" t="s">
        <v>1563</v>
      </c>
      <c r="L850" t="str">
        <f t="shared" si="117"/>
        <v>N</v>
      </c>
      <c r="M850" t="str">
        <f t="shared" si="118"/>
        <v>Y</v>
      </c>
      <c r="N850" t="str">
        <f t="shared" si="119"/>
        <v>N</v>
      </c>
      <c r="O850">
        <f t="shared" si="120"/>
        <v>8</v>
      </c>
      <c r="P850" s="6">
        <f t="shared" si="121"/>
        <v>1.0102669404517455</v>
      </c>
      <c r="Q850" s="6">
        <f t="shared" si="122"/>
        <v>1.4227642276422764E-2</v>
      </c>
      <c r="R850">
        <f t="shared" si="123"/>
        <v>0</v>
      </c>
      <c r="S850">
        <f t="shared" si="124"/>
        <v>1</v>
      </c>
      <c r="T850" t="str">
        <f t="shared" si="125"/>
        <v>May-26</v>
      </c>
    </row>
    <row r="851" spans="1:20">
      <c r="A851" t="s">
        <v>1371</v>
      </c>
      <c r="B851" t="s">
        <v>49</v>
      </c>
      <c r="C851" t="s">
        <v>12</v>
      </c>
      <c r="D851">
        <v>226</v>
      </c>
      <c r="E851" s="4">
        <v>46100</v>
      </c>
      <c r="F851" s="4">
        <v>46113</v>
      </c>
      <c r="G851" s="4">
        <v>46112</v>
      </c>
      <c r="H851">
        <v>228</v>
      </c>
      <c r="I851" t="s">
        <v>807</v>
      </c>
      <c r="J851">
        <v>1</v>
      </c>
      <c r="K851" t="s">
        <v>1563</v>
      </c>
      <c r="L851" t="str">
        <f t="shared" si="117"/>
        <v>Y</v>
      </c>
      <c r="M851" t="str">
        <f t="shared" si="118"/>
        <v>Y</v>
      </c>
      <c r="N851" t="str">
        <f t="shared" si="119"/>
        <v>Y</v>
      </c>
      <c r="O851">
        <f t="shared" si="120"/>
        <v>12</v>
      </c>
      <c r="P851" s="6">
        <f t="shared" si="121"/>
        <v>1.0088495575221239</v>
      </c>
      <c r="Q851" s="6">
        <f t="shared" si="122"/>
        <v>4.3859649122807015E-3</v>
      </c>
      <c r="R851">
        <f t="shared" si="123"/>
        <v>1</v>
      </c>
      <c r="S851">
        <f t="shared" si="124"/>
        <v>0</v>
      </c>
      <c r="T851" t="str">
        <f t="shared" si="125"/>
        <v>Mar-26</v>
      </c>
    </row>
    <row r="852" spans="1:20">
      <c r="A852" t="s">
        <v>1372</v>
      </c>
      <c r="B852" t="s">
        <v>100</v>
      </c>
      <c r="C852" t="s">
        <v>16</v>
      </c>
      <c r="D852">
        <v>992</v>
      </c>
      <c r="E852" s="4">
        <v>46063</v>
      </c>
      <c r="F852" s="4">
        <v>46077</v>
      </c>
      <c r="G852" s="4">
        <v>46077</v>
      </c>
      <c r="H852">
        <v>1007</v>
      </c>
      <c r="I852" t="s">
        <v>1373</v>
      </c>
      <c r="J852">
        <v>19</v>
      </c>
      <c r="K852" t="s">
        <v>1563</v>
      </c>
      <c r="L852" t="str">
        <f t="shared" si="117"/>
        <v>Y</v>
      </c>
      <c r="M852" t="str">
        <f t="shared" si="118"/>
        <v>Y</v>
      </c>
      <c r="N852" t="str">
        <f t="shared" si="119"/>
        <v>Y</v>
      </c>
      <c r="O852">
        <f t="shared" si="120"/>
        <v>14</v>
      </c>
      <c r="P852" s="6">
        <f t="shared" si="121"/>
        <v>1.0151209677419355</v>
      </c>
      <c r="Q852" s="6">
        <f t="shared" si="122"/>
        <v>1.8867924528301886E-2</v>
      </c>
      <c r="R852">
        <f t="shared" si="123"/>
        <v>1</v>
      </c>
      <c r="S852">
        <f t="shared" si="124"/>
        <v>0</v>
      </c>
      <c r="T852" t="str">
        <f t="shared" si="125"/>
        <v>Feb-26</v>
      </c>
    </row>
    <row r="853" spans="1:20">
      <c r="A853" t="s">
        <v>1374</v>
      </c>
      <c r="B853" t="s">
        <v>70</v>
      </c>
      <c r="C853" t="s">
        <v>16</v>
      </c>
      <c r="D853">
        <v>735</v>
      </c>
      <c r="E853" s="4">
        <v>46102</v>
      </c>
      <c r="F853" s="4">
        <v>46116</v>
      </c>
      <c r="G853" s="4">
        <v>46122</v>
      </c>
      <c r="H853">
        <v>603</v>
      </c>
      <c r="I853" t="s">
        <v>650</v>
      </c>
      <c r="J853">
        <v>1</v>
      </c>
      <c r="K853" t="s">
        <v>1563</v>
      </c>
      <c r="L853" t="str">
        <f t="shared" si="117"/>
        <v>N</v>
      </c>
      <c r="M853" t="str">
        <f t="shared" si="118"/>
        <v>N</v>
      </c>
      <c r="N853" t="str">
        <f t="shared" si="119"/>
        <v>N</v>
      </c>
      <c r="O853">
        <f t="shared" si="120"/>
        <v>20</v>
      </c>
      <c r="P853" s="6">
        <f t="shared" si="121"/>
        <v>0.82040816326530608</v>
      </c>
      <c r="Q853" s="6">
        <f t="shared" si="122"/>
        <v>1.658374792703151E-3</v>
      </c>
      <c r="R853">
        <f t="shared" si="123"/>
        <v>0</v>
      </c>
      <c r="S853">
        <f t="shared" si="124"/>
        <v>6</v>
      </c>
      <c r="T853" t="str">
        <f t="shared" si="125"/>
        <v>Apr-26</v>
      </c>
    </row>
    <row r="854" spans="1:20">
      <c r="A854" t="s">
        <v>1375</v>
      </c>
      <c r="B854" t="s">
        <v>70</v>
      </c>
      <c r="C854" t="s">
        <v>23</v>
      </c>
      <c r="D854">
        <v>432</v>
      </c>
      <c r="E854" s="4">
        <v>46099</v>
      </c>
      <c r="F854" s="4">
        <v>46111</v>
      </c>
      <c r="G854" s="4">
        <v>46120</v>
      </c>
      <c r="H854">
        <v>431</v>
      </c>
      <c r="I854" t="s">
        <v>1376</v>
      </c>
      <c r="J854">
        <v>9</v>
      </c>
      <c r="K854" t="s">
        <v>1563</v>
      </c>
      <c r="L854" t="str">
        <f t="shared" si="117"/>
        <v>N</v>
      </c>
      <c r="M854" t="str">
        <f t="shared" si="118"/>
        <v>Y</v>
      </c>
      <c r="N854" t="str">
        <f t="shared" si="119"/>
        <v>N</v>
      </c>
      <c r="O854">
        <f t="shared" si="120"/>
        <v>21</v>
      </c>
      <c r="P854" s="6">
        <f t="shared" si="121"/>
        <v>0.99768518518518523</v>
      </c>
      <c r="Q854" s="6">
        <f t="shared" si="122"/>
        <v>2.0881670533642691E-2</v>
      </c>
      <c r="R854">
        <f t="shared" si="123"/>
        <v>0</v>
      </c>
      <c r="S854">
        <f t="shared" si="124"/>
        <v>9</v>
      </c>
      <c r="T854" t="str">
        <f t="shared" si="125"/>
        <v>Apr-26</v>
      </c>
    </row>
    <row r="855" spans="1:20">
      <c r="A855" t="s">
        <v>1377</v>
      </c>
      <c r="B855" t="s">
        <v>43</v>
      </c>
      <c r="C855" t="s">
        <v>16</v>
      </c>
      <c r="D855">
        <v>737</v>
      </c>
      <c r="E855" s="4">
        <v>46154</v>
      </c>
      <c r="F855" s="4">
        <v>46162</v>
      </c>
      <c r="G855" s="4">
        <v>46161</v>
      </c>
      <c r="H855">
        <v>729</v>
      </c>
      <c r="I855" t="s">
        <v>1160</v>
      </c>
      <c r="J855">
        <v>32</v>
      </c>
      <c r="K855" t="s">
        <v>1563</v>
      </c>
      <c r="L855" t="str">
        <f t="shared" si="117"/>
        <v>Y</v>
      </c>
      <c r="M855" t="str">
        <f t="shared" si="118"/>
        <v>Y</v>
      </c>
      <c r="N855" t="str">
        <f t="shared" si="119"/>
        <v>Y</v>
      </c>
      <c r="O855">
        <f t="shared" si="120"/>
        <v>7</v>
      </c>
      <c r="P855" s="6">
        <f t="shared" si="121"/>
        <v>0.98914518317503397</v>
      </c>
      <c r="Q855" s="6">
        <f t="shared" si="122"/>
        <v>4.38957475994513E-2</v>
      </c>
      <c r="R855">
        <f t="shared" si="123"/>
        <v>1</v>
      </c>
      <c r="S855">
        <f t="shared" si="124"/>
        <v>0</v>
      </c>
      <c r="T855" t="str">
        <f t="shared" si="125"/>
        <v>May-26</v>
      </c>
    </row>
    <row r="856" spans="1:20">
      <c r="A856" t="s">
        <v>1378</v>
      </c>
      <c r="B856" t="s">
        <v>54</v>
      </c>
      <c r="C856" t="s">
        <v>12</v>
      </c>
      <c r="D856">
        <v>391</v>
      </c>
      <c r="E856" s="4">
        <v>46176</v>
      </c>
      <c r="F856" s="4">
        <v>46185</v>
      </c>
      <c r="G856" s="4">
        <v>46189</v>
      </c>
      <c r="H856">
        <v>386</v>
      </c>
      <c r="I856" t="s">
        <v>520</v>
      </c>
      <c r="J856">
        <v>8</v>
      </c>
      <c r="K856" t="s">
        <v>1563</v>
      </c>
      <c r="L856" t="str">
        <f t="shared" si="117"/>
        <v>N</v>
      </c>
      <c r="M856" t="str">
        <f t="shared" si="118"/>
        <v>Y</v>
      </c>
      <c r="N856" t="str">
        <f t="shared" si="119"/>
        <v>N</v>
      </c>
      <c r="O856">
        <f t="shared" si="120"/>
        <v>13</v>
      </c>
      <c r="P856" s="6">
        <f t="shared" si="121"/>
        <v>0.98721227621483376</v>
      </c>
      <c r="Q856" s="6">
        <f t="shared" si="122"/>
        <v>2.072538860103627E-2</v>
      </c>
      <c r="R856">
        <f t="shared" si="123"/>
        <v>0</v>
      </c>
      <c r="S856">
        <f t="shared" si="124"/>
        <v>4</v>
      </c>
      <c r="T856" t="str">
        <f t="shared" si="125"/>
        <v>Jun-26</v>
      </c>
    </row>
    <row r="857" spans="1:20">
      <c r="A857" t="s">
        <v>1379</v>
      </c>
      <c r="B857" t="s">
        <v>11</v>
      </c>
      <c r="C857" t="s">
        <v>16</v>
      </c>
      <c r="D857">
        <v>314</v>
      </c>
      <c r="E857" s="4">
        <v>46112</v>
      </c>
      <c r="F857" s="4">
        <v>46122</v>
      </c>
      <c r="G857" s="4">
        <v>46122</v>
      </c>
      <c r="H857">
        <v>260</v>
      </c>
      <c r="I857" t="s">
        <v>1380</v>
      </c>
      <c r="J857">
        <v>1</v>
      </c>
      <c r="K857" t="s">
        <v>1563</v>
      </c>
      <c r="L857" t="str">
        <f t="shared" si="117"/>
        <v>Y</v>
      </c>
      <c r="M857" t="str">
        <f t="shared" si="118"/>
        <v>N</v>
      </c>
      <c r="N857" t="str">
        <f t="shared" si="119"/>
        <v>N</v>
      </c>
      <c r="O857">
        <f t="shared" si="120"/>
        <v>10</v>
      </c>
      <c r="P857" s="6">
        <f t="shared" si="121"/>
        <v>0.82802547770700641</v>
      </c>
      <c r="Q857" s="6">
        <f t="shared" si="122"/>
        <v>3.8461538461538464E-3</v>
      </c>
      <c r="R857">
        <f t="shared" si="123"/>
        <v>0</v>
      </c>
      <c r="S857">
        <f t="shared" si="124"/>
        <v>0</v>
      </c>
      <c r="T857" t="str">
        <f t="shared" si="125"/>
        <v>Apr-26</v>
      </c>
    </row>
    <row r="858" spans="1:20">
      <c r="A858" t="s">
        <v>1381</v>
      </c>
      <c r="B858" t="s">
        <v>43</v>
      </c>
      <c r="C858" t="s">
        <v>23</v>
      </c>
      <c r="D858">
        <v>627</v>
      </c>
      <c r="E858" s="4">
        <v>46036</v>
      </c>
      <c r="F858" s="4">
        <v>46042</v>
      </c>
      <c r="G858" s="4">
        <v>46050</v>
      </c>
      <c r="H858">
        <v>636</v>
      </c>
      <c r="I858" t="s">
        <v>1382</v>
      </c>
      <c r="J858">
        <v>15</v>
      </c>
      <c r="K858" t="s">
        <v>1563</v>
      </c>
      <c r="L858" t="str">
        <f t="shared" si="117"/>
        <v>N</v>
      </c>
      <c r="M858" t="str">
        <f t="shared" si="118"/>
        <v>Y</v>
      </c>
      <c r="N858" t="str">
        <f t="shared" si="119"/>
        <v>N</v>
      </c>
      <c r="O858">
        <f t="shared" si="120"/>
        <v>14</v>
      </c>
      <c r="P858" s="6">
        <f t="shared" si="121"/>
        <v>1.0143540669856459</v>
      </c>
      <c r="Q858" s="6">
        <f t="shared" si="122"/>
        <v>2.358490566037736E-2</v>
      </c>
      <c r="R858">
        <f t="shared" si="123"/>
        <v>0</v>
      </c>
      <c r="S858">
        <f t="shared" si="124"/>
        <v>8</v>
      </c>
      <c r="T858" t="str">
        <f t="shared" si="125"/>
        <v>Jan-26</v>
      </c>
    </row>
    <row r="859" spans="1:20">
      <c r="A859" t="s">
        <v>1383</v>
      </c>
      <c r="B859" t="s">
        <v>29</v>
      </c>
      <c r="C859" t="s">
        <v>16</v>
      </c>
      <c r="D859">
        <v>495</v>
      </c>
      <c r="E859" s="4">
        <v>46068</v>
      </c>
      <c r="F859" s="4">
        <v>46082</v>
      </c>
      <c r="G859" s="4">
        <v>46079</v>
      </c>
      <c r="H859">
        <v>501</v>
      </c>
      <c r="I859" t="s">
        <v>1227</v>
      </c>
      <c r="J859">
        <v>2</v>
      </c>
      <c r="K859" t="s">
        <v>1563</v>
      </c>
      <c r="L859" t="str">
        <f t="shared" si="117"/>
        <v>Y</v>
      </c>
      <c r="M859" t="str">
        <f t="shared" si="118"/>
        <v>Y</v>
      </c>
      <c r="N859" t="str">
        <f t="shared" si="119"/>
        <v>Y</v>
      </c>
      <c r="O859">
        <f t="shared" si="120"/>
        <v>11</v>
      </c>
      <c r="P859" s="6">
        <f t="shared" si="121"/>
        <v>1.0121212121212122</v>
      </c>
      <c r="Q859" s="6">
        <f t="shared" si="122"/>
        <v>3.9920159680638719E-3</v>
      </c>
      <c r="R859">
        <f t="shared" si="123"/>
        <v>1</v>
      </c>
      <c r="S859">
        <f t="shared" si="124"/>
        <v>0</v>
      </c>
      <c r="T859" t="str">
        <f t="shared" si="125"/>
        <v>Feb-26</v>
      </c>
    </row>
    <row r="860" spans="1:20">
      <c r="A860" t="s">
        <v>1384</v>
      </c>
      <c r="B860" t="s">
        <v>67</v>
      </c>
      <c r="C860" t="s">
        <v>12</v>
      </c>
      <c r="D860">
        <v>869</v>
      </c>
      <c r="E860" s="4">
        <v>46061</v>
      </c>
      <c r="F860" s="4">
        <v>46070</v>
      </c>
      <c r="G860" s="4"/>
      <c r="I860" t="s">
        <v>204</v>
      </c>
      <c r="K860" t="s">
        <v>1565</v>
      </c>
      <c r="L860" t="str">
        <f t="shared" si="117"/>
        <v>N/A</v>
      </c>
      <c r="M860" t="str">
        <f t="shared" si="118"/>
        <v>N/A</v>
      </c>
      <c r="N860" t="str">
        <f t="shared" si="119"/>
        <v>N/A</v>
      </c>
      <c r="O860" t="str">
        <f t="shared" si="120"/>
        <v>N/A</v>
      </c>
      <c r="P860" s="6" t="str">
        <f t="shared" si="121"/>
        <v>N/A</v>
      </c>
      <c r="Q860" s="6" t="str">
        <f t="shared" si="122"/>
        <v>N/A</v>
      </c>
      <c r="R860" t="str">
        <f t="shared" si="123"/>
        <v/>
      </c>
      <c r="S860" t="str">
        <f t="shared" si="124"/>
        <v>N/A</v>
      </c>
      <c r="T860" t="str">
        <f t="shared" si="125"/>
        <v>N/A</v>
      </c>
    </row>
    <row r="861" spans="1:20">
      <c r="A861" t="s">
        <v>1385</v>
      </c>
      <c r="B861" t="s">
        <v>64</v>
      </c>
      <c r="C861" t="s">
        <v>23</v>
      </c>
      <c r="D861">
        <v>332</v>
      </c>
      <c r="E861" s="4">
        <v>46081</v>
      </c>
      <c r="F861" s="4">
        <v>46087</v>
      </c>
      <c r="G861" s="4">
        <v>46088</v>
      </c>
      <c r="H861">
        <v>338</v>
      </c>
      <c r="I861" t="s">
        <v>1387</v>
      </c>
      <c r="J861">
        <v>25</v>
      </c>
      <c r="K861" t="s">
        <v>1563</v>
      </c>
      <c r="L861" t="str">
        <f t="shared" si="117"/>
        <v>N</v>
      </c>
      <c r="M861" t="str">
        <f t="shared" si="118"/>
        <v>Y</v>
      </c>
      <c r="N861" t="str">
        <f t="shared" si="119"/>
        <v>N</v>
      </c>
      <c r="O861">
        <f t="shared" si="120"/>
        <v>7</v>
      </c>
      <c r="P861" s="6">
        <f t="shared" si="121"/>
        <v>1.0180722891566265</v>
      </c>
      <c r="Q861" s="6">
        <f t="shared" si="122"/>
        <v>7.3964497041420121E-2</v>
      </c>
      <c r="R861">
        <f t="shared" si="123"/>
        <v>0</v>
      </c>
      <c r="S861">
        <f t="shared" si="124"/>
        <v>1</v>
      </c>
      <c r="T861" t="str">
        <f t="shared" si="125"/>
        <v>Mar-26</v>
      </c>
    </row>
    <row r="862" spans="1:20">
      <c r="A862" t="s">
        <v>1388</v>
      </c>
      <c r="B862" t="s">
        <v>120</v>
      </c>
      <c r="C862" t="s">
        <v>12</v>
      </c>
      <c r="D862">
        <v>427</v>
      </c>
      <c r="E862" s="4">
        <v>46102</v>
      </c>
      <c r="F862" s="4">
        <v>46109</v>
      </c>
      <c r="G862" s="4">
        <v>46107</v>
      </c>
      <c r="H862">
        <v>359</v>
      </c>
      <c r="I862" t="s">
        <v>1098</v>
      </c>
      <c r="J862">
        <v>6</v>
      </c>
      <c r="K862" t="s">
        <v>1563</v>
      </c>
      <c r="L862" t="str">
        <f t="shared" si="117"/>
        <v>Y</v>
      </c>
      <c r="M862" t="str">
        <f t="shared" si="118"/>
        <v>N</v>
      </c>
      <c r="N862" t="str">
        <f t="shared" si="119"/>
        <v>N</v>
      </c>
      <c r="O862">
        <f t="shared" si="120"/>
        <v>5</v>
      </c>
      <c r="P862" s="6">
        <f t="shared" si="121"/>
        <v>0.84074941451990637</v>
      </c>
      <c r="Q862" s="6">
        <f t="shared" si="122"/>
        <v>1.6713091922005572E-2</v>
      </c>
      <c r="R862">
        <f t="shared" si="123"/>
        <v>0</v>
      </c>
      <c r="S862">
        <f t="shared" si="124"/>
        <v>0</v>
      </c>
      <c r="T862" t="str">
        <f t="shared" si="125"/>
        <v>Mar-26</v>
      </c>
    </row>
    <row r="863" spans="1:20">
      <c r="A863" t="s">
        <v>1389</v>
      </c>
      <c r="B863" t="s">
        <v>32</v>
      </c>
      <c r="C863" t="s">
        <v>12</v>
      </c>
      <c r="D863">
        <v>914</v>
      </c>
      <c r="E863" s="4">
        <v>46147</v>
      </c>
      <c r="F863" s="4">
        <v>46159</v>
      </c>
      <c r="G863" s="4">
        <v>46158</v>
      </c>
      <c r="H863">
        <v>910</v>
      </c>
      <c r="I863" t="s">
        <v>175</v>
      </c>
      <c r="J863">
        <v>63</v>
      </c>
      <c r="K863" t="s">
        <v>1563</v>
      </c>
      <c r="L863" t="str">
        <f t="shared" si="117"/>
        <v>Y</v>
      </c>
      <c r="M863" t="str">
        <f t="shared" si="118"/>
        <v>Y</v>
      </c>
      <c r="N863" t="str">
        <f t="shared" si="119"/>
        <v>Y</v>
      </c>
      <c r="O863">
        <f t="shared" si="120"/>
        <v>11</v>
      </c>
      <c r="P863" s="6">
        <f t="shared" si="121"/>
        <v>0.99562363238512031</v>
      </c>
      <c r="Q863" s="6">
        <f t="shared" si="122"/>
        <v>6.9230769230769235E-2</v>
      </c>
      <c r="R863">
        <f t="shared" si="123"/>
        <v>1</v>
      </c>
      <c r="S863">
        <f t="shared" si="124"/>
        <v>0</v>
      </c>
      <c r="T863" t="str">
        <f t="shared" si="125"/>
        <v>May-26</v>
      </c>
    </row>
    <row r="864" spans="1:20">
      <c r="A864" t="s">
        <v>1390</v>
      </c>
      <c r="B864" t="s">
        <v>43</v>
      </c>
      <c r="C864" t="s">
        <v>16</v>
      </c>
      <c r="D864">
        <v>517</v>
      </c>
      <c r="E864" s="4">
        <v>46092</v>
      </c>
      <c r="F864" s="4">
        <v>46100</v>
      </c>
      <c r="G864" s="4">
        <v>46100</v>
      </c>
      <c r="H864">
        <v>519</v>
      </c>
      <c r="I864" t="s">
        <v>484</v>
      </c>
      <c r="J864">
        <v>26</v>
      </c>
      <c r="K864" t="s">
        <v>1563</v>
      </c>
      <c r="L864" t="str">
        <f t="shared" si="117"/>
        <v>Y</v>
      </c>
      <c r="M864" t="str">
        <f t="shared" si="118"/>
        <v>Y</v>
      </c>
      <c r="N864" t="str">
        <f t="shared" si="119"/>
        <v>Y</v>
      </c>
      <c r="O864">
        <f t="shared" si="120"/>
        <v>8</v>
      </c>
      <c r="P864" s="6">
        <f t="shared" si="121"/>
        <v>1.0038684719535784</v>
      </c>
      <c r="Q864" s="6">
        <f t="shared" si="122"/>
        <v>5.0096339113680152E-2</v>
      </c>
      <c r="R864">
        <f t="shared" si="123"/>
        <v>1</v>
      </c>
      <c r="S864">
        <f t="shared" si="124"/>
        <v>0</v>
      </c>
      <c r="T864" t="str">
        <f t="shared" si="125"/>
        <v>Mar-26</v>
      </c>
    </row>
    <row r="865" spans="1:20">
      <c r="A865" t="s">
        <v>1391</v>
      </c>
      <c r="B865" t="s">
        <v>22</v>
      </c>
      <c r="C865" t="s">
        <v>23</v>
      </c>
      <c r="D865">
        <v>833</v>
      </c>
      <c r="E865" s="4">
        <v>46080</v>
      </c>
      <c r="F865" s="4">
        <v>46088</v>
      </c>
      <c r="G865" s="4">
        <v>46088</v>
      </c>
      <c r="H865">
        <v>840</v>
      </c>
      <c r="I865" t="s">
        <v>726</v>
      </c>
      <c r="J865">
        <v>28</v>
      </c>
      <c r="K865" t="s">
        <v>1563</v>
      </c>
      <c r="L865" t="str">
        <f t="shared" si="117"/>
        <v>Y</v>
      </c>
      <c r="M865" t="str">
        <f t="shared" si="118"/>
        <v>Y</v>
      </c>
      <c r="N865" t="str">
        <f t="shared" si="119"/>
        <v>Y</v>
      </c>
      <c r="O865">
        <f t="shared" si="120"/>
        <v>8</v>
      </c>
      <c r="P865" s="6">
        <f t="shared" si="121"/>
        <v>1.0084033613445378</v>
      </c>
      <c r="Q865" s="6">
        <f t="shared" si="122"/>
        <v>3.3333333333333333E-2</v>
      </c>
      <c r="R865">
        <f t="shared" si="123"/>
        <v>1</v>
      </c>
      <c r="S865">
        <f t="shared" si="124"/>
        <v>0</v>
      </c>
      <c r="T865" t="str">
        <f t="shared" si="125"/>
        <v>Mar-26</v>
      </c>
    </row>
    <row r="866" spans="1:20">
      <c r="A866" t="s">
        <v>1392</v>
      </c>
      <c r="B866" t="s">
        <v>70</v>
      </c>
      <c r="C866" t="s">
        <v>12</v>
      </c>
      <c r="D866">
        <v>771</v>
      </c>
      <c r="E866" s="4">
        <v>46157</v>
      </c>
      <c r="F866" s="4">
        <v>46164</v>
      </c>
      <c r="G866" s="4">
        <v>46164</v>
      </c>
      <c r="H866">
        <v>756</v>
      </c>
      <c r="I866" t="s">
        <v>129</v>
      </c>
      <c r="J866">
        <v>12</v>
      </c>
      <c r="K866" t="s">
        <v>1563</v>
      </c>
      <c r="L866" t="str">
        <f t="shared" si="117"/>
        <v>Y</v>
      </c>
      <c r="M866" t="str">
        <f t="shared" si="118"/>
        <v>Y</v>
      </c>
      <c r="N866" t="str">
        <f t="shared" si="119"/>
        <v>Y</v>
      </c>
      <c r="O866">
        <f t="shared" si="120"/>
        <v>7</v>
      </c>
      <c r="P866" s="6">
        <f t="shared" si="121"/>
        <v>0.98054474708171202</v>
      </c>
      <c r="Q866" s="6">
        <f t="shared" si="122"/>
        <v>1.5873015873015872E-2</v>
      </c>
      <c r="R866">
        <f t="shared" si="123"/>
        <v>1</v>
      </c>
      <c r="S866">
        <f t="shared" si="124"/>
        <v>0</v>
      </c>
      <c r="T866" t="str">
        <f t="shared" si="125"/>
        <v>May-26</v>
      </c>
    </row>
    <row r="867" spans="1:20">
      <c r="A867" t="s">
        <v>1393</v>
      </c>
      <c r="B867" t="s">
        <v>70</v>
      </c>
      <c r="C867" t="s">
        <v>16</v>
      </c>
      <c r="D867">
        <v>963</v>
      </c>
      <c r="E867" s="4">
        <v>46042</v>
      </c>
      <c r="F867" s="4">
        <v>46048</v>
      </c>
      <c r="G867" s="4">
        <v>46055</v>
      </c>
      <c r="H867">
        <v>979</v>
      </c>
      <c r="I867" t="s">
        <v>643</v>
      </c>
      <c r="J867">
        <v>20</v>
      </c>
      <c r="K867" t="s">
        <v>1563</v>
      </c>
      <c r="L867" t="str">
        <f t="shared" si="117"/>
        <v>N</v>
      </c>
      <c r="M867" t="str">
        <f t="shared" si="118"/>
        <v>Y</v>
      </c>
      <c r="N867" t="str">
        <f t="shared" si="119"/>
        <v>N</v>
      </c>
      <c r="O867">
        <f t="shared" si="120"/>
        <v>13</v>
      </c>
      <c r="P867" s="6">
        <f t="shared" si="121"/>
        <v>1.0166147455867083</v>
      </c>
      <c r="Q867" s="6">
        <f t="shared" si="122"/>
        <v>2.0429009193054137E-2</v>
      </c>
      <c r="R867">
        <f t="shared" si="123"/>
        <v>0</v>
      </c>
      <c r="S867">
        <f t="shared" si="124"/>
        <v>7</v>
      </c>
      <c r="T867" t="str">
        <f t="shared" si="125"/>
        <v>Feb-26</v>
      </c>
    </row>
    <row r="868" spans="1:20">
      <c r="A868" t="s">
        <v>1394</v>
      </c>
      <c r="B868" t="s">
        <v>54</v>
      </c>
      <c r="C868" t="s">
        <v>16</v>
      </c>
      <c r="D868">
        <v>284</v>
      </c>
      <c r="E868" s="4">
        <v>46152</v>
      </c>
      <c r="F868" s="4">
        <v>46166</v>
      </c>
      <c r="G868" s="4">
        <v>46173</v>
      </c>
      <c r="H868">
        <v>282</v>
      </c>
      <c r="I868" t="s">
        <v>277</v>
      </c>
      <c r="J868">
        <v>2</v>
      </c>
      <c r="K868" t="s">
        <v>1563</v>
      </c>
      <c r="L868" t="str">
        <f t="shared" si="117"/>
        <v>N</v>
      </c>
      <c r="M868" t="str">
        <f t="shared" si="118"/>
        <v>Y</v>
      </c>
      <c r="N868" t="str">
        <f t="shared" si="119"/>
        <v>N</v>
      </c>
      <c r="O868">
        <f t="shared" si="120"/>
        <v>21</v>
      </c>
      <c r="P868" s="6">
        <f t="shared" si="121"/>
        <v>0.99295774647887325</v>
      </c>
      <c r="Q868" s="6">
        <f t="shared" si="122"/>
        <v>7.0921985815602835E-3</v>
      </c>
      <c r="R868">
        <f t="shared" si="123"/>
        <v>0</v>
      </c>
      <c r="S868">
        <f t="shared" si="124"/>
        <v>7</v>
      </c>
      <c r="T868" t="str">
        <f t="shared" si="125"/>
        <v>May-26</v>
      </c>
    </row>
    <row r="869" spans="1:20">
      <c r="A869" t="s">
        <v>1395</v>
      </c>
      <c r="B869" t="s">
        <v>64</v>
      </c>
      <c r="C869" t="s">
        <v>16</v>
      </c>
      <c r="D869">
        <v>814</v>
      </c>
      <c r="E869" s="4">
        <v>46110</v>
      </c>
      <c r="F869" s="4">
        <v>46116</v>
      </c>
      <c r="G869" s="4">
        <v>46122</v>
      </c>
      <c r="H869">
        <v>819</v>
      </c>
      <c r="I869" t="s">
        <v>1396</v>
      </c>
      <c r="J869">
        <v>14</v>
      </c>
      <c r="K869" t="s">
        <v>1563</v>
      </c>
      <c r="L869" t="str">
        <f t="shared" si="117"/>
        <v>N</v>
      </c>
      <c r="M869" t="str">
        <f t="shared" si="118"/>
        <v>Y</v>
      </c>
      <c r="N869" t="str">
        <f t="shared" si="119"/>
        <v>N</v>
      </c>
      <c r="O869">
        <f t="shared" si="120"/>
        <v>12</v>
      </c>
      <c r="P869" s="6">
        <f t="shared" si="121"/>
        <v>1.0061425061425062</v>
      </c>
      <c r="Q869" s="6">
        <f t="shared" si="122"/>
        <v>1.7094017094017096E-2</v>
      </c>
      <c r="R869">
        <f t="shared" si="123"/>
        <v>0</v>
      </c>
      <c r="S869">
        <f t="shared" si="124"/>
        <v>6</v>
      </c>
      <c r="T869" t="str">
        <f t="shared" si="125"/>
        <v>Apr-26</v>
      </c>
    </row>
    <row r="870" spans="1:20">
      <c r="A870" t="s">
        <v>1397</v>
      </c>
      <c r="B870" t="s">
        <v>177</v>
      </c>
      <c r="C870" t="s">
        <v>12</v>
      </c>
      <c r="D870">
        <v>638</v>
      </c>
      <c r="E870" s="4">
        <v>46042</v>
      </c>
      <c r="F870" s="4">
        <v>46049</v>
      </c>
      <c r="G870" s="4">
        <v>46048</v>
      </c>
      <c r="H870">
        <v>627</v>
      </c>
      <c r="I870" t="s">
        <v>212</v>
      </c>
      <c r="J870">
        <v>32</v>
      </c>
      <c r="K870" t="s">
        <v>1563</v>
      </c>
      <c r="L870" t="str">
        <f t="shared" si="117"/>
        <v>Y</v>
      </c>
      <c r="M870" t="str">
        <f t="shared" si="118"/>
        <v>Y</v>
      </c>
      <c r="N870" t="str">
        <f t="shared" si="119"/>
        <v>Y</v>
      </c>
      <c r="O870">
        <f t="shared" si="120"/>
        <v>6</v>
      </c>
      <c r="P870" s="6">
        <f t="shared" si="121"/>
        <v>0.98275862068965514</v>
      </c>
      <c r="Q870" s="6">
        <f t="shared" si="122"/>
        <v>5.1036682615629984E-2</v>
      </c>
      <c r="R870">
        <f t="shared" si="123"/>
        <v>1</v>
      </c>
      <c r="S870">
        <f t="shared" si="124"/>
        <v>0</v>
      </c>
      <c r="T870" t="str">
        <f t="shared" si="125"/>
        <v>Jan-26</v>
      </c>
    </row>
    <row r="871" spans="1:20">
      <c r="A871" t="s">
        <v>1398</v>
      </c>
      <c r="B871" t="s">
        <v>46</v>
      </c>
      <c r="C871" t="s">
        <v>23</v>
      </c>
      <c r="D871">
        <v>879</v>
      </c>
      <c r="E871" s="4">
        <v>46091</v>
      </c>
      <c r="F871" s="4">
        <v>46098</v>
      </c>
      <c r="G871" s="4">
        <v>46096</v>
      </c>
      <c r="H871">
        <v>885</v>
      </c>
      <c r="I871" t="s">
        <v>878</v>
      </c>
      <c r="J871">
        <v>6</v>
      </c>
      <c r="K871" t="s">
        <v>1563</v>
      </c>
      <c r="L871" t="str">
        <f t="shared" si="117"/>
        <v>Y</v>
      </c>
      <c r="M871" t="str">
        <f t="shared" si="118"/>
        <v>Y</v>
      </c>
      <c r="N871" t="str">
        <f t="shared" si="119"/>
        <v>Y</v>
      </c>
      <c r="O871">
        <f t="shared" si="120"/>
        <v>5</v>
      </c>
      <c r="P871" s="6">
        <f t="shared" si="121"/>
        <v>1.006825938566553</v>
      </c>
      <c r="Q871" s="6">
        <f t="shared" si="122"/>
        <v>6.7796610169491523E-3</v>
      </c>
      <c r="R871">
        <f t="shared" si="123"/>
        <v>1</v>
      </c>
      <c r="S871">
        <f t="shared" si="124"/>
        <v>0</v>
      </c>
      <c r="T871" t="str">
        <f t="shared" si="125"/>
        <v>Mar-26</v>
      </c>
    </row>
    <row r="872" spans="1:20">
      <c r="A872" t="s">
        <v>1399</v>
      </c>
      <c r="B872" t="s">
        <v>54</v>
      </c>
      <c r="C872" t="s">
        <v>16</v>
      </c>
      <c r="D872">
        <v>151</v>
      </c>
      <c r="E872" s="4">
        <v>46090</v>
      </c>
      <c r="F872" s="4">
        <v>46095</v>
      </c>
      <c r="G872" s="4">
        <v>46093</v>
      </c>
      <c r="H872">
        <v>151</v>
      </c>
      <c r="I872" t="s">
        <v>1400</v>
      </c>
      <c r="J872">
        <v>2</v>
      </c>
      <c r="K872" t="s">
        <v>1563</v>
      </c>
      <c r="L872" t="str">
        <f t="shared" si="117"/>
        <v>Y</v>
      </c>
      <c r="M872" t="str">
        <f t="shared" si="118"/>
        <v>Y</v>
      </c>
      <c r="N872" t="str">
        <f t="shared" si="119"/>
        <v>Y</v>
      </c>
      <c r="O872">
        <f t="shared" si="120"/>
        <v>3</v>
      </c>
      <c r="P872" s="6">
        <f t="shared" si="121"/>
        <v>1</v>
      </c>
      <c r="Q872" s="6">
        <f t="shared" si="122"/>
        <v>1.3245033112582781E-2</v>
      </c>
      <c r="R872">
        <f t="shared" si="123"/>
        <v>1</v>
      </c>
      <c r="S872">
        <f t="shared" si="124"/>
        <v>0</v>
      </c>
      <c r="T872" t="str">
        <f t="shared" si="125"/>
        <v>Mar-26</v>
      </c>
    </row>
    <row r="873" spans="1:20">
      <c r="A873" t="s">
        <v>1401</v>
      </c>
      <c r="B873" t="s">
        <v>40</v>
      </c>
      <c r="C873" t="s">
        <v>23</v>
      </c>
      <c r="D873">
        <v>188</v>
      </c>
      <c r="E873" s="4">
        <v>46083</v>
      </c>
      <c r="F873" s="4">
        <v>46094</v>
      </c>
      <c r="G873" s="4">
        <v>46092</v>
      </c>
      <c r="H873">
        <v>168</v>
      </c>
      <c r="I873" t="s">
        <v>1402</v>
      </c>
      <c r="J873">
        <v>7</v>
      </c>
      <c r="K873" t="s">
        <v>1563</v>
      </c>
      <c r="L873" t="str">
        <f t="shared" si="117"/>
        <v>Y</v>
      </c>
      <c r="M873" t="str">
        <f t="shared" si="118"/>
        <v>N</v>
      </c>
      <c r="N873" t="str">
        <f t="shared" si="119"/>
        <v>N</v>
      </c>
      <c r="O873">
        <f t="shared" si="120"/>
        <v>9</v>
      </c>
      <c r="P873" s="6">
        <f t="shared" si="121"/>
        <v>0.8936170212765957</v>
      </c>
      <c r="Q873" s="6">
        <f t="shared" si="122"/>
        <v>4.1666666666666664E-2</v>
      </c>
      <c r="R873">
        <f t="shared" si="123"/>
        <v>0</v>
      </c>
      <c r="S873">
        <f t="shared" si="124"/>
        <v>0</v>
      </c>
      <c r="T873" t="str">
        <f t="shared" si="125"/>
        <v>Mar-26</v>
      </c>
    </row>
    <row r="874" spans="1:20">
      <c r="A874" t="s">
        <v>1403</v>
      </c>
      <c r="B874" t="s">
        <v>32</v>
      </c>
      <c r="C874" t="s">
        <v>16</v>
      </c>
      <c r="D874">
        <v>465</v>
      </c>
      <c r="E874" s="4">
        <v>46132</v>
      </c>
      <c r="F874" s="4">
        <v>46143</v>
      </c>
      <c r="G874" s="4">
        <v>46143</v>
      </c>
      <c r="H874">
        <v>382</v>
      </c>
      <c r="I874" t="s">
        <v>158</v>
      </c>
      <c r="J874">
        <v>28</v>
      </c>
      <c r="K874" t="s">
        <v>1563</v>
      </c>
      <c r="L874" t="str">
        <f t="shared" si="117"/>
        <v>Y</v>
      </c>
      <c r="M874" t="str">
        <f t="shared" si="118"/>
        <v>N</v>
      </c>
      <c r="N874" t="str">
        <f t="shared" si="119"/>
        <v>N</v>
      </c>
      <c r="O874">
        <f t="shared" si="120"/>
        <v>11</v>
      </c>
      <c r="P874" s="6">
        <f t="shared" si="121"/>
        <v>0.82150537634408605</v>
      </c>
      <c r="Q874" s="6">
        <f t="shared" si="122"/>
        <v>7.3298429319371722E-2</v>
      </c>
      <c r="R874">
        <f t="shared" si="123"/>
        <v>0</v>
      </c>
      <c r="S874">
        <f t="shared" si="124"/>
        <v>0</v>
      </c>
      <c r="T874" t="str">
        <f t="shared" si="125"/>
        <v>May-26</v>
      </c>
    </row>
    <row r="875" spans="1:20">
      <c r="A875" t="s">
        <v>1404</v>
      </c>
      <c r="B875" t="s">
        <v>64</v>
      </c>
      <c r="C875" t="s">
        <v>16</v>
      </c>
      <c r="D875">
        <v>393</v>
      </c>
      <c r="E875" s="4">
        <v>46083</v>
      </c>
      <c r="F875" s="4">
        <v>46092</v>
      </c>
      <c r="G875" s="4">
        <v>46089</v>
      </c>
      <c r="H875">
        <v>388</v>
      </c>
      <c r="I875" t="s">
        <v>1227</v>
      </c>
      <c r="J875">
        <v>18</v>
      </c>
      <c r="K875" t="s">
        <v>1563</v>
      </c>
      <c r="L875" t="str">
        <f t="shared" si="117"/>
        <v>Y</v>
      </c>
      <c r="M875" t="str">
        <f t="shared" si="118"/>
        <v>Y</v>
      </c>
      <c r="N875" t="str">
        <f t="shared" si="119"/>
        <v>Y</v>
      </c>
      <c r="O875">
        <f t="shared" si="120"/>
        <v>6</v>
      </c>
      <c r="P875" s="6">
        <f t="shared" si="121"/>
        <v>0.98727735368956748</v>
      </c>
      <c r="Q875" s="6">
        <f t="shared" si="122"/>
        <v>4.6391752577319589E-2</v>
      </c>
      <c r="R875">
        <f t="shared" si="123"/>
        <v>1</v>
      </c>
      <c r="S875">
        <f t="shared" si="124"/>
        <v>0</v>
      </c>
      <c r="T875" t="str">
        <f t="shared" si="125"/>
        <v>Mar-26</v>
      </c>
    </row>
    <row r="876" spans="1:20">
      <c r="A876" t="s">
        <v>1405</v>
      </c>
      <c r="B876" t="s">
        <v>49</v>
      </c>
      <c r="C876" t="s">
        <v>16</v>
      </c>
      <c r="D876">
        <v>298</v>
      </c>
      <c r="E876" s="4">
        <v>46111</v>
      </c>
      <c r="F876" s="4">
        <v>46116</v>
      </c>
      <c r="G876" s="4">
        <v>46113</v>
      </c>
      <c r="H876">
        <v>294</v>
      </c>
      <c r="I876" t="s">
        <v>805</v>
      </c>
      <c r="J876">
        <v>4</v>
      </c>
      <c r="K876" t="s">
        <v>1563</v>
      </c>
      <c r="L876" t="str">
        <f t="shared" si="117"/>
        <v>Y</v>
      </c>
      <c r="M876" t="str">
        <f t="shared" si="118"/>
        <v>Y</v>
      </c>
      <c r="N876" t="str">
        <f t="shared" si="119"/>
        <v>Y</v>
      </c>
      <c r="O876">
        <f t="shared" si="120"/>
        <v>2</v>
      </c>
      <c r="P876" s="6">
        <f t="shared" si="121"/>
        <v>0.98657718120805371</v>
      </c>
      <c r="Q876" s="6">
        <f t="shared" si="122"/>
        <v>1.3605442176870748E-2</v>
      </c>
      <c r="R876">
        <f t="shared" si="123"/>
        <v>1</v>
      </c>
      <c r="S876">
        <f t="shared" si="124"/>
        <v>0</v>
      </c>
      <c r="T876" t="str">
        <f t="shared" si="125"/>
        <v>Apr-26</v>
      </c>
    </row>
    <row r="877" spans="1:20">
      <c r="A877" t="s">
        <v>1406</v>
      </c>
      <c r="B877" t="s">
        <v>67</v>
      </c>
      <c r="C877" t="s">
        <v>16</v>
      </c>
      <c r="D877">
        <v>493</v>
      </c>
      <c r="E877" s="4">
        <v>46063</v>
      </c>
      <c r="F877" s="4">
        <v>46070</v>
      </c>
      <c r="G877" s="4">
        <v>46068</v>
      </c>
      <c r="H877">
        <v>419</v>
      </c>
      <c r="I877" t="s">
        <v>1407</v>
      </c>
      <c r="J877">
        <v>19</v>
      </c>
      <c r="K877" t="s">
        <v>1563</v>
      </c>
      <c r="L877" t="str">
        <f t="shared" si="117"/>
        <v>Y</v>
      </c>
      <c r="M877" t="str">
        <f t="shared" si="118"/>
        <v>N</v>
      </c>
      <c r="N877" t="str">
        <f t="shared" si="119"/>
        <v>N</v>
      </c>
      <c r="O877">
        <f t="shared" si="120"/>
        <v>5</v>
      </c>
      <c r="P877" s="6">
        <f t="shared" si="121"/>
        <v>0.84989858012170383</v>
      </c>
      <c r="Q877" s="6">
        <f t="shared" si="122"/>
        <v>4.5346062052505964E-2</v>
      </c>
      <c r="R877">
        <f t="shared" si="123"/>
        <v>0</v>
      </c>
      <c r="S877">
        <f t="shared" si="124"/>
        <v>0</v>
      </c>
      <c r="T877" t="str">
        <f t="shared" si="125"/>
        <v>Feb-26</v>
      </c>
    </row>
    <row r="878" spans="1:20">
      <c r="A878" t="s">
        <v>1408</v>
      </c>
      <c r="B878" t="s">
        <v>32</v>
      </c>
      <c r="C878" t="s">
        <v>16</v>
      </c>
      <c r="D878">
        <v>424</v>
      </c>
      <c r="E878" s="4">
        <v>46116</v>
      </c>
      <c r="F878" s="4">
        <v>46130</v>
      </c>
      <c r="G878" s="4">
        <v>46128</v>
      </c>
      <c r="H878">
        <v>371</v>
      </c>
      <c r="I878" t="s">
        <v>813</v>
      </c>
      <c r="J878">
        <v>18</v>
      </c>
      <c r="K878" t="s">
        <v>1563</v>
      </c>
      <c r="L878" t="str">
        <f t="shared" si="117"/>
        <v>Y</v>
      </c>
      <c r="M878" t="str">
        <f t="shared" si="118"/>
        <v>N</v>
      </c>
      <c r="N878" t="str">
        <f t="shared" si="119"/>
        <v>N</v>
      </c>
      <c r="O878">
        <f t="shared" si="120"/>
        <v>12</v>
      </c>
      <c r="P878" s="6">
        <f t="shared" si="121"/>
        <v>0.875</v>
      </c>
      <c r="Q878" s="6">
        <f t="shared" si="122"/>
        <v>4.8517520215633422E-2</v>
      </c>
      <c r="R878">
        <f t="shared" si="123"/>
        <v>0</v>
      </c>
      <c r="S878">
        <f t="shared" si="124"/>
        <v>0</v>
      </c>
      <c r="T878" t="str">
        <f t="shared" si="125"/>
        <v>Apr-26</v>
      </c>
    </row>
    <row r="879" spans="1:20">
      <c r="A879" t="s">
        <v>1409</v>
      </c>
      <c r="B879" t="s">
        <v>43</v>
      </c>
      <c r="C879" t="s">
        <v>12</v>
      </c>
      <c r="D879">
        <v>446</v>
      </c>
      <c r="E879" s="4">
        <v>46144</v>
      </c>
      <c r="F879" s="4">
        <v>46150</v>
      </c>
      <c r="G879" s="4">
        <v>46148</v>
      </c>
      <c r="H879">
        <v>446</v>
      </c>
      <c r="I879" t="s">
        <v>1244</v>
      </c>
      <c r="J879">
        <v>29</v>
      </c>
      <c r="K879" t="s">
        <v>1563</v>
      </c>
      <c r="L879" t="str">
        <f t="shared" si="117"/>
        <v>Y</v>
      </c>
      <c r="M879" t="str">
        <f t="shared" si="118"/>
        <v>Y</v>
      </c>
      <c r="N879" t="str">
        <f t="shared" si="119"/>
        <v>Y</v>
      </c>
      <c r="O879">
        <f t="shared" si="120"/>
        <v>4</v>
      </c>
      <c r="P879" s="6">
        <f t="shared" si="121"/>
        <v>1</v>
      </c>
      <c r="Q879" s="6">
        <f t="shared" si="122"/>
        <v>6.5022421524663671E-2</v>
      </c>
      <c r="R879">
        <f t="shared" si="123"/>
        <v>1</v>
      </c>
      <c r="S879">
        <f t="shared" si="124"/>
        <v>0</v>
      </c>
      <c r="T879" t="str">
        <f t="shared" si="125"/>
        <v>May-26</v>
      </c>
    </row>
    <row r="880" spans="1:20">
      <c r="A880" t="s">
        <v>1410</v>
      </c>
      <c r="B880" t="s">
        <v>177</v>
      </c>
      <c r="C880" t="s">
        <v>12</v>
      </c>
      <c r="D880">
        <v>296</v>
      </c>
      <c r="E880" s="4">
        <v>46105</v>
      </c>
      <c r="F880" s="4">
        <v>46117</v>
      </c>
      <c r="G880" s="4">
        <v>46115</v>
      </c>
      <c r="H880">
        <v>297</v>
      </c>
      <c r="I880" t="s">
        <v>221</v>
      </c>
      <c r="J880">
        <v>7</v>
      </c>
      <c r="K880" t="s">
        <v>1563</v>
      </c>
      <c r="L880" t="str">
        <f t="shared" si="117"/>
        <v>Y</v>
      </c>
      <c r="M880" t="str">
        <f t="shared" si="118"/>
        <v>Y</v>
      </c>
      <c r="N880" t="str">
        <f t="shared" si="119"/>
        <v>Y</v>
      </c>
      <c r="O880">
        <f t="shared" si="120"/>
        <v>10</v>
      </c>
      <c r="P880" s="6">
        <f t="shared" si="121"/>
        <v>1.0033783783783783</v>
      </c>
      <c r="Q880" s="6">
        <f t="shared" si="122"/>
        <v>2.3569023569023569E-2</v>
      </c>
      <c r="R880">
        <f t="shared" si="123"/>
        <v>1</v>
      </c>
      <c r="S880">
        <f t="shared" si="124"/>
        <v>0</v>
      </c>
      <c r="T880" t="str">
        <f t="shared" si="125"/>
        <v>Apr-26</v>
      </c>
    </row>
    <row r="881" spans="1:20">
      <c r="A881" t="s">
        <v>1411</v>
      </c>
      <c r="B881" t="s">
        <v>40</v>
      </c>
      <c r="C881" t="s">
        <v>23</v>
      </c>
      <c r="D881">
        <v>885</v>
      </c>
      <c r="E881" s="4">
        <v>46147</v>
      </c>
      <c r="F881" s="4">
        <v>46156</v>
      </c>
      <c r="G881" s="4">
        <v>46154</v>
      </c>
      <c r="H881">
        <v>876</v>
      </c>
      <c r="I881" t="s">
        <v>824</v>
      </c>
      <c r="J881">
        <v>75</v>
      </c>
      <c r="K881" t="s">
        <v>1563</v>
      </c>
      <c r="L881" t="str">
        <f t="shared" si="117"/>
        <v>Y</v>
      </c>
      <c r="M881" t="str">
        <f t="shared" si="118"/>
        <v>Y</v>
      </c>
      <c r="N881" t="str">
        <f t="shared" si="119"/>
        <v>Y</v>
      </c>
      <c r="O881">
        <f t="shared" si="120"/>
        <v>7</v>
      </c>
      <c r="P881" s="6">
        <f t="shared" si="121"/>
        <v>0.98983050847457632</v>
      </c>
      <c r="Q881" s="6">
        <f t="shared" si="122"/>
        <v>8.5616438356164379E-2</v>
      </c>
      <c r="R881">
        <f t="shared" si="123"/>
        <v>1</v>
      </c>
      <c r="S881">
        <f t="shared" si="124"/>
        <v>0</v>
      </c>
      <c r="T881" t="str">
        <f t="shared" si="125"/>
        <v>May-26</v>
      </c>
    </row>
    <row r="882" spans="1:20">
      <c r="A882" t="s">
        <v>1412</v>
      </c>
      <c r="B882" t="s">
        <v>70</v>
      </c>
      <c r="C882" t="s">
        <v>16</v>
      </c>
      <c r="D882">
        <v>900</v>
      </c>
      <c r="E882" s="4">
        <v>46135</v>
      </c>
      <c r="F882" s="4">
        <v>46145</v>
      </c>
      <c r="G882" s="4">
        <v>46144</v>
      </c>
      <c r="H882">
        <v>912</v>
      </c>
      <c r="I882" t="s">
        <v>904</v>
      </c>
      <c r="J882">
        <v>17</v>
      </c>
      <c r="K882" t="s">
        <v>1563</v>
      </c>
      <c r="L882" t="str">
        <f t="shared" si="117"/>
        <v>Y</v>
      </c>
      <c r="M882" t="str">
        <f t="shared" si="118"/>
        <v>Y</v>
      </c>
      <c r="N882" t="str">
        <f t="shared" si="119"/>
        <v>Y</v>
      </c>
      <c r="O882">
        <f t="shared" si="120"/>
        <v>9</v>
      </c>
      <c r="P882" s="6">
        <f t="shared" si="121"/>
        <v>1.0133333333333334</v>
      </c>
      <c r="Q882" s="6">
        <f t="shared" si="122"/>
        <v>1.8640350877192981E-2</v>
      </c>
      <c r="R882">
        <f t="shared" si="123"/>
        <v>1</v>
      </c>
      <c r="S882">
        <f t="shared" si="124"/>
        <v>0</v>
      </c>
      <c r="T882" t="str">
        <f t="shared" si="125"/>
        <v>May-26</v>
      </c>
    </row>
    <row r="883" spans="1:20">
      <c r="A883" t="s">
        <v>1413</v>
      </c>
      <c r="B883" t="s">
        <v>29</v>
      </c>
      <c r="C883" t="s">
        <v>23</v>
      </c>
      <c r="D883">
        <v>565</v>
      </c>
      <c r="E883" s="4">
        <v>46150</v>
      </c>
      <c r="F883" s="4">
        <v>46163</v>
      </c>
      <c r="G883" s="4">
        <v>46163</v>
      </c>
      <c r="H883">
        <v>575</v>
      </c>
      <c r="I883" t="s">
        <v>1414</v>
      </c>
      <c r="J883">
        <v>3</v>
      </c>
      <c r="K883" t="s">
        <v>1563</v>
      </c>
      <c r="L883" t="str">
        <f t="shared" si="117"/>
        <v>Y</v>
      </c>
      <c r="M883" t="str">
        <f t="shared" si="118"/>
        <v>Y</v>
      </c>
      <c r="N883" t="str">
        <f t="shared" si="119"/>
        <v>Y</v>
      </c>
      <c r="O883">
        <f t="shared" si="120"/>
        <v>13</v>
      </c>
      <c r="P883" s="6">
        <f t="shared" si="121"/>
        <v>1.0176991150442478</v>
      </c>
      <c r="Q883" s="6">
        <f t="shared" si="122"/>
        <v>5.2173913043478265E-3</v>
      </c>
      <c r="R883">
        <f t="shared" si="123"/>
        <v>1</v>
      </c>
      <c r="S883">
        <f t="shared" si="124"/>
        <v>0</v>
      </c>
      <c r="T883" t="str">
        <f t="shared" si="125"/>
        <v>May-26</v>
      </c>
    </row>
    <row r="884" spans="1:20">
      <c r="A884" t="s">
        <v>1415</v>
      </c>
      <c r="B884" t="s">
        <v>40</v>
      </c>
      <c r="C884" t="s">
        <v>16</v>
      </c>
      <c r="D884">
        <v>499</v>
      </c>
      <c r="E884" s="4">
        <v>46101</v>
      </c>
      <c r="F884" s="4">
        <v>46113</v>
      </c>
      <c r="G884" s="4">
        <v>46110</v>
      </c>
      <c r="H884">
        <v>493</v>
      </c>
      <c r="I884" t="s">
        <v>1290</v>
      </c>
      <c r="J884">
        <v>36</v>
      </c>
      <c r="K884" t="s">
        <v>1563</v>
      </c>
      <c r="L884" t="str">
        <f t="shared" si="117"/>
        <v>Y</v>
      </c>
      <c r="M884" t="str">
        <f t="shared" si="118"/>
        <v>Y</v>
      </c>
      <c r="N884" t="str">
        <f t="shared" si="119"/>
        <v>Y</v>
      </c>
      <c r="O884">
        <f t="shared" si="120"/>
        <v>9</v>
      </c>
      <c r="P884" s="6">
        <f t="shared" si="121"/>
        <v>0.9879759519038076</v>
      </c>
      <c r="Q884" s="6">
        <f t="shared" si="122"/>
        <v>7.3022312373225151E-2</v>
      </c>
      <c r="R884">
        <f t="shared" si="123"/>
        <v>1</v>
      </c>
      <c r="S884">
        <f t="shared" si="124"/>
        <v>0</v>
      </c>
      <c r="T884" t="str">
        <f t="shared" si="125"/>
        <v>Mar-26</v>
      </c>
    </row>
    <row r="885" spans="1:20">
      <c r="A885" t="s">
        <v>1416</v>
      </c>
      <c r="B885" t="s">
        <v>29</v>
      </c>
      <c r="C885" t="s">
        <v>16</v>
      </c>
      <c r="D885">
        <v>774</v>
      </c>
      <c r="E885" s="4">
        <v>46067</v>
      </c>
      <c r="F885" s="4">
        <v>46073</v>
      </c>
      <c r="G885" s="4">
        <v>46079</v>
      </c>
      <c r="H885">
        <v>774</v>
      </c>
      <c r="I885" t="s">
        <v>1417</v>
      </c>
      <c r="J885">
        <v>2</v>
      </c>
      <c r="K885" t="s">
        <v>1563</v>
      </c>
      <c r="L885" t="str">
        <f t="shared" si="117"/>
        <v>N</v>
      </c>
      <c r="M885" t="str">
        <f t="shared" si="118"/>
        <v>Y</v>
      </c>
      <c r="N885" t="str">
        <f t="shared" si="119"/>
        <v>N</v>
      </c>
      <c r="O885">
        <f t="shared" si="120"/>
        <v>12</v>
      </c>
      <c r="P885" s="6">
        <f t="shared" si="121"/>
        <v>1</v>
      </c>
      <c r="Q885" s="6">
        <f t="shared" si="122"/>
        <v>2.5839793281653748E-3</v>
      </c>
      <c r="R885">
        <f t="shared" si="123"/>
        <v>0</v>
      </c>
      <c r="S885">
        <f t="shared" si="124"/>
        <v>6</v>
      </c>
      <c r="T885" t="str">
        <f t="shared" si="125"/>
        <v>Feb-26</v>
      </c>
    </row>
    <row r="886" spans="1:20">
      <c r="A886" t="s">
        <v>1418</v>
      </c>
      <c r="B886" t="s">
        <v>54</v>
      </c>
      <c r="C886" t="s">
        <v>16</v>
      </c>
      <c r="D886">
        <v>369</v>
      </c>
      <c r="E886" s="4">
        <v>46030</v>
      </c>
      <c r="F886" s="4">
        <v>46037</v>
      </c>
      <c r="G886" s="4">
        <v>46036</v>
      </c>
      <c r="H886">
        <v>313</v>
      </c>
      <c r="I886" t="s">
        <v>301</v>
      </c>
      <c r="J886">
        <v>7</v>
      </c>
      <c r="K886" t="s">
        <v>1563</v>
      </c>
      <c r="L886" t="str">
        <f t="shared" si="117"/>
        <v>Y</v>
      </c>
      <c r="M886" t="str">
        <f t="shared" si="118"/>
        <v>N</v>
      </c>
      <c r="N886" t="str">
        <f t="shared" si="119"/>
        <v>N</v>
      </c>
      <c r="O886">
        <f t="shared" si="120"/>
        <v>6</v>
      </c>
      <c r="P886" s="6">
        <f t="shared" si="121"/>
        <v>0.8482384823848238</v>
      </c>
      <c r="Q886" s="6">
        <f t="shared" si="122"/>
        <v>2.2364217252396165E-2</v>
      </c>
      <c r="R886">
        <f t="shared" si="123"/>
        <v>0</v>
      </c>
      <c r="S886">
        <f t="shared" si="124"/>
        <v>0</v>
      </c>
      <c r="T886" t="str">
        <f t="shared" si="125"/>
        <v>Jan-26</v>
      </c>
    </row>
    <row r="887" spans="1:20">
      <c r="A887" t="s">
        <v>1419</v>
      </c>
      <c r="B887" t="s">
        <v>40</v>
      </c>
      <c r="C887" t="s">
        <v>16</v>
      </c>
      <c r="D887">
        <v>93</v>
      </c>
      <c r="E887" s="4">
        <v>46174</v>
      </c>
      <c r="F887" s="4">
        <v>46180</v>
      </c>
      <c r="G887" s="4">
        <v>46178</v>
      </c>
      <c r="H887">
        <v>94</v>
      </c>
      <c r="I887" t="s">
        <v>472</v>
      </c>
      <c r="J887">
        <v>5</v>
      </c>
      <c r="K887" t="s">
        <v>1563</v>
      </c>
      <c r="L887" t="str">
        <f t="shared" si="117"/>
        <v>Y</v>
      </c>
      <c r="M887" t="str">
        <f t="shared" si="118"/>
        <v>Y</v>
      </c>
      <c r="N887" t="str">
        <f t="shared" si="119"/>
        <v>Y</v>
      </c>
      <c r="O887">
        <f t="shared" si="120"/>
        <v>4</v>
      </c>
      <c r="P887" s="6">
        <f t="shared" si="121"/>
        <v>1.010752688172043</v>
      </c>
      <c r="Q887" s="6">
        <f t="shared" si="122"/>
        <v>5.3191489361702128E-2</v>
      </c>
      <c r="R887">
        <f t="shared" si="123"/>
        <v>1</v>
      </c>
      <c r="S887">
        <f t="shared" si="124"/>
        <v>0</v>
      </c>
      <c r="T887" t="str">
        <f t="shared" si="125"/>
        <v>Jun-26</v>
      </c>
    </row>
    <row r="888" spans="1:20">
      <c r="A888" t="s">
        <v>1420</v>
      </c>
      <c r="B888" t="s">
        <v>67</v>
      </c>
      <c r="C888" t="s">
        <v>12</v>
      </c>
      <c r="D888">
        <v>312</v>
      </c>
      <c r="E888" s="4">
        <v>46115</v>
      </c>
      <c r="F888" s="4">
        <v>46124</v>
      </c>
      <c r="G888" s="4">
        <v>46131</v>
      </c>
      <c r="H888">
        <v>308</v>
      </c>
      <c r="I888" t="s">
        <v>231</v>
      </c>
      <c r="J888">
        <v>7</v>
      </c>
      <c r="K888" t="s">
        <v>1563</v>
      </c>
      <c r="L888" t="str">
        <f t="shared" si="117"/>
        <v>N</v>
      </c>
      <c r="M888" t="str">
        <f t="shared" si="118"/>
        <v>Y</v>
      </c>
      <c r="N888" t="str">
        <f t="shared" si="119"/>
        <v>N</v>
      </c>
      <c r="O888">
        <f t="shared" si="120"/>
        <v>16</v>
      </c>
      <c r="P888" s="6">
        <f t="shared" si="121"/>
        <v>0.98717948717948723</v>
      </c>
      <c r="Q888" s="6">
        <f t="shared" si="122"/>
        <v>2.2727272727272728E-2</v>
      </c>
      <c r="R888">
        <f t="shared" si="123"/>
        <v>0</v>
      </c>
      <c r="S888">
        <f t="shared" si="124"/>
        <v>7</v>
      </c>
      <c r="T888" t="str">
        <f t="shared" si="125"/>
        <v>Apr-26</v>
      </c>
    </row>
    <row r="889" spans="1:20">
      <c r="A889" t="s">
        <v>1422</v>
      </c>
      <c r="B889" t="s">
        <v>29</v>
      </c>
      <c r="C889" t="s">
        <v>16</v>
      </c>
      <c r="D889">
        <v>524</v>
      </c>
      <c r="E889" s="4">
        <v>46117</v>
      </c>
      <c r="F889" s="4">
        <v>46131</v>
      </c>
      <c r="G889" s="4">
        <v>46130</v>
      </c>
      <c r="H889">
        <v>481</v>
      </c>
      <c r="I889" t="s">
        <v>150</v>
      </c>
      <c r="J889">
        <v>6</v>
      </c>
      <c r="K889" t="s">
        <v>1563</v>
      </c>
      <c r="L889" t="str">
        <f t="shared" si="117"/>
        <v>Y</v>
      </c>
      <c r="M889" t="str">
        <f t="shared" si="118"/>
        <v>N</v>
      </c>
      <c r="N889" t="str">
        <f t="shared" si="119"/>
        <v>N</v>
      </c>
      <c r="O889">
        <f t="shared" si="120"/>
        <v>13</v>
      </c>
      <c r="P889" s="6">
        <f t="shared" si="121"/>
        <v>0.91793893129770987</v>
      </c>
      <c r="Q889" s="6">
        <f t="shared" si="122"/>
        <v>1.2474012474012475E-2</v>
      </c>
      <c r="R889">
        <f t="shared" si="123"/>
        <v>0</v>
      </c>
      <c r="S889">
        <f t="shared" si="124"/>
        <v>0</v>
      </c>
      <c r="T889" t="str">
        <f t="shared" si="125"/>
        <v>Apr-26</v>
      </c>
    </row>
    <row r="890" spans="1:20">
      <c r="A890" t="s">
        <v>1423</v>
      </c>
      <c r="B890" t="s">
        <v>67</v>
      </c>
      <c r="C890" t="s">
        <v>23</v>
      </c>
      <c r="D890">
        <v>399</v>
      </c>
      <c r="E890" s="4">
        <v>46140</v>
      </c>
      <c r="F890" s="4">
        <v>46154</v>
      </c>
      <c r="G890" s="4">
        <v>46156</v>
      </c>
      <c r="H890">
        <v>394</v>
      </c>
      <c r="I890" t="s">
        <v>1376</v>
      </c>
      <c r="J890">
        <v>0</v>
      </c>
      <c r="K890" t="s">
        <v>1563</v>
      </c>
      <c r="L890" t="str">
        <f t="shared" si="117"/>
        <v>N</v>
      </c>
      <c r="M890" t="str">
        <f t="shared" si="118"/>
        <v>Y</v>
      </c>
      <c r="N890" t="str">
        <f t="shared" si="119"/>
        <v>N</v>
      </c>
      <c r="O890">
        <f t="shared" si="120"/>
        <v>16</v>
      </c>
      <c r="P890" s="6">
        <f t="shared" si="121"/>
        <v>0.98746867167919794</v>
      </c>
      <c r="Q890" s="6">
        <f t="shared" si="122"/>
        <v>0</v>
      </c>
      <c r="R890">
        <f t="shared" si="123"/>
        <v>0</v>
      </c>
      <c r="S890">
        <f t="shared" si="124"/>
        <v>2</v>
      </c>
      <c r="T890" t="str">
        <f t="shared" si="125"/>
        <v>May-26</v>
      </c>
    </row>
    <row r="891" spans="1:20">
      <c r="A891" t="s">
        <v>1424</v>
      </c>
      <c r="B891" t="s">
        <v>70</v>
      </c>
      <c r="C891" t="s">
        <v>12</v>
      </c>
      <c r="D891">
        <v>385</v>
      </c>
      <c r="E891" s="4">
        <v>46135</v>
      </c>
      <c r="F891" s="4">
        <v>46142</v>
      </c>
      <c r="G891" s="4">
        <v>46143</v>
      </c>
      <c r="H891">
        <v>357</v>
      </c>
      <c r="I891" t="s">
        <v>105</v>
      </c>
      <c r="J891">
        <v>8</v>
      </c>
      <c r="K891" t="s">
        <v>1563</v>
      </c>
      <c r="L891" t="str">
        <f t="shared" si="117"/>
        <v>N</v>
      </c>
      <c r="M891" t="str">
        <f t="shared" si="118"/>
        <v>N</v>
      </c>
      <c r="N891" t="str">
        <f t="shared" si="119"/>
        <v>N</v>
      </c>
      <c r="O891">
        <f t="shared" si="120"/>
        <v>8</v>
      </c>
      <c r="P891" s="6">
        <f t="shared" si="121"/>
        <v>0.92727272727272725</v>
      </c>
      <c r="Q891" s="6">
        <f t="shared" si="122"/>
        <v>2.2408963585434174E-2</v>
      </c>
      <c r="R891">
        <f t="shared" si="123"/>
        <v>0</v>
      </c>
      <c r="S891">
        <f t="shared" si="124"/>
        <v>1</v>
      </c>
      <c r="T891" t="str">
        <f t="shared" si="125"/>
        <v>May-26</v>
      </c>
    </row>
    <row r="892" spans="1:20">
      <c r="A892" t="s">
        <v>1425</v>
      </c>
      <c r="B892" t="s">
        <v>52</v>
      </c>
      <c r="C892" t="s">
        <v>16</v>
      </c>
      <c r="D892">
        <v>948</v>
      </c>
      <c r="E892" s="4">
        <v>46102</v>
      </c>
      <c r="F892" s="4">
        <v>46111</v>
      </c>
      <c r="G892" s="4">
        <v>46111</v>
      </c>
      <c r="H892">
        <v>939</v>
      </c>
      <c r="I892" t="s">
        <v>1115</v>
      </c>
      <c r="J892">
        <v>1</v>
      </c>
      <c r="K892" t="s">
        <v>1563</v>
      </c>
      <c r="L892" t="str">
        <f t="shared" si="117"/>
        <v>Y</v>
      </c>
      <c r="M892" t="str">
        <f t="shared" si="118"/>
        <v>Y</v>
      </c>
      <c r="N892" t="str">
        <f t="shared" si="119"/>
        <v>Y</v>
      </c>
      <c r="O892">
        <f t="shared" si="120"/>
        <v>9</v>
      </c>
      <c r="P892" s="6">
        <f t="shared" si="121"/>
        <v>0.990506329113924</v>
      </c>
      <c r="Q892" s="6">
        <f t="shared" si="122"/>
        <v>1.0649627263045794E-3</v>
      </c>
      <c r="R892">
        <f t="shared" si="123"/>
        <v>1</v>
      </c>
      <c r="S892">
        <f t="shared" si="124"/>
        <v>0</v>
      </c>
      <c r="T892" t="str">
        <f t="shared" si="125"/>
        <v>Mar-26</v>
      </c>
    </row>
    <row r="893" spans="1:20">
      <c r="A893" t="s">
        <v>1426</v>
      </c>
      <c r="B893" t="s">
        <v>26</v>
      </c>
      <c r="C893" t="s">
        <v>16</v>
      </c>
      <c r="D893">
        <v>746</v>
      </c>
      <c r="E893" s="4">
        <v>46162</v>
      </c>
      <c r="F893" s="4">
        <v>46174</v>
      </c>
      <c r="G893" s="4">
        <v>46171</v>
      </c>
      <c r="H893">
        <v>737</v>
      </c>
      <c r="I893" t="s">
        <v>767</v>
      </c>
      <c r="J893">
        <v>1</v>
      </c>
      <c r="K893" t="s">
        <v>1563</v>
      </c>
      <c r="L893" t="str">
        <f t="shared" si="117"/>
        <v>Y</v>
      </c>
      <c r="M893" t="str">
        <f t="shared" si="118"/>
        <v>Y</v>
      </c>
      <c r="N893" t="str">
        <f t="shared" si="119"/>
        <v>Y</v>
      </c>
      <c r="O893">
        <f t="shared" si="120"/>
        <v>9</v>
      </c>
      <c r="P893" s="6">
        <f t="shared" si="121"/>
        <v>0.98793565683646112</v>
      </c>
      <c r="Q893" s="6">
        <f t="shared" si="122"/>
        <v>1.3568521031207597E-3</v>
      </c>
      <c r="R893">
        <f t="shared" si="123"/>
        <v>1</v>
      </c>
      <c r="S893">
        <f t="shared" si="124"/>
        <v>0</v>
      </c>
      <c r="T893" t="str">
        <f t="shared" si="125"/>
        <v>May-26</v>
      </c>
    </row>
    <row r="894" spans="1:20">
      <c r="A894" t="s">
        <v>1427</v>
      </c>
      <c r="B894" t="s">
        <v>11</v>
      </c>
      <c r="C894" t="s">
        <v>16</v>
      </c>
      <c r="D894">
        <v>195</v>
      </c>
      <c r="E894" s="4">
        <v>46132</v>
      </c>
      <c r="F894" s="4">
        <v>46140</v>
      </c>
      <c r="G894" s="4">
        <v>46137</v>
      </c>
      <c r="H894">
        <v>195</v>
      </c>
      <c r="I894" t="s">
        <v>1061</v>
      </c>
      <c r="J894">
        <v>0</v>
      </c>
      <c r="K894" t="s">
        <v>1563</v>
      </c>
      <c r="L894" t="str">
        <f t="shared" si="117"/>
        <v>Y</v>
      </c>
      <c r="M894" t="str">
        <f t="shared" si="118"/>
        <v>Y</v>
      </c>
      <c r="N894" t="str">
        <f t="shared" si="119"/>
        <v>Y</v>
      </c>
      <c r="O894">
        <f t="shared" si="120"/>
        <v>5</v>
      </c>
      <c r="P894" s="6">
        <f t="shared" si="121"/>
        <v>1</v>
      </c>
      <c r="Q894" s="6">
        <f t="shared" si="122"/>
        <v>0</v>
      </c>
      <c r="R894">
        <f t="shared" si="123"/>
        <v>1</v>
      </c>
      <c r="S894">
        <f t="shared" si="124"/>
        <v>0</v>
      </c>
      <c r="T894" t="str">
        <f t="shared" si="125"/>
        <v>Apr-26</v>
      </c>
    </row>
    <row r="895" spans="1:20">
      <c r="A895" t="s">
        <v>1428</v>
      </c>
      <c r="B895" t="s">
        <v>49</v>
      </c>
      <c r="C895" t="s">
        <v>12</v>
      </c>
      <c r="D895">
        <v>606</v>
      </c>
      <c r="E895" s="4">
        <v>46134</v>
      </c>
      <c r="F895" s="4">
        <v>46145</v>
      </c>
      <c r="G895" s="4">
        <v>46145</v>
      </c>
      <c r="H895">
        <v>602</v>
      </c>
      <c r="I895" t="s">
        <v>605</v>
      </c>
      <c r="J895">
        <v>6</v>
      </c>
      <c r="K895" t="s">
        <v>1563</v>
      </c>
      <c r="L895" t="str">
        <f t="shared" si="117"/>
        <v>Y</v>
      </c>
      <c r="M895" t="str">
        <f t="shared" si="118"/>
        <v>Y</v>
      </c>
      <c r="N895" t="str">
        <f t="shared" si="119"/>
        <v>Y</v>
      </c>
      <c r="O895">
        <f t="shared" si="120"/>
        <v>11</v>
      </c>
      <c r="P895" s="6">
        <f t="shared" si="121"/>
        <v>0.99339933993399343</v>
      </c>
      <c r="Q895" s="6">
        <f t="shared" si="122"/>
        <v>9.9667774086378731E-3</v>
      </c>
      <c r="R895">
        <f t="shared" si="123"/>
        <v>1</v>
      </c>
      <c r="S895">
        <f t="shared" si="124"/>
        <v>0</v>
      </c>
      <c r="T895" t="str">
        <f t="shared" si="125"/>
        <v>May-26</v>
      </c>
    </row>
    <row r="896" spans="1:20">
      <c r="A896" t="s">
        <v>1429</v>
      </c>
      <c r="B896" t="s">
        <v>54</v>
      </c>
      <c r="C896" t="s">
        <v>16</v>
      </c>
      <c r="D896">
        <v>975</v>
      </c>
      <c r="E896" s="4">
        <v>46051</v>
      </c>
      <c r="F896" s="4">
        <v>46057</v>
      </c>
      <c r="G896" s="4">
        <v>46062</v>
      </c>
      <c r="H896">
        <v>981</v>
      </c>
      <c r="I896" t="s">
        <v>1430</v>
      </c>
      <c r="J896">
        <v>10</v>
      </c>
      <c r="K896" t="s">
        <v>1563</v>
      </c>
      <c r="L896" t="str">
        <f t="shared" si="117"/>
        <v>N</v>
      </c>
      <c r="M896" t="str">
        <f t="shared" si="118"/>
        <v>Y</v>
      </c>
      <c r="N896" t="str">
        <f t="shared" si="119"/>
        <v>N</v>
      </c>
      <c r="O896">
        <f t="shared" si="120"/>
        <v>11</v>
      </c>
      <c r="P896" s="6">
        <f t="shared" si="121"/>
        <v>1.0061538461538462</v>
      </c>
      <c r="Q896" s="6">
        <f t="shared" si="122"/>
        <v>1.0193679918450561E-2</v>
      </c>
      <c r="R896">
        <f t="shared" si="123"/>
        <v>0</v>
      </c>
      <c r="S896">
        <f t="shared" si="124"/>
        <v>5</v>
      </c>
      <c r="T896" t="str">
        <f t="shared" si="125"/>
        <v>Feb-26</v>
      </c>
    </row>
    <row r="897" spans="1:20">
      <c r="A897" t="s">
        <v>1431</v>
      </c>
      <c r="B897" t="s">
        <v>26</v>
      </c>
      <c r="C897" t="s">
        <v>16</v>
      </c>
      <c r="D897">
        <v>577</v>
      </c>
      <c r="E897" s="4">
        <v>46090</v>
      </c>
      <c r="F897" s="4">
        <v>46105</v>
      </c>
      <c r="G897" s="4">
        <v>46104</v>
      </c>
      <c r="H897">
        <v>548</v>
      </c>
      <c r="I897" t="s">
        <v>1256</v>
      </c>
      <c r="J897">
        <v>6</v>
      </c>
      <c r="K897" t="s">
        <v>1563</v>
      </c>
      <c r="L897" t="str">
        <f t="shared" si="117"/>
        <v>Y</v>
      </c>
      <c r="M897" t="str">
        <f t="shared" si="118"/>
        <v>N</v>
      </c>
      <c r="N897" t="str">
        <f t="shared" si="119"/>
        <v>N</v>
      </c>
      <c r="O897">
        <f t="shared" si="120"/>
        <v>14</v>
      </c>
      <c r="P897" s="6">
        <f t="shared" si="121"/>
        <v>0.94974003466204504</v>
      </c>
      <c r="Q897" s="6">
        <f t="shared" si="122"/>
        <v>1.0948905109489052E-2</v>
      </c>
      <c r="R897">
        <f t="shared" si="123"/>
        <v>0</v>
      </c>
      <c r="S897">
        <f t="shared" si="124"/>
        <v>0</v>
      </c>
      <c r="T897" t="str">
        <f t="shared" si="125"/>
        <v>Mar-26</v>
      </c>
    </row>
    <row r="898" spans="1:20">
      <c r="A898" t="s">
        <v>1432</v>
      </c>
      <c r="B898" t="s">
        <v>29</v>
      </c>
      <c r="C898" t="s">
        <v>12</v>
      </c>
      <c r="D898">
        <v>319</v>
      </c>
      <c r="E898" s="4">
        <v>46082</v>
      </c>
      <c r="F898" s="4">
        <v>46096</v>
      </c>
      <c r="G898" s="4">
        <v>46093</v>
      </c>
      <c r="H898">
        <v>266</v>
      </c>
      <c r="I898" t="s">
        <v>44</v>
      </c>
      <c r="J898">
        <v>3</v>
      </c>
      <c r="K898" t="s">
        <v>1563</v>
      </c>
      <c r="L898" t="str">
        <f t="shared" ref="L898:L961" si="126">IF(G898="","N/A",IF(G898&lt;=F898,"Y","N"))</f>
        <v>Y</v>
      </c>
      <c r="M898" t="str">
        <f t="shared" ref="M898:M961" si="127">IF(H898="","N/A",IF(H898&gt;=D898*0.98,"Y","N"))</f>
        <v>N</v>
      </c>
      <c r="N898" t="str">
        <f t="shared" ref="N898:N961" si="128">IF(OR(L898="N/A",M898="N/A"),"N/A",IF(AND(L898="Y",M898="Y"),"Y","N"))</f>
        <v>N</v>
      </c>
      <c r="O898">
        <f t="shared" ref="O898:O961" si="129">IF(G898="","N/A",G898-E898)</f>
        <v>11</v>
      </c>
      <c r="P898" s="6">
        <f t="shared" ref="P898:P961" si="130">IF(H898="","N/A",H898/D898)</f>
        <v>0.83385579937304077</v>
      </c>
      <c r="Q898" s="6">
        <f t="shared" ref="Q898:Q961" si="131">IF(H898="","N/A",IF(H898=0,0,J898/H898))</f>
        <v>1.1278195488721804E-2</v>
      </c>
      <c r="R898">
        <f t="shared" ref="R898:R961" si="132">IF(N898="Y",1,IF(N898="N",0,""))</f>
        <v>0</v>
      </c>
      <c r="S898">
        <f t="shared" ref="S898:S961" si="133">IF(G898="","N/A",MAX(G898-F898,0))</f>
        <v>0</v>
      </c>
      <c r="T898" t="str">
        <f t="shared" ref="T898:T961" si="134">IF(G898="","N/A",TEXT(G898,"mmm-yy"))</f>
        <v>Mar-26</v>
      </c>
    </row>
    <row r="899" spans="1:20">
      <c r="A899" t="s">
        <v>1433</v>
      </c>
      <c r="B899" t="s">
        <v>70</v>
      </c>
      <c r="C899" t="s">
        <v>23</v>
      </c>
      <c r="D899">
        <v>803</v>
      </c>
      <c r="E899" s="4">
        <v>46171</v>
      </c>
      <c r="F899" s="4">
        <v>46184</v>
      </c>
      <c r="G899" s="4">
        <v>46184</v>
      </c>
      <c r="H899">
        <v>816</v>
      </c>
      <c r="I899" t="s">
        <v>296</v>
      </c>
      <c r="J899">
        <v>18</v>
      </c>
      <c r="K899" t="s">
        <v>1563</v>
      </c>
      <c r="L899" t="str">
        <f t="shared" si="126"/>
        <v>Y</v>
      </c>
      <c r="M899" t="str">
        <f t="shared" si="127"/>
        <v>Y</v>
      </c>
      <c r="N899" t="str">
        <f t="shared" si="128"/>
        <v>Y</v>
      </c>
      <c r="O899">
        <f t="shared" si="129"/>
        <v>13</v>
      </c>
      <c r="P899" s="6">
        <f t="shared" si="130"/>
        <v>1.016189290161893</v>
      </c>
      <c r="Q899" s="6">
        <f t="shared" si="131"/>
        <v>2.2058823529411766E-2</v>
      </c>
      <c r="R899">
        <f t="shared" si="132"/>
        <v>1</v>
      </c>
      <c r="S899">
        <f t="shared" si="133"/>
        <v>0</v>
      </c>
      <c r="T899" t="str">
        <f t="shared" si="134"/>
        <v>Jun-26</v>
      </c>
    </row>
    <row r="900" spans="1:20">
      <c r="A900" t="s">
        <v>1434</v>
      </c>
      <c r="B900" t="s">
        <v>40</v>
      </c>
      <c r="C900" t="s">
        <v>12</v>
      </c>
      <c r="D900">
        <v>615</v>
      </c>
      <c r="E900" s="4">
        <v>46046</v>
      </c>
      <c r="F900" s="4">
        <v>46060</v>
      </c>
      <c r="G900" s="4">
        <v>46065</v>
      </c>
      <c r="H900">
        <v>603</v>
      </c>
      <c r="I900" t="s">
        <v>645</v>
      </c>
      <c r="J900">
        <v>10</v>
      </c>
      <c r="K900" t="s">
        <v>1563</v>
      </c>
      <c r="L900" t="str">
        <f t="shared" si="126"/>
        <v>N</v>
      </c>
      <c r="M900" t="str">
        <f t="shared" si="127"/>
        <v>Y</v>
      </c>
      <c r="N900" t="str">
        <f t="shared" si="128"/>
        <v>N</v>
      </c>
      <c r="O900">
        <f t="shared" si="129"/>
        <v>19</v>
      </c>
      <c r="P900" s="6">
        <f t="shared" si="130"/>
        <v>0.98048780487804876</v>
      </c>
      <c r="Q900" s="6">
        <f t="shared" si="131"/>
        <v>1.658374792703151E-2</v>
      </c>
      <c r="R900">
        <f t="shared" si="132"/>
        <v>0</v>
      </c>
      <c r="S900">
        <f t="shared" si="133"/>
        <v>5</v>
      </c>
      <c r="T900" t="str">
        <f t="shared" si="134"/>
        <v>Feb-26</v>
      </c>
    </row>
    <row r="901" spans="1:20">
      <c r="A901" t="s">
        <v>1435</v>
      </c>
      <c r="B901" t="s">
        <v>43</v>
      </c>
      <c r="C901" t="s">
        <v>16</v>
      </c>
      <c r="D901">
        <v>322</v>
      </c>
      <c r="E901" s="4">
        <v>46045</v>
      </c>
      <c r="F901" s="4">
        <v>46060</v>
      </c>
      <c r="G901" s="4">
        <v>46058</v>
      </c>
      <c r="H901">
        <v>267</v>
      </c>
      <c r="I901" t="s">
        <v>1436</v>
      </c>
      <c r="J901">
        <v>12</v>
      </c>
      <c r="K901" t="s">
        <v>1563</v>
      </c>
      <c r="L901" t="str">
        <f t="shared" si="126"/>
        <v>Y</v>
      </c>
      <c r="M901" t="str">
        <f t="shared" si="127"/>
        <v>N</v>
      </c>
      <c r="N901" t="str">
        <f t="shared" si="128"/>
        <v>N</v>
      </c>
      <c r="O901">
        <f t="shared" si="129"/>
        <v>13</v>
      </c>
      <c r="P901" s="6">
        <f t="shared" si="130"/>
        <v>0.82919254658385089</v>
      </c>
      <c r="Q901" s="6">
        <f t="shared" si="131"/>
        <v>4.49438202247191E-2</v>
      </c>
      <c r="R901">
        <f t="shared" si="132"/>
        <v>0</v>
      </c>
      <c r="S901">
        <f t="shared" si="133"/>
        <v>0</v>
      </c>
      <c r="T901" t="str">
        <f t="shared" si="134"/>
        <v>Feb-26</v>
      </c>
    </row>
    <row r="902" spans="1:20">
      <c r="A902" t="s">
        <v>1437</v>
      </c>
      <c r="B902" t="s">
        <v>11</v>
      </c>
      <c r="C902" t="s">
        <v>16</v>
      </c>
      <c r="D902">
        <v>761</v>
      </c>
      <c r="E902" s="4">
        <v>46109</v>
      </c>
      <c r="F902" s="4">
        <v>46115</v>
      </c>
      <c r="G902" s="4">
        <v>46115</v>
      </c>
      <c r="H902">
        <v>759</v>
      </c>
      <c r="I902" t="s">
        <v>1347</v>
      </c>
      <c r="J902">
        <v>24</v>
      </c>
      <c r="K902" t="s">
        <v>1563</v>
      </c>
      <c r="L902" t="str">
        <f t="shared" si="126"/>
        <v>Y</v>
      </c>
      <c r="M902" t="str">
        <f t="shared" si="127"/>
        <v>Y</v>
      </c>
      <c r="N902" t="str">
        <f t="shared" si="128"/>
        <v>Y</v>
      </c>
      <c r="O902">
        <f t="shared" si="129"/>
        <v>6</v>
      </c>
      <c r="P902" s="6">
        <f t="shared" si="130"/>
        <v>0.99737187910643887</v>
      </c>
      <c r="Q902" s="6">
        <f t="shared" si="131"/>
        <v>3.1620553359683792E-2</v>
      </c>
      <c r="R902">
        <f t="shared" si="132"/>
        <v>1</v>
      </c>
      <c r="S902">
        <f t="shared" si="133"/>
        <v>0</v>
      </c>
      <c r="T902" t="str">
        <f t="shared" si="134"/>
        <v>Apr-26</v>
      </c>
    </row>
    <row r="903" spans="1:20">
      <c r="A903" t="s">
        <v>1438</v>
      </c>
      <c r="B903" t="s">
        <v>120</v>
      </c>
      <c r="C903" t="s">
        <v>23</v>
      </c>
      <c r="D903">
        <v>872</v>
      </c>
      <c r="E903" s="4">
        <v>46093</v>
      </c>
      <c r="F903" s="4">
        <v>46099</v>
      </c>
      <c r="G903" s="4">
        <v>46097</v>
      </c>
      <c r="H903">
        <v>874</v>
      </c>
      <c r="I903" t="s">
        <v>201</v>
      </c>
      <c r="J903">
        <v>5</v>
      </c>
      <c r="K903" t="s">
        <v>1563</v>
      </c>
      <c r="L903" t="str">
        <f t="shared" si="126"/>
        <v>Y</v>
      </c>
      <c r="M903" t="str">
        <f t="shared" si="127"/>
        <v>Y</v>
      </c>
      <c r="N903" t="str">
        <f t="shared" si="128"/>
        <v>Y</v>
      </c>
      <c r="O903">
        <f t="shared" si="129"/>
        <v>4</v>
      </c>
      <c r="P903" s="6">
        <f t="shared" si="130"/>
        <v>1.0022935779816513</v>
      </c>
      <c r="Q903" s="6">
        <f t="shared" si="131"/>
        <v>5.7208237986270021E-3</v>
      </c>
      <c r="R903">
        <f t="shared" si="132"/>
        <v>1</v>
      </c>
      <c r="S903">
        <f t="shared" si="133"/>
        <v>0</v>
      </c>
      <c r="T903" t="str">
        <f t="shared" si="134"/>
        <v>Mar-26</v>
      </c>
    </row>
    <row r="904" spans="1:20">
      <c r="A904" t="s">
        <v>1439</v>
      </c>
      <c r="B904" t="s">
        <v>67</v>
      </c>
      <c r="C904" t="s">
        <v>16</v>
      </c>
      <c r="D904">
        <v>749</v>
      </c>
      <c r="E904" s="4">
        <v>46115</v>
      </c>
      <c r="F904" s="4">
        <v>46121</v>
      </c>
      <c r="G904" s="4">
        <v>46118</v>
      </c>
      <c r="H904">
        <v>759</v>
      </c>
      <c r="I904" t="s">
        <v>1440</v>
      </c>
      <c r="J904">
        <v>5</v>
      </c>
      <c r="K904" t="s">
        <v>1563</v>
      </c>
      <c r="L904" t="str">
        <f t="shared" si="126"/>
        <v>Y</v>
      </c>
      <c r="M904" t="str">
        <f t="shared" si="127"/>
        <v>Y</v>
      </c>
      <c r="N904" t="str">
        <f t="shared" si="128"/>
        <v>Y</v>
      </c>
      <c r="O904">
        <f t="shared" si="129"/>
        <v>3</v>
      </c>
      <c r="P904" s="6">
        <f t="shared" si="130"/>
        <v>1.0133511348464619</v>
      </c>
      <c r="Q904" s="6">
        <f t="shared" si="131"/>
        <v>6.587615283267457E-3</v>
      </c>
      <c r="R904">
        <f t="shared" si="132"/>
        <v>1</v>
      </c>
      <c r="S904">
        <f t="shared" si="133"/>
        <v>0</v>
      </c>
      <c r="T904" t="str">
        <f t="shared" si="134"/>
        <v>Apr-26</v>
      </c>
    </row>
    <row r="905" spans="1:20">
      <c r="A905" t="s">
        <v>1441</v>
      </c>
      <c r="B905" t="s">
        <v>32</v>
      </c>
      <c r="C905" t="s">
        <v>23</v>
      </c>
      <c r="D905">
        <v>990</v>
      </c>
      <c r="E905" s="4">
        <v>46141</v>
      </c>
      <c r="F905" s="4">
        <v>46153</v>
      </c>
      <c r="G905" s="4">
        <v>46150</v>
      </c>
      <c r="H905">
        <v>978</v>
      </c>
      <c r="I905" t="s">
        <v>739</v>
      </c>
      <c r="J905">
        <v>58</v>
      </c>
      <c r="K905" t="s">
        <v>1563</v>
      </c>
      <c r="L905" t="str">
        <f t="shared" si="126"/>
        <v>Y</v>
      </c>
      <c r="M905" t="str">
        <f t="shared" si="127"/>
        <v>Y</v>
      </c>
      <c r="N905" t="str">
        <f t="shared" si="128"/>
        <v>Y</v>
      </c>
      <c r="O905">
        <f t="shared" si="129"/>
        <v>9</v>
      </c>
      <c r="P905" s="6">
        <f t="shared" si="130"/>
        <v>0.98787878787878791</v>
      </c>
      <c r="Q905" s="6">
        <f t="shared" si="131"/>
        <v>5.9304703476482618E-2</v>
      </c>
      <c r="R905">
        <f t="shared" si="132"/>
        <v>1</v>
      </c>
      <c r="S905">
        <f t="shared" si="133"/>
        <v>0</v>
      </c>
      <c r="T905" t="str">
        <f t="shared" si="134"/>
        <v>May-26</v>
      </c>
    </row>
    <row r="906" spans="1:20">
      <c r="A906" t="s">
        <v>1442</v>
      </c>
      <c r="B906" t="s">
        <v>100</v>
      </c>
      <c r="C906" t="s">
        <v>16</v>
      </c>
      <c r="D906">
        <v>819</v>
      </c>
      <c r="E906" s="4">
        <v>46043</v>
      </c>
      <c r="F906" s="4">
        <v>46051</v>
      </c>
      <c r="G906" s="4">
        <v>46051</v>
      </c>
      <c r="H906">
        <v>805</v>
      </c>
      <c r="I906" t="s">
        <v>207</v>
      </c>
      <c r="J906">
        <v>18</v>
      </c>
      <c r="K906" t="s">
        <v>1563</v>
      </c>
      <c r="L906" t="str">
        <f t="shared" si="126"/>
        <v>Y</v>
      </c>
      <c r="M906" t="str">
        <f t="shared" si="127"/>
        <v>Y</v>
      </c>
      <c r="N906" t="str">
        <f t="shared" si="128"/>
        <v>Y</v>
      </c>
      <c r="O906">
        <f t="shared" si="129"/>
        <v>8</v>
      </c>
      <c r="P906" s="6">
        <f t="shared" si="130"/>
        <v>0.98290598290598286</v>
      </c>
      <c r="Q906" s="6">
        <f t="shared" si="131"/>
        <v>2.236024844720497E-2</v>
      </c>
      <c r="R906">
        <f t="shared" si="132"/>
        <v>1</v>
      </c>
      <c r="S906">
        <f t="shared" si="133"/>
        <v>0</v>
      </c>
      <c r="T906" t="str">
        <f t="shared" si="134"/>
        <v>Jan-26</v>
      </c>
    </row>
    <row r="907" spans="1:20">
      <c r="A907" t="s">
        <v>1443</v>
      </c>
      <c r="B907" t="s">
        <v>26</v>
      </c>
      <c r="C907" t="s">
        <v>16</v>
      </c>
      <c r="D907">
        <v>583</v>
      </c>
      <c r="E907" s="4">
        <v>46034</v>
      </c>
      <c r="F907" s="4">
        <v>46045</v>
      </c>
      <c r="G907" s="4">
        <v>46044</v>
      </c>
      <c r="H907">
        <v>586</v>
      </c>
      <c r="I907" t="s">
        <v>578</v>
      </c>
      <c r="J907">
        <v>8</v>
      </c>
      <c r="K907" t="s">
        <v>1563</v>
      </c>
      <c r="L907" t="str">
        <f t="shared" si="126"/>
        <v>Y</v>
      </c>
      <c r="M907" t="str">
        <f t="shared" si="127"/>
        <v>Y</v>
      </c>
      <c r="N907" t="str">
        <f t="shared" si="128"/>
        <v>Y</v>
      </c>
      <c r="O907">
        <f t="shared" si="129"/>
        <v>10</v>
      </c>
      <c r="P907" s="6">
        <f t="shared" si="130"/>
        <v>1.0051457975986278</v>
      </c>
      <c r="Q907" s="6">
        <f t="shared" si="131"/>
        <v>1.3651877133105802E-2</v>
      </c>
      <c r="R907">
        <f t="shared" si="132"/>
        <v>1</v>
      </c>
      <c r="S907">
        <f t="shared" si="133"/>
        <v>0</v>
      </c>
      <c r="T907" t="str">
        <f t="shared" si="134"/>
        <v>Jan-26</v>
      </c>
    </row>
    <row r="908" spans="1:20">
      <c r="A908" t="s">
        <v>1444</v>
      </c>
      <c r="B908" t="s">
        <v>46</v>
      </c>
      <c r="C908" t="s">
        <v>12</v>
      </c>
      <c r="D908">
        <v>866</v>
      </c>
      <c r="E908" s="4">
        <v>46093</v>
      </c>
      <c r="F908" s="4">
        <v>46103</v>
      </c>
      <c r="G908" s="4">
        <v>46101</v>
      </c>
      <c r="H908">
        <v>881</v>
      </c>
      <c r="I908" t="s">
        <v>444</v>
      </c>
      <c r="J908">
        <v>6</v>
      </c>
      <c r="K908" t="s">
        <v>1563</v>
      </c>
      <c r="L908" t="str">
        <f t="shared" si="126"/>
        <v>Y</v>
      </c>
      <c r="M908" t="str">
        <f t="shared" si="127"/>
        <v>Y</v>
      </c>
      <c r="N908" t="str">
        <f t="shared" si="128"/>
        <v>Y</v>
      </c>
      <c r="O908">
        <f t="shared" si="129"/>
        <v>8</v>
      </c>
      <c r="P908" s="6">
        <f t="shared" si="130"/>
        <v>1.0173210161662818</v>
      </c>
      <c r="Q908" s="6">
        <f t="shared" si="131"/>
        <v>6.8104426787741201E-3</v>
      </c>
      <c r="R908">
        <f t="shared" si="132"/>
        <v>1</v>
      </c>
      <c r="S908">
        <f t="shared" si="133"/>
        <v>0</v>
      </c>
      <c r="T908" t="str">
        <f t="shared" si="134"/>
        <v>Mar-26</v>
      </c>
    </row>
    <row r="909" spans="1:20">
      <c r="A909" t="s">
        <v>1445</v>
      </c>
      <c r="B909" t="s">
        <v>67</v>
      </c>
      <c r="C909" t="s">
        <v>23</v>
      </c>
      <c r="D909">
        <v>754</v>
      </c>
      <c r="E909" s="4">
        <v>46127</v>
      </c>
      <c r="F909" s="4">
        <v>46138</v>
      </c>
      <c r="G909" s="4">
        <v>46136</v>
      </c>
      <c r="H909">
        <v>740</v>
      </c>
      <c r="I909" t="s">
        <v>1446</v>
      </c>
      <c r="J909">
        <v>37</v>
      </c>
      <c r="K909" t="s">
        <v>1563</v>
      </c>
      <c r="L909" t="str">
        <f t="shared" si="126"/>
        <v>Y</v>
      </c>
      <c r="M909" t="str">
        <f t="shared" si="127"/>
        <v>Y</v>
      </c>
      <c r="N909" t="str">
        <f t="shared" si="128"/>
        <v>Y</v>
      </c>
      <c r="O909">
        <f t="shared" si="129"/>
        <v>9</v>
      </c>
      <c r="P909" s="6">
        <f t="shared" si="130"/>
        <v>0.98143236074270557</v>
      </c>
      <c r="Q909" s="6">
        <f t="shared" si="131"/>
        <v>0.05</v>
      </c>
      <c r="R909">
        <f t="shared" si="132"/>
        <v>1</v>
      </c>
      <c r="S909">
        <f t="shared" si="133"/>
        <v>0</v>
      </c>
      <c r="T909" t="str">
        <f t="shared" si="134"/>
        <v>Apr-26</v>
      </c>
    </row>
    <row r="910" spans="1:20">
      <c r="A910" t="s">
        <v>1447</v>
      </c>
      <c r="B910" t="s">
        <v>54</v>
      </c>
      <c r="C910" t="s">
        <v>16</v>
      </c>
      <c r="D910">
        <v>760</v>
      </c>
      <c r="E910" s="4">
        <v>46103</v>
      </c>
      <c r="F910" s="4">
        <v>46110</v>
      </c>
      <c r="G910" s="4">
        <v>46115</v>
      </c>
      <c r="H910">
        <v>755</v>
      </c>
      <c r="I910" t="s">
        <v>1019</v>
      </c>
      <c r="J910">
        <v>5</v>
      </c>
      <c r="K910" t="s">
        <v>1563</v>
      </c>
      <c r="L910" t="str">
        <f t="shared" si="126"/>
        <v>N</v>
      </c>
      <c r="M910" t="str">
        <f t="shared" si="127"/>
        <v>Y</v>
      </c>
      <c r="N910" t="str">
        <f t="shared" si="128"/>
        <v>N</v>
      </c>
      <c r="O910">
        <f t="shared" si="129"/>
        <v>12</v>
      </c>
      <c r="P910" s="6">
        <f t="shared" si="130"/>
        <v>0.99342105263157898</v>
      </c>
      <c r="Q910" s="6">
        <f t="shared" si="131"/>
        <v>6.6225165562913907E-3</v>
      </c>
      <c r="R910">
        <f t="shared" si="132"/>
        <v>0</v>
      </c>
      <c r="S910">
        <f t="shared" si="133"/>
        <v>5</v>
      </c>
      <c r="T910" t="str">
        <f t="shared" si="134"/>
        <v>Apr-26</v>
      </c>
    </row>
    <row r="911" spans="1:20">
      <c r="A911" t="s">
        <v>1448</v>
      </c>
      <c r="B911" t="s">
        <v>46</v>
      </c>
      <c r="C911" t="s">
        <v>16</v>
      </c>
      <c r="D911">
        <v>949</v>
      </c>
      <c r="E911" s="4">
        <v>46164</v>
      </c>
      <c r="F911" s="4">
        <v>46179</v>
      </c>
      <c r="G911" s="4">
        <v>46176</v>
      </c>
      <c r="H911">
        <v>965</v>
      </c>
      <c r="I911" t="s">
        <v>843</v>
      </c>
      <c r="J911">
        <v>49</v>
      </c>
      <c r="K911" t="s">
        <v>1563</v>
      </c>
      <c r="L911" t="str">
        <f t="shared" si="126"/>
        <v>Y</v>
      </c>
      <c r="M911" t="str">
        <f t="shared" si="127"/>
        <v>Y</v>
      </c>
      <c r="N911" t="str">
        <f t="shared" si="128"/>
        <v>Y</v>
      </c>
      <c r="O911">
        <f t="shared" si="129"/>
        <v>12</v>
      </c>
      <c r="P911" s="6">
        <f t="shared" si="130"/>
        <v>1.0168598524762908</v>
      </c>
      <c r="Q911" s="6">
        <f t="shared" si="131"/>
        <v>5.0777202072538857E-2</v>
      </c>
      <c r="R911">
        <f t="shared" si="132"/>
        <v>1</v>
      </c>
      <c r="S911">
        <f t="shared" si="133"/>
        <v>0</v>
      </c>
      <c r="T911" t="str">
        <f t="shared" si="134"/>
        <v>Jun-26</v>
      </c>
    </row>
    <row r="912" spans="1:20">
      <c r="A912" t="s">
        <v>1449</v>
      </c>
      <c r="B912" t="s">
        <v>64</v>
      </c>
      <c r="C912" t="s">
        <v>12</v>
      </c>
      <c r="D912">
        <v>101</v>
      </c>
      <c r="E912" s="4">
        <v>46144</v>
      </c>
      <c r="F912" s="4">
        <v>46149</v>
      </c>
      <c r="G912" s="4">
        <v>46148</v>
      </c>
      <c r="H912">
        <v>103</v>
      </c>
      <c r="I912" t="s">
        <v>936</v>
      </c>
      <c r="J912">
        <v>6</v>
      </c>
      <c r="K912" t="s">
        <v>1563</v>
      </c>
      <c r="L912" t="str">
        <f t="shared" si="126"/>
        <v>Y</v>
      </c>
      <c r="M912" t="str">
        <f t="shared" si="127"/>
        <v>Y</v>
      </c>
      <c r="N912" t="str">
        <f t="shared" si="128"/>
        <v>Y</v>
      </c>
      <c r="O912">
        <f t="shared" si="129"/>
        <v>4</v>
      </c>
      <c r="P912" s="6">
        <f t="shared" si="130"/>
        <v>1.0198019801980198</v>
      </c>
      <c r="Q912" s="6">
        <f t="shared" si="131"/>
        <v>5.8252427184466021E-2</v>
      </c>
      <c r="R912">
        <f t="shared" si="132"/>
        <v>1</v>
      </c>
      <c r="S912">
        <f t="shared" si="133"/>
        <v>0</v>
      </c>
      <c r="T912" t="str">
        <f t="shared" si="134"/>
        <v>May-26</v>
      </c>
    </row>
    <row r="913" spans="1:20">
      <c r="A913" t="s">
        <v>1450</v>
      </c>
      <c r="B913" t="s">
        <v>32</v>
      </c>
      <c r="C913" t="s">
        <v>23</v>
      </c>
      <c r="D913">
        <v>656</v>
      </c>
      <c r="E913" s="4">
        <v>46127</v>
      </c>
      <c r="F913" s="4">
        <v>46134</v>
      </c>
      <c r="G913" s="4">
        <v>46132</v>
      </c>
      <c r="H913">
        <v>555</v>
      </c>
      <c r="I913" t="s">
        <v>672</v>
      </c>
      <c r="J913">
        <v>9</v>
      </c>
      <c r="K913" t="s">
        <v>1563</v>
      </c>
      <c r="L913" t="str">
        <f t="shared" si="126"/>
        <v>Y</v>
      </c>
      <c r="M913" t="str">
        <f t="shared" si="127"/>
        <v>N</v>
      </c>
      <c r="N913" t="str">
        <f t="shared" si="128"/>
        <v>N</v>
      </c>
      <c r="O913">
        <f t="shared" si="129"/>
        <v>5</v>
      </c>
      <c r="P913" s="6">
        <f t="shared" si="130"/>
        <v>0.84603658536585369</v>
      </c>
      <c r="Q913" s="6">
        <f t="shared" si="131"/>
        <v>1.6216216216216217E-2</v>
      </c>
      <c r="R913">
        <f t="shared" si="132"/>
        <v>0</v>
      </c>
      <c r="S913">
        <f t="shared" si="133"/>
        <v>0</v>
      </c>
      <c r="T913" t="str">
        <f t="shared" si="134"/>
        <v>Apr-26</v>
      </c>
    </row>
    <row r="914" spans="1:20">
      <c r="A914" t="s">
        <v>1451</v>
      </c>
      <c r="B914" t="s">
        <v>29</v>
      </c>
      <c r="C914" t="s">
        <v>16</v>
      </c>
      <c r="D914">
        <v>481</v>
      </c>
      <c r="E914" s="4">
        <v>46074</v>
      </c>
      <c r="F914" s="4">
        <v>46089</v>
      </c>
      <c r="G914" s="4">
        <v>46087</v>
      </c>
      <c r="H914">
        <v>463</v>
      </c>
      <c r="I914" t="s">
        <v>1090</v>
      </c>
      <c r="J914">
        <v>3</v>
      </c>
      <c r="K914" t="s">
        <v>1563</v>
      </c>
      <c r="L914" t="str">
        <f t="shared" si="126"/>
        <v>Y</v>
      </c>
      <c r="M914" t="str">
        <f t="shared" si="127"/>
        <v>N</v>
      </c>
      <c r="N914" t="str">
        <f t="shared" si="128"/>
        <v>N</v>
      </c>
      <c r="O914">
        <f t="shared" si="129"/>
        <v>13</v>
      </c>
      <c r="P914" s="6">
        <f t="shared" si="130"/>
        <v>0.96257796257796258</v>
      </c>
      <c r="Q914" s="6">
        <f t="shared" si="131"/>
        <v>6.4794816414686825E-3</v>
      </c>
      <c r="R914">
        <f t="shared" si="132"/>
        <v>0</v>
      </c>
      <c r="S914">
        <f t="shared" si="133"/>
        <v>0</v>
      </c>
      <c r="T914" t="str">
        <f t="shared" si="134"/>
        <v>Mar-26</v>
      </c>
    </row>
    <row r="915" spans="1:20">
      <c r="A915" t="s">
        <v>1452</v>
      </c>
      <c r="B915" t="s">
        <v>19</v>
      </c>
      <c r="C915" t="s">
        <v>12</v>
      </c>
      <c r="D915">
        <v>868</v>
      </c>
      <c r="E915" s="4">
        <v>46155</v>
      </c>
      <c r="F915" s="4">
        <v>46170</v>
      </c>
      <c r="G915" s="4">
        <v>46170</v>
      </c>
      <c r="H915">
        <v>867</v>
      </c>
      <c r="I915" t="s">
        <v>821</v>
      </c>
      <c r="J915">
        <v>11</v>
      </c>
      <c r="K915" t="s">
        <v>1563</v>
      </c>
      <c r="L915" t="str">
        <f t="shared" si="126"/>
        <v>Y</v>
      </c>
      <c r="M915" t="str">
        <f t="shared" si="127"/>
        <v>Y</v>
      </c>
      <c r="N915" t="str">
        <f t="shared" si="128"/>
        <v>Y</v>
      </c>
      <c r="O915">
        <f t="shared" si="129"/>
        <v>15</v>
      </c>
      <c r="P915" s="6">
        <f t="shared" si="130"/>
        <v>0.99884792626728114</v>
      </c>
      <c r="Q915" s="6">
        <f t="shared" si="131"/>
        <v>1.2687427912341407E-2</v>
      </c>
      <c r="R915">
        <f t="shared" si="132"/>
        <v>1</v>
      </c>
      <c r="S915">
        <f t="shared" si="133"/>
        <v>0</v>
      </c>
      <c r="T915" t="str">
        <f t="shared" si="134"/>
        <v>May-26</v>
      </c>
    </row>
    <row r="916" spans="1:20">
      <c r="A916" t="s">
        <v>1453</v>
      </c>
      <c r="B916" t="s">
        <v>40</v>
      </c>
      <c r="C916" t="s">
        <v>12</v>
      </c>
      <c r="D916">
        <v>734</v>
      </c>
      <c r="E916" s="4">
        <v>46051</v>
      </c>
      <c r="F916" s="4">
        <v>46062</v>
      </c>
      <c r="G916" s="4">
        <v>46063</v>
      </c>
      <c r="H916">
        <v>736</v>
      </c>
      <c r="I916" t="s">
        <v>167</v>
      </c>
      <c r="J916">
        <v>11</v>
      </c>
      <c r="K916" t="s">
        <v>1563</v>
      </c>
      <c r="L916" t="str">
        <f t="shared" si="126"/>
        <v>N</v>
      </c>
      <c r="M916" t="str">
        <f t="shared" si="127"/>
        <v>Y</v>
      </c>
      <c r="N916" t="str">
        <f t="shared" si="128"/>
        <v>N</v>
      </c>
      <c r="O916">
        <f t="shared" si="129"/>
        <v>12</v>
      </c>
      <c r="P916" s="6">
        <f t="shared" si="130"/>
        <v>1.0027247956403269</v>
      </c>
      <c r="Q916" s="6">
        <f t="shared" si="131"/>
        <v>1.4945652173913044E-2</v>
      </c>
      <c r="R916">
        <f t="shared" si="132"/>
        <v>0</v>
      </c>
      <c r="S916">
        <f t="shared" si="133"/>
        <v>1</v>
      </c>
      <c r="T916" t="str">
        <f t="shared" si="134"/>
        <v>Feb-26</v>
      </c>
    </row>
    <row r="917" spans="1:20">
      <c r="A917" t="s">
        <v>1454</v>
      </c>
      <c r="B917" t="s">
        <v>54</v>
      </c>
      <c r="C917" t="s">
        <v>12</v>
      </c>
      <c r="D917">
        <v>532</v>
      </c>
      <c r="E917" s="4">
        <v>46054</v>
      </c>
      <c r="F917" s="4">
        <v>46059</v>
      </c>
      <c r="G917" s="4">
        <v>46062</v>
      </c>
      <c r="H917">
        <v>538</v>
      </c>
      <c r="I917" t="s">
        <v>1455</v>
      </c>
      <c r="J917">
        <v>1</v>
      </c>
      <c r="K917" t="s">
        <v>1563</v>
      </c>
      <c r="L917" t="str">
        <f t="shared" si="126"/>
        <v>N</v>
      </c>
      <c r="M917" t="str">
        <f t="shared" si="127"/>
        <v>Y</v>
      </c>
      <c r="N917" t="str">
        <f t="shared" si="128"/>
        <v>N</v>
      </c>
      <c r="O917">
        <f t="shared" si="129"/>
        <v>8</v>
      </c>
      <c r="P917" s="6">
        <f t="shared" si="130"/>
        <v>1.0112781954887218</v>
      </c>
      <c r="Q917" s="6">
        <f t="shared" si="131"/>
        <v>1.8587360594795538E-3</v>
      </c>
      <c r="R917">
        <f t="shared" si="132"/>
        <v>0</v>
      </c>
      <c r="S917">
        <f t="shared" si="133"/>
        <v>3</v>
      </c>
      <c r="T917" t="str">
        <f t="shared" si="134"/>
        <v>Feb-26</v>
      </c>
    </row>
    <row r="918" spans="1:20">
      <c r="A918" t="s">
        <v>1456</v>
      </c>
      <c r="B918" t="s">
        <v>22</v>
      </c>
      <c r="C918" t="s">
        <v>23</v>
      </c>
      <c r="D918">
        <v>254</v>
      </c>
      <c r="E918" s="4">
        <v>46052</v>
      </c>
      <c r="F918" s="4">
        <v>46066</v>
      </c>
      <c r="G918" s="4">
        <v>46064</v>
      </c>
      <c r="H918">
        <v>211</v>
      </c>
      <c r="I918" t="s">
        <v>619</v>
      </c>
      <c r="J918">
        <v>10</v>
      </c>
      <c r="K918" t="s">
        <v>1563</v>
      </c>
      <c r="L918" t="str">
        <f t="shared" si="126"/>
        <v>Y</v>
      </c>
      <c r="M918" t="str">
        <f t="shared" si="127"/>
        <v>N</v>
      </c>
      <c r="N918" t="str">
        <f t="shared" si="128"/>
        <v>N</v>
      </c>
      <c r="O918">
        <f t="shared" si="129"/>
        <v>12</v>
      </c>
      <c r="P918" s="6">
        <f t="shared" si="130"/>
        <v>0.8307086614173228</v>
      </c>
      <c r="Q918" s="6">
        <f t="shared" si="131"/>
        <v>4.7393364928909949E-2</v>
      </c>
      <c r="R918">
        <f t="shared" si="132"/>
        <v>0</v>
      </c>
      <c r="S918">
        <f t="shared" si="133"/>
        <v>0</v>
      </c>
      <c r="T918" t="str">
        <f t="shared" si="134"/>
        <v>Feb-26</v>
      </c>
    </row>
    <row r="919" spans="1:20">
      <c r="A919" t="s">
        <v>1457</v>
      </c>
      <c r="B919" t="s">
        <v>81</v>
      </c>
      <c r="C919" t="s">
        <v>16</v>
      </c>
      <c r="D919">
        <v>373</v>
      </c>
      <c r="E919" s="4">
        <v>46102</v>
      </c>
      <c r="F919" s="4">
        <v>46114</v>
      </c>
      <c r="G919" s="4">
        <v>46112</v>
      </c>
      <c r="H919">
        <v>377</v>
      </c>
      <c r="I919" t="s">
        <v>934</v>
      </c>
      <c r="J919">
        <v>3</v>
      </c>
      <c r="K919" t="s">
        <v>1563</v>
      </c>
      <c r="L919" t="str">
        <f t="shared" si="126"/>
        <v>Y</v>
      </c>
      <c r="M919" t="str">
        <f t="shared" si="127"/>
        <v>Y</v>
      </c>
      <c r="N919" t="str">
        <f t="shared" si="128"/>
        <v>Y</v>
      </c>
      <c r="O919">
        <f t="shared" si="129"/>
        <v>10</v>
      </c>
      <c r="P919" s="6">
        <f t="shared" si="130"/>
        <v>1.0107238605898123</v>
      </c>
      <c r="Q919" s="6">
        <f t="shared" si="131"/>
        <v>7.9575596816976128E-3</v>
      </c>
      <c r="R919">
        <f t="shared" si="132"/>
        <v>1</v>
      </c>
      <c r="S919">
        <f t="shared" si="133"/>
        <v>0</v>
      </c>
      <c r="T919" t="str">
        <f t="shared" si="134"/>
        <v>Mar-26</v>
      </c>
    </row>
    <row r="920" spans="1:20">
      <c r="A920" t="s">
        <v>1458</v>
      </c>
      <c r="B920" t="s">
        <v>70</v>
      </c>
      <c r="C920" t="s">
        <v>12</v>
      </c>
      <c r="D920">
        <v>672</v>
      </c>
      <c r="E920" s="4">
        <v>46044</v>
      </c>
      <c r="F920" s="4">
        <v>46051</v>
      </c>
      <c r="G920" s="4">
        <v>46059</v>
      </c>
      <c r="H920">
        <v>585</v>
      </c>
      <c r="I920" t="s">
        <v>690</v>
      </c>
      <c r="J920">
        <v>5</v>
      </c>
      <c r="K920" t="s">
        <v>1563</v>
      </c>
      <c r="L920" t="str">
        <f t="shared" si="126"/>
        <v>N</v>
      </c>
      <c r="M920" t="str">
        <f t="shared" si="127"/>
        <v>N</v>
      </c>
      <c r="N920" t="str">
        <f t="shared" si="128"/>
        <v>N</v>
      </c>
      <c r="O920">
        <f t="shared" si="129"/>
        <v>15</v>
      </c>
      <c r="P920" s="6">
        <f t="shared" si="130"/>
        <v>0.8705357142857143</v>
      </c>
      <c r="Q920" s="6">
        <f t="shared" si="131"/>
        <v>8.5470085470085479E-3</v>
      </c>
      <c r="R920">
        <f t="shared" si="132"/>
        <v>0</v>
      </c>
      <c r="S920">
        <f t="shared" si="133"/>
        <v>8</v>
      </c>
      <c r="T920" t="str">
        <f t="shared" si="134"/>
        <v>Feb-26</v>
      </c>
    </row>
    <row r="921" spans="1:20">
      <c r="A921" t="s">
        <v>1459</v>
      </c>
      <c r="B921" t="s">
        <v>52</v>
      </c>
      <c r="C921" t="s">
        <v>16</v>
      </c>
      <c r="D921">
        <v>169</v>
      </c>
      <c r="E921" s="4">
        <v>46057</v>
      </c>
      <c r="F921" s="4">
        <v>46066</v>
      </c>
      <c r="G921" s="4">
        <v>46063</v>
      </c>
      <c r="H921">
        <v>167</v>
      </c>
      <c r="I921" t="s">
        <v>383</v>
      </c>
      <c r="J921">
        <v>1</v>
      </c>
      <c r="K921" t="s">
        <v>1563</v>
      </c>
      <c r="L921" t="str">
        <f t="shared" si="126"/>
        <v>Y</v>
      </c>
      <c r="M921" t="str">
        <f t="shared" si="127"/>
        <v>Y</v>
      </c>
      <c r="N921" t="str">
        <f t="shared" si="128"/>
        <v>Y</v>
      </c>
      <c r="O921">
        <f t="shared" si="129"/>
        <v>6</v>
      </c>
      <c r="P921" s="6">
        <f t="shared" si="130"/>
        <v>0.98816568047337283</v>
      </c>
      <c r="Q921" s="6">
        <f t="shared" si="131"/>
        <v>5.9880239520958087E-3</v>
      </c>
      <c r="R921">
        <f t="shared" si="132"/>
        <v>1</v>
      </c>
      <c r="S921">
        <f t="shared" si="133"/>
        <v>0</v>
      </c>
      <c r="T921" t="str">
        <f t="shared" si="134"/>
        <v>Feb-26</v>
      </c>
    </row>
    <row r="922" spans="1:20">
      <c r="A922" t="s">
        <v>1460</v>
      </c>
      <c r="B922" t="s">
        <v>26</v>
      </c>
      <c r="C922" t="s">
        <v>12</v>
      </c>
      <c r="D922">
        <v>696</v>
      </c>
      <c r="E922" s="4">
        <v>46100</v>
      </c>
      <c r="F922" s="4">
        <v>46108</v>
      </c>
      <c r="G922" s="4">
        <v>46105</v>
      </c>
      <c r="H922">
        <v>698</v>
      </c>
      <c r="I922" t="s">
        <v>38</v>
      </c>
      <c r="J922">
        <v>21</v>
      </c>
      <c r="K922" t="s">
        <v>1563</v>
      </c>
      <c r="L922" t="str">
        <f t="shared" si="126"/>
        <v>Y</v>
      </c>
      <c r="M922" t="str">
        <f t="shared" si="127"/>
        <v>Y</v>
      </c>
      <c r="N922" t="str">
        <f t="shared" si="128"/>
        <v>Y</v>
      </c>
      <c r="O922">
        <f t="shared" si="129"/>
        <v>5</v>
      </c>
      <c r="P922" s="6">
        <f t="shared" si="130"/>
        <v>1.0028735632183907</v>
      </c>
      <c r="Q922" s="6">
        <f t="shared" si="131"/>
        <v>3.0085959885386818E-2</v>
      </c>
      <c r="R922">
        <f t="shared" si="132"/>
        <v>1</v>
      </c>
      <c r="S922">
        <f t="shared" si="133"/>
        <v>0</v>
      </c>
      <c r="T922" t="str">
        <f t="shared" si="134"/>
        <v>Mar-26</v>
      </c>
    </row>
    <row r="923" spans="1:20">
      <c r="A923" t="s">
        <v>1461</v>
      </c>
      <c r="B923" t="s">
        <v>54</v>
      </c>
      <c r="C923" t="s">
        <v>16</v>
      </c>
      <c r="D923">
        <v>329</v>
      </c>
      <c r="E923" s="4">
        <v>46162</v>
      </c>
      <c r="F923" s="4">
        <v>46175</v>
      </c>
      <c r="G923" s="4">
        <v>46175</v>
      </c>
      <c r="H923">
        <v>333</v>
      </c>
      <c r="I923" t="s">
        <v>1357</v>
      </c>
      <c r="J923">
        <v>4</v>
      </c>
      <c r="K923" t="s">
        <v>1563</v>
      </c>
      <c r="L923" t="str">
        <f t="shared" si="126"/>
        <v>Y</v>
      </c>
      <c r="M923" t="str">
        <f t="shared" si="127"/>
        <v>Y</v>
      </c>
      <c r="N923" t="str">
        <f t="shared" si="128"/>
        <v>Y</v>
      </c>
      <c r="O923">
        <f t="shared" si="129"/>
        <v>13</v>
      </c>
      <c r="P923" s="6">
        <f t="shared" si="130"/>
        <v>1.0121580547112461</v>
      </c>
      <c r="Q923" s="6">
        <f t="shared" si="131"/>
        <v>1.2012012012012012E-2</v>
      </c>
      <c r="R923">
        <f t="shared" si="132"/>
        <v>1</v>
      </c>
      <c r="S923">
        <f t="shared" si="133"/>
        <v>0</v>
      </c>
      <c r="T923" t="str">
        <f t="shared" si="134"/>
        <v>Jun-26</v>
      </c>
    </row>
    <row r="924" spans="1:20">
      <c r="A924" t="s">
        <v>1462</v>
      </c>
      <c r="B924" t="s">
        <v>64</v>
      </c>
      <c r="C924" t="s">
        <v>12</v>
      </c>
      <c r="D924">
        <v>897</v>
      </c>
      <c r="E924" s="4">
        <v>46158</v>
      </c>
      <c r="F924" s="4">
        <v>46168</v>
      </c>
      <c r="G924" s="4">
        <v>46171</v>
      </c>
      <c r="H924">
        <v>892</v>
      </c>
      <c r="I924" t="s">
        <v>1463</v>
      </c>
      <c r="J924">
        <v>8</v>
      </c>
      <c r="K924" t="s">
        <v>1563</v>
      </c>
      <c r="L924" t="str">
        <f t="shared" si="126"/>
        <v>N</v>
      </c>
      <c r="M924" t="str">
        <f t="shared" si="127"/>
        <v>Y</v>
      </c>
      <c r="N924" t="str">
        <f t="shared" si="128"/>
        <v>N</v>
      </c>
      <c r="O924">
        <f t="shared" si="129"/>
        <v>13</v>
      </c>
      <c r="P924" s="6">
        <f t="shared" si="130"/>
        <v>0.99442586399108135</v>
      </c>
      <c r="Q924" s="6">
        <f t="shared" si="131"/>
        <v>8.9686098654708519E-3</v>
      </c>
      <c r="R924">
        <f t="shared" si="132"/>
        <v>0</v>
      </c>
      <c r="S924">
        <f t="shared" si="133"/>
        <v>3</v>
      </c>
      <c r="T924" t="str">
        <f t="shared" si="134"/>
        <v>May-26</v>
      </c>
    </row>
    <row r="925" spans="1:20">
      <c r="A925" t="s">
        <v>1464</v>
      </c>
      <c r="B925" t="s">
        <v>100</v>
      </c>
      <c r="C925" t="s">
        <v>16</v>
      </c>
      <c r="D925">
        <v>956</v>
      </c>
      <c r="E925" s="4">
        <v>46033</v>
      </c>
      <c r="F925" s="4">
        <v>46040</v>
      </c>
      <c r="G925" s="4">
        <v>46038</v>
      </c>
      <c r="H925">
        <v>956</v>
      </c>
      <c r="I925" t="s">
        <v>1465</v>
      </c>
      <c r="J925">
        <v>22</v>
      </c>
      <c r="K925" t="s">
        <v>1563</v>
      </c>
      <c r="L925" t="str">
        <f t="shared" si="126"/>
        <v>Y</v>
      </c>
      <c r="M925" t="str">
        <f t="shared" si="127"/>
        <v>Y</v>
      </c>
      <c r="N925" t="str">
        <f t="shared" si="128"/>
        <v>Y</v>
      </c>
      <c r="O925">
        <f t="shared" si="129"/>
        <v>5</v>
      </c>
      <c r="P925" s="6">
        <f t="shared" si="130"/>
        <v>1</v>
      </c>
      <c r="Q925" s="6">
        <f t="shared" si="131"/>
        <v>2.3012552301255231E-2</v>
      </c>
      <c r="R925">
        <f t="shared" si="132"/>
        <v>1</v>
      </c>
      <c r="S925">
        <f t="shared" si="133"/>
        <v>0</v>
      </c>
      <c r="T925" t="str">
        <f t="shared" si="134"/>
        <v>Jan-26</v>
      </c>
    </row>
    <row r="926" spans="1:20">
      <c r="A926" t="s">
        <v>1466</v>
      </c>
      <c r="B926" t="s">
        <v>40</v>
      </c>
      <c r="C926" t="s">
        <v>16</v>
      </c>
      <c r="D926">
        <v>731</v>
      </c>
      <c r="E926" s="4">
        <v>46134</v>
      </c>
      <c r="F926" s="4">
        <v>46149</v>
      </c>
      <c r="G926" s="4">
        <v>46147</v>
      </c>
      <c r="H926">
        <v>732</v>
      </c>
      <c r="I926" t="s">
        <v>815</v>
      </c>
      <c r="J926">
        <v>47</v>
      </c>
      <c r="K926" t="s">
        <v>1563</v>
      </c>
      <c r="L926" t="str">
        <f t="shared" si="126"/>
        <v>Y</v>
      </c>
      <c r="M926" t="str">
        <f t="shared" si="127"/>
        <v>Y</v>
      </c>
      <c r="N926" t="str">
        <f t="shared" si="128"/>
        <v>Y</v>
      </c>
      <c r="O926">
        <f t="shared" si="129"/>
        <v>13</v>
      </c>
      <c r="P926" s="6">
        <f t="shared" si="130"/>
        <v>1.0013679890560876</v>
      </c>
      <c r="Q926" s="6">
        <f t="shared" si="131"/>
        <v>6.4207650273224046E-2</v>
      </c>
      <c r="R926">
        <f t="shared" si="132"/>
        <v>1</v>
      </c>
      <c r="S926">
        <f t="shared" si="133"/>
        <v>0</v>
      </c>
      <c r="T926" t="str">
        <f t="shared" si="134"/>
        <v>May-26</v>
      </c>
    </row>
    <row r="927" spans="1:20">
      <c r="A927" t="s">
        <v>1467</v>
      </c>
      <c r="B927" t="s">
        <v>40</v>
      </c>
      <c r="C927" t="s">
        <v>23</v>
      </c>
      <c r="D927">
        <v>86</v>
      </c>
      <c r="E927" s="4">
        <v>46168</v>
      </c>
      <c r="F927" s="4">
        <v>46179</v>
      </c>
      <c r="G927" s="4">
        <v>46176</v>
      </c>
      <c r="H927">
        <v>84</v>
      </c>
      <c r="I927" t="s">
        <v>33</v>
      </c>
      <c r="J927">
        <v>1</v>
      </c>
      <c r="K927" t="s">
        <v>1563</v>
      </c>
      <c r="L927" t="str">
        <f t="shared" si="126"/>
        <v>Y</v>
      </c>
      <c r="M927" t="str">
        <f t="shared" si="127"/>
        <v>N</v>
      </c>
      <c r="N927" t="str">
        <f t="shared" si="128"/>
        <v>N</v>
      </c>
      <c r="O927">
        <f t="shared" si="129"/>
        <v>8</v>
      </c>
      <c r="P927" s="6">
        <f t="shared" si="130"/>
        <v>0.97674418604651159</v>
      </c>
      <c r="Q927" s="6">
        <f t="shared" si="131"/>
        <v>1.1904761904761904E-2</v>
      </c>
      <c r="R927">
        <f t="shared" si="132"/>
        <v>0</v>
      </c>
      <c r="S927">
        <f t="shared" si="133"/>
        <v>0</v>
      </c>
      <c r="T927" t="str">
        <f t="shared" si="134"/>
        <v>Jun-26</v>
      </c>
    </row>
    <row r="928" spans="1:20">
      <c r="A928" t="s">
        <v>1469</v>
      </c>
      <c r="B928" t="s">
        <v>43</v>
      </c>
      <c r="C928" t="s">
        <v>12</v>
      </c>
      <c r="D928">
        <v>87</v>
      </c>
      <c r="E928" s="4">
        <v>46150</v>
      </c>
      <c r="F928" s="4">
        <v>46161</v>
      </c>
      <c r="G928" s="4">
        <v>46158</v>
      </c>
      <c r="H928">
        <v>86</v>
      </c>
      <c r="I928" t="s">
        <v>231</v>
      </c>
      <c r="J928">
        <v>1</v>
      </c>
      <c r="K928" t="s">
        <v>1563</v>
      </c>
      <c r="L928" t="str">
        <f t="shared" si="126"/>
        <v>Y</v>
      </c>
      <c r="M928" t="str">
        <f t="shared" si="127"/>
        <v>Y</v>
      </c>
      <c r="N928" t="str">
        <f t="shared" si="128"/>
        <v>Y</v>
      </c>
      <c r="O928">
        <f t="shared" si="129"/>
        <v>8</v>
      </c>
      <c r="P928" s="6">
        <f t="shared" si="130"/>
        <v>0.9885057471264368</v>
      </c>
      <c r="Q928" s="6">
        <f t="shared" si="131"/>
        <v>1.1627906976744186E-2</v>
      </c>
      <c r="R928">
        <f t="shared" si="132"/>
        <v>1</v>
      </c>
      <c r="S928">
        <f t="shared" si="133"/>
        <v>0</v>
      </c>
      <c r="T928" t="str">
        <f t="shared" si="134"/>
        <v>May-26</v>
      </c>
    </row>
    <row r="929" spans="1:20">
      <c r="A929" t="s">
        <v>1470</v>
      </c>
      <c r="B929" t="s">
        <v>64</v>
      </c>
      <c r="C929" t="s">
        <v>16</v>
      </c>
      <c r="D929">
        <v>665</v>
      </c>
      <c r="E929" s="4">
        <v>46093</v>
      </c>
      <c r="F929" s="4">
        <v>46098</v>
      </c>
      <c r="G929" s="4">
        <v>46097</v>
      </c>
      <c r="H929">
        <v>631</v>
      </c>
      <c r="I929" t="s">
        <v>1471</v>
      </c>
      <c r="J929">
        <v>27</v>
      </c>
      <c r="K929" t="s">
        <v>1563</v>
      </c>
      <c r="L929" t="str">
        <f t="shared" si="126"/>
        <v>Y</v>
      </c>
      <c r="M929" t="str">
        <f t="shared" si="127"/>
        <v>N</v>
      </c>
      <c r="N929" t="str">
        <f t="shared" si="128"/>
        <v>N</v>
      </c>
      <c r="O929">
        <f t="shared" si="129"/>
        <v>4</v>
      </c>
      <c r="P929" s="6">
        <f t="shared" si="130"/>
        <v>0.94887218045112787</v>
      </c>
      <c r="Q929" s="6">
        <f t="shared" si="131"/>
        <v>4.2789223454833596E-2</v>
      </c>
      <c r="R929">
        <f t="shared" si="132"/>
        <v>0</v>
      </c>
      <c r="S929">
        <f t="shared" si="133"/>
        <v>0</v>
      </c>
      <c r="T929" t="str">
        <f t="shared" si="134"/>
        <v>Mar-26</v>
      </c>
    </row>
    <row r="930" spans="1:20">
      <c r="A930" t="s">
        <v>1472</v>
      </c>
      <c r="B930" t="s">
        <v>120</v>
      </c>
      <c r="C930" t="s">
        <v>12</v>
      </c>
      <c r="D930">
        <v>271</v>
      </c>
      <c r="E930" s="4">
        <v>46102</v>
      </c>
      <c r="F930" s="4">
        <v>46113</v>
      </c>
      <c r="G930" s="4">
        <v>46112</v>
      </c>
      <c r="H930">
        <v>271</v>
      </c>
      <c r="I930" t="s">
        <v>658</v>
      </c>
      <c r="J930">
        <v>7</v>
      </c>
      <c r="K930" t="s">
        <v>1563</v>
      </c>
      <c r="L930" t="str">
        <f t="shared" si="126"/>
        <v>Y</v>
      </c>
      <c r="M930" t="str">
        <f t="shared" si="127"/>
        <v>Y</v>
      </c>
      <c r="N930" t="str">
        <f t="shared" si="128"/>
        <v>Y</v>
      </c>
      <c r="O930">
        <f t="shared" si="129"/>
        <v>10</v>
      </c>
      <c r="P930" s="6">
        <f t="shared" si="130"/>
        <v>1</v>
      </c>
      <c r="Q930" s="6">
        <f t="shared" si="131"/>
        <v>2.5830258302583026E-2</v>
      </c>
      <c r="R930">
        <f t="shared" si="132"/>
        <v>1</v>
      </c>
      <c r="S930">
        <f t="shared" si="133"/>
        <v>0</v>
      </c>
      <c r="T930" t="str">
        <f t="shared" si="134"/>
        <v>Mar-26</v>
      </c>
    </row>
    <row r="931" spans="1:20">
      <c r="A931" t="s">
        <v>1473</v>
      </c>
      <c r="B931" t="s">
        <v>64</v>
      </c>
      <c r="C931" t="s">
        <v>16</v>
      </c>
      <c r="D931">
        <v>758</v>
      </c>
      <c r="E931" s="4">
        <v>46046</v>
      </c>
      <c r="F931" s="4">
        <v>46059</v>
      </c>
      <c r="G931" s="4">
        <v>46057</v>
      </c>
      <c r="H931">
        <v>746</v>
      </c>
      <c r="I931" t="s">
        <v>815</v>
      </c>
      <c r="J931">
        <v>48</v>
      </c>
      <c r="K931" t="s">
        <v>1563</v>
      </c>
      <c r="L931" t="str">
        <f t="shared" si="126"/>
        <v>Y</v>
      </c>
      <c r="M931" t="str">
        <f t="shared" si="127"/>
        <v>Y</v>
      </c>
      <c r="N931" t="str">
        <f t="shared" si="128"/>
        <v>Y</v>
      </c>
      <c r="O931">
        <f t="shared" si="129"/>
        <v>11</v>
      </c>
      <c r="P931" s="6">
        <f t="shared" si="130"/>
        <v>0.9841688654353562</v>
      </c>
      <c r="Q931" s="6">
        <f t="shared" si="131"/>
        <v>6.4343163538873996E-2</v>
      </c>
      <c r="R931">
        <f t="shared" si="132"/>
        <v>1</v>
      </c>
      <c r="S931">
        <f t="shared" si="133"/>
        <v>0</v>
      </c>
      <c r="T931" t="str">
        <f t="shared" si="134"/>
        <v>Feb-26</v>
      </c>
    </row>
    <row r="932" spans="1:20">
      <c r="A932" t="s">
        <v>1474</v>
      </c>
      <c r="B932" t="s">
        <v>120</v>
      </c>
      <c r="C932" t="s">
        <v>12</v>
      </c>
      <c r="D932">
        <v>208</v>
      </c>
      <c r="E932" s="4">
        <v>46049</v>
      </c>
      <c r="F932" s="4">
        <v>46055</v>
      </c>
      <c r="G932" s="4">
        <v>46052</v>
      </c>
      <c r="H932">
        <v>211</v>
      </c>
      <c r="I932" t="s">
        <v>38</v>
      </c>
      <c r="J932">
        <v>11</v>
      </c>
      <c r="K932" t="s">
        <v>1563</v>
      </c>
      <c r="L932" t="str">
        <f t="shared" si="126"/>
        <v>Y</v>
      </c>
      <c r="M932" t="str">
        <f t="shared" si="127"/>
        <v>Y</v>
      </c>
      <c r="N932" t="str">
        <f t="shared" si="128"/>
        <v>Y</v>
      </c>
      <c r="O932">
        <f t="shared" si="129"/>
        <v>3</v>
      </c>
      <c r="P932" s="6">
        <f t="shared" si="130"/>
        <v>1.0144230769230769</v>
      </c>
      <c r="Q932" s="6">
        <f t="shared" si="131"/>
        <v>5.2132701421800945E-2</v>
      </c>
      <c r="R932">
        <f t="shared" si="132"/>
        <v>1</v>
      </c>
      <c r="S932">
        <f t="shared" si="133"/>
        <v>0</v>
      </c>
      <c r="T932" t="str">
        <f t="shared" si="134"/>
        <v>Jan-26</v>
      </c>
    </row>
    <row r="933" spans="1:20">
      <c r="A933" t="s">
        <v>1475</v>
      </c>
      <c r="B933" t="s">
        <v>11</v>
      </c>
      <c r="C933" t="s">
        <v>16</v>
      </c>
      <c r="D933">
        <v>307</v>
      </c>
      <c r="E933" s="4">
        <v>46112</v>
      </c>
      <c r="F933" s="4">
        <v>46117</v>
      </c>
      <c r="G933" s="4">
        <v>46116</v>
      </c>
      <c r="H933">
        <v>312</v>
      </c>
      <c r="I933" t="s">
        <v>650</v>
      </c>
      <c r="J933">
        <v>1</v>
      </c>
      <c r="K933" t="s">
        <v>1563</v>
      </c>
      <c r="L933" t="str">
        <f t="shared" si="126"/>
        <v>Y</v>
      </c>
      <c r="M933" t="str">
        <f t="shared" si="127"/>
        <v>Y</v>
      </c>
      <c r="N933" t="str">
        <f t="shared" si="128"/>
        <v>Y</v>
      </c>
      <c r="O933">
        <f t="shared" si="129"/>
        <v>4</v>
      </c>
      <c r="P933" s="6">
        <f t="shared" si="130"/>
        <v>1.0162866449511401</v>
      </c>
      <c r="Q933" s="6">
        <f t="shared" si="131"/>
        <v>3.205128205128205E-3</v>
      </c>
      <c r="R933">
        <f t="shared" si="132"/>
        <v>1</v>
      </c>
      <c r="S933">
        <f t="shared" si="133"/>
        <v>0</v>
      </c>
      <c r="T933" t="str">
        <f t="shared" si="134"/>
        <v>Apr-26</v>
      </c>
    </row>
    <row r="934" spans="1:20">
      <c r="A934" t="s">
        <v>1476</v>
      </c>
      <c r="B934" t="s">
        <v>35</v>
      </c>
      <c r="C934" t="s">
        <v>23</v>
      </c>
      <c r="D934">
        <v>122</v>
      </c>
      <c r="E934" s="4">
        <v>46057</v>
      </c>
      <c r="F934" s="4">
        <v>46063</v>
      </c>
      <c r="G934" s="4">
        <v>46064</v>
      </c>
      <c r="H934">
        <v>123</v>
      </c>
      <c r="I934" t="s">
        <v>1477</v>
      </c>
      <c r="J934">
        <v>7</v>
      </c>
      <c r="K934" t="s">
        <v>1563</v>
      </c>
      <c r="L934" t="str">
        <f t="shared" si="126"/>
        <v>N</v>
      </c>
      <c r="M934" t="str">
        <f t="shared" si="127"/>
        <v>Y</v>
      </c>
      <c r="N934" t="str">
        <f t="shared" si="128"/>
        <v>N</v>
      </c>
      <c r="O934">
        <f t="shared" si="129"/>
        <v>7</v>
      </c>
      <c r="P934" s="6">
        <f t="shared" si="130"/>
        <v>1.0081967213114753</v>
      </c>
      <c r="Q934" s="6">
        <f t="shared" si="131"/>
        <v>5.6910569105691054E-2</v>
      </c>
      <c r="R934">
        <f t="shared" si="132"/>
        <v>0</v>
      </c>
      <c r="S934">
        <f t="shared" si="133"/>
        <v>1</v>
      </c>
      <c r="T934" t="str">
        <f t="shared" si="134"/>
        <v>Feb-26</v>
      </c>
    </row>
    <row r="935" spans="1:20">
      <c r="A935" t="s">
        <v>1478</v>
      </c>
      <c r="B935" t="s">
        <v>49</v>
      </c>
      <c r="C935" t="s">
        <v>23</v>
      </c>
      <c r="D935">
        <v>753</v>
      </c>
      <c r="E935" s="4">
        <v>46173</v>
      </c>
      <c r="F935" s="4">
        <v>46186</v>
      </c>
      <c r="G935" s="4">
        <v>46190</v>
      </c>
      <c r="H935">
        <v>766</v>
      </c>
      <c r="I935" t="s">
        <v>1479</v>
      </c>
      <c r="J935">
        <v>5</v>
      </c>
      <c r="K935" t="s">
        <v>1563</v>
      </c>
      <c r="L935" t="str">
        <f t="shared" si="126"/>
        <v>N</v>
      </c>
      <c r="M935" t="str">
        <f t="shared" si="127"/>
        <v>Y</v>
      </c>
      <c r="N935" t="str">
        <f t="shared" si="128"/>
        <v>N</v>
      </c>
      <c r="O935">
        <f t="shared" si="129"/>
        <v>17</v>
      </c>
      <c r="P935" s="6">
        <f t="shared" si="130"/>
        <v>1.0172642762284196</v>
      </c>
      <c r="Q935" s="6">
        <f t="shared" si="131"/>
        <v>6.5274151436031328E-3</v>
      </c>
      <c r="R935">
        <f t="shared" si="132"/>
        <v>0</v>
      </c>
      <c r="S935">
        <f t="shared" si="133"/>
        <v>4</v>
      </c>
      <c r="T935" t="str">
        <f t="shared" si="134"/>
        <v>Jun-26</v>
      </c>
    </row>
    <row r="936" spans="1:20">
      <c r="A936" t="s">
        <v>1480</v>
      </c>
      <c r="B936" t="s">
        <v>29</v>
      </c>
      <c r="C936" t="s">
        <v>12</v>
      </c>
      <c r="D936">
        <v>529</v>
      </c>
      <c r="E936" s="4">
        <v>46129</v>
      </c>
      <c r="F936" s="4">
        <v>46135</v>
      </c>
      <c r="G936" s="4">
        <v>46133</v>
      </c>
      <c r="H936">
        <v>535</v>
      </c>
      <c r="I936" t="s">
        <v>1481</v>
      </c>
      <c r="J936">
        <v>3</v>
      </c>
      <c r="K936" t="s">
        <v>1563</v>
      </c>
      <c r="L936" t="str">
        <f t="shared" si="126"/>
        <v>Y</v>
      </c>
      <c r="M936" t="str">
        <f t="shared" si="127"/>
        <v>Y</v>
      </c>
      <c r="N936" t="str">
        <f t="shared" si="128"/>
        <v>Y</v>
      </c>
      <c r="O936">
        <f t="shared" si="129"/>
        <v>4</v>
      </c>
      <c r="P936" s="6">
        <f t="shared" si="130"/>
        <v>1.0113421550094519</v>
      </c>
      <c r="Q936" s="6">
        <f t="shared" si="131"/>
        <v>5.6074766355140183E-3</v>
      </c>
      <c r="R936">
        <f t="shared" si="132"/>
        <v>1</v>
      </c>
      <c r="S936">
        <f t="shared" si="133"/>
        <v>0</v>
      </c>
      <c r="T936" t="str">
        <f t="shared" si="134"/>
        <v>Apr-26</v>
      </c>
    </row>
    <row r="937" spans="1:20">
      <c r="A937" t="s">
        <v>1482</v>
      </c>
      <c r="B937" t="s">
        <v>177</v>
      </c>
      <c r="C937" t="s">
        <v>12</v>
      </c>
      <c r="D937">
        <v>403</v>
      </c>
      <c r="E937" s="4">
        <v>46119</v>
      </c>
      <c r="F937" s="4">
        <v>46124</v>
      </c>
      <c r="G937" s="4">
        <v>46124</v>
      </c>
      <c r="H937">
        <v>404</v>
      </c>
      <c r="I937" t="s">
        <v>1483</v>
      </c>
      <c r="J937">
        <v>0</v>
      </c>
      <c r="K937" t="s">
        <v>1563</v>
      </c>
      <c r="L937" t="str">
        <f t="shared" si="126"/>
        <v>Y</v>
      </c>
      <c r="M937" t="str">
        <f t="shared" si="127"/>
        <v>Y</v>
      </c>
      <c r="N937" t="str">
        <f t="shared" si="128"/>
        <v>Y</v>
      </c>
      <c r="O937">
        <f t="shared" si="129"/>
        <v>5</v>
      </c>
      <c r="P937" s="6">
        <f t="shared" si="130"/>
        <v>1.0024813895781637</v>
      </c>
      <c r="Q937" s="6">
        <f t="shared" si="131"/>
        <v>0</v>
      </c>
      <c r="R937">
        <f t="shared" si="132"/>
        <v>1</v>
      </c>
      <c r="S937">
        <f t="shared" si="133"/>
        <v>0</v>
      </c>
      <c r="T937" t="str">
        <f t="shared" si="134"/>
        <v>Apr-26</v>
      </c>
    </row>
    <row r="938" spans="1:20">
      <c r="A938" t="s">
        <v>1484</v>
      </c>
      <c r="B938" t="s">
        <v>49</v>
      </c>
      <c r="C938" t="s">
        <v>12</v>
      </c>
      <c r="D938">
        <v>911</v>
      </c>
      <c r="E938" s="4">
        <v>46143</v>
      </c>
      <c r="F938" s="4">
        <v>46154</v>
      </c>
      <c r="G938" s="4">
        <v>46162</v>
      </c>
      <c r="H938">
        <v>923</v>
      </c>
      <c r="I938" t="s">
        <v>1455</v>
      </c>
      <c r="J938">
        <v>11</v>
      </c>
      <c r="K938" t="s">
        <v>1563</v>
      </c>
      <c r="L938" t="str">
        <f t="shared" si="126"/>
        <v>N</v>
      </c>
      <c r="M938" t="str">
        <f t="shared" si="127"/>
        <v>Y</v>
      </c>
      <c r="N938" t="str">
        <f t="shared" si="128"/>
        <v>N</v>
      </c>
      <c r="O938">
        <f t="shared" si="129"/>
        <v>19</v>
      </c>
      <c r="P938" s="6">
        <f t="shared" si="130"/>
        <v>1.0131723380900111</v>
      </c>
      <c r="Q938" s="6">
        <f t="shared" si="131"/>
        <v>1.1917659804983749E-2</v>
      </c>
      <c r="R938">
        <f t="shared" si="132"/>
        <v>0</v>
      </c>
      <c r="S938">
        <f t="shared" si="133"/>
        <v>8</v>
      </c>
      <c r="T938" t="str">
        <f t="shared" si="134"/>
        <v>May-26</v>
      </c>
    </row>
    <row r="939" spans="1:20">
      <c r="A939" t="s">
        <v>1485</v>
      </c>
      <c r="B939" t="s">
        <v>70</v>
      </c>
      <c r="C939" t="s">
        <v>12</v>
      </c>
      <c r="D939">
        <v>819</v>
      </c>
      <c r="E939" s="4">
        <v>46115</v>
      </c>
      <c r="F939" s="4">
        <v>46123</v>
      </c>
      <c r="G939" s="4">
        <v>46121</v>
      </c>
      <c r="H939">
        <v>830</v>
      </c>
      <c r="I939" t="s">
        <v>603</v>
      </c>
      <c r="J939">
        <v>2</v>
      </c>
      <c r="K939" t="s">
        <v>1563</v>
      </c>
      <c r="L939" t="str">
        <f t="shared" si="126"/>
        <v>Y</v>
      </c>
      <c r="M939" t="str">
        <f t="shared" si="127"/>
        <v>Y</v>
      </c>
      <c r="N939" t="str">
        <f t="shared" si="128"/>
        <v>Y</v>
      </c>
      <c r="O939">
        <f t="shared" si="129"/>
        <v>6</v>
      </c>
      <c r="P939" s="6">
        <f t="shared" si="130"/>
        <v>1.0134310134310134</v>
      </c>
      <c r="Q939" s="6">
        <f t="shared" si="131"/>
        <v>2.4096385542168677E-3</v>
      </c>
      <c r="R939">
        <f t="shared" si="132"/>
        <v>1</v>
      </c>
      <c r="S939">
        <f t="shared" si="133"/>
        <v>0</v>
      </c>
      <c r="T939" t="str">
        <f t="shared" si="134"/>
        <v>Apr-26</v>
      </c>
    </row>
    <row r="940" spans="1:20">
      <c r="A940" t="s">
        <v>1486</v>
      </c>
      <c r="B940" t="s">
        <v>35</v>
      </c>
      <c r="C940" t="s">
        <v>12</v>
      </c>
      <c r="D940">
        <v>348</v>
      </c>
      <c r="E940" s="4">
        <v>46043</v>
      </c>
      <c r="F940" s="4">
        <v>46054</v>
      </c>
      <c r="G940" s="4">
        <v>46051</v>
      </c>
      <c r="H940">
        <v>352</v>
      </c>
      <c r="I940" t="s">
        <v>98</v>
      </c>
      <c r="J940">
        <v>22</v>
      </c>
      <c r="K940" t="s">
        <v>1563</v>
      </c>
      <c r="L940" t="str">
        <f t="shared" si="126"/>
        <v>Y</v>
      </c>
      <c r="M940" t="str">
        <f t="shared" si="127"/>
        <v>Y</v>
      </c>
      <c r="N940" t="str">
        <f t="shared" si="128"/>
        <v>Y</v>
      </c>
      <c r="O940">
        <f t="shared" si="129"/>
        <v>8</v>
      </c>
      <c r="P940" s="6">
        <f t="shared" si="130"/>
        <v>1.0114942528735633</v>
      </c>
      <c r="Q940" s="6">
        <f t="shared" si="131"/>
        <v>6.25E-2</v>
      </c>
      <c r="R940">
        <f t="shared" si="132"/>
        <v>1</v>
      </c>
      <c r="S940">
        <f t="shared" si="133"/>
        <v>0</v>
      </c>
      <c r="T940" t="str">
        <f t="shared" si="134"/>
        <v>Jan-26</v>
      </c>
    </row>
    <row r="941" spans="1:20">
      <c r="A941" t="s">
        <v>1487</v>
      </c>
      <c r="B941" t="s">
        <v>67</v>
      </c>
      <c r="C941" t="s">
        <v>12</v>
      </c>
      <c r="D941">
        <v>321</v>
      </c>
      <c r="E941" s="4">
        <v>46028</v>
      </c>
      <c r="F941" s="4">
        <v>46035</v>
      </c>
      <c r="G941" s="4">
        <v>46040</v>
      </c>
      <c r="H941">
        <v>276</v>
      </c>
      <c r="I941" t="s">
        <v>645</v>
      </c>
      <c r="J941">
        <v>1</v>
      </c>
      <c r="K941" t="s">
        <v>1563</v>
      </c>
      <c r="L941" t="str">
        <f t="shared" si="126"/>
        <v>N</v>
      </c>
      <c r="M941" t="str">
        <f t="shared" si="127"/>
        <v>N</v>
      </c>
      <c r="N941" t="str">
        <f t="shared" si="128"/>
        <v>N</v>
      </c>
      <c r="O941">
        <f t="shared" si="129"/>
        <v>12</v>
      </c>
      <c r="P941" s="6">
        <f t="shared" si="130"/>
        <v>0.85981308411214952</v>
      </c>
      <c r="Q941" s="6">
        <f t="shared" si="131"/>
        <v>3.6231884057971015E-3</v>
      </c>
      <c r="R941">
        <f t="shared" si="132"/>
        <v>0</v>
      </c>
      <c r="S941">
        <f t="shared" si="133"/>
        <v>5</v>
      </c>
      <c r="T941" t="str">
        <f t="shared" si="134"/>
        <v>Jan-26</v>
      </c>
    </row>
    <row r="942" spans="1:20">
      <c r="A942" t="s">
        <v>1488</v>
      </c>
      <c r="B942" t="s">
        <v>11</v>
      </c>
      <c r="C942" t="s">
        <v>12</v>
      </c>
      <c r="D942">
        <v>518</v>
      </c>
      <c r="E942" s="4">
        <v>46110</v>
      </c>
      <c r="F942" s="4">
        <v>46118</v>
      </c>
      <c r="G942" s="4"/>
      <c r="I942" t="s">
        <v>891</v>
      </c>
      <c r="K942" t="s">
        <v>1565</v>
      </c>
      <c r="L942" t="str">
        <f t="shared" si="126"/>
        <v>N/A</v>
      </c>
      <c r="M942" t="str">
        <f t="shared" si="127"/>
        <v>N/A</v>
      </c>
      <c r="N942" t="str">
        <f t="shared" si="128"/>
        <v>N/A</v>
      </c>
      <c r="O942" t="str">
        <f t="shared" si="129"/>
        <v>N/A</v>
      </c>
      <c r="P942" s="6" t="str">
        <f t="shared" si="130"/>
        <v>N/A</v>
      </c>
      <c r="Q942" s="6" t="str">
        <f t="shared" si="131"/>
        <v>N/A</v>
      </c>
      <c r="R942" t="str">
        <f t="shared" si="132"/>
        <v/>
      </c>
      <c r="S942" t="str">
        <f t="shared" si="133"/>
        <v>N/A</v>
      </c>
      <c r="T942" t="str">
        <f t="shared" si="134"/>
        <v>N/A</v>
      </c>
    </row>
    <row r="943" spans="1:20">
      <c r="A943" t="s">
        <v>1489</v>
      </c>
      <c r="B943" t="s">
        <v>29</v>
      </c>
      <c r="C943" t="s">
        <v>23</v>
      </c>
      <c r="D943">
        <v>290</v>
      </c>
      <c r="E943" s="4">
        <v>46130</v>
      </c>
      <c r="F943" s="4">
        <v>46144</v>
      </c>
      <c r="G943" s="4">
        <v>46141</v>
      </c>
      <c r="H943">
        <v>278</v>
      </c>
      <c r="I943" t="s">
        <v>1491</v>
      </c>
      <c r="J943">
        <v>3</v>
      </c>
      <c r="K943" t="s">
        <v>1563</v>
      </c>
      <c r="L943" t="str">
        <f t="shared" si="126"/>
        <v>Y</v>
      </c>
      <c r="M943" t="str">
        <f t="shared" si="127"/>
        <v>N</v>
      </c>
      <c r="N943" t="str">
        <f t="shared" si="128"/>
        <v>N</v>
      </c>
      <c r="O943">
        <f t="shared" si="129"/>
        <v>11</v>
      </c>
      <c r="P943" s="6">
        <f t="shared" si="130"/>
        <v>0.95862068965517244</v>
      </c>
      <c r="Q943" s="6">
        <f t="shared" si="131"/>
        <v>1.0791366906474821E-2</v>
      </c>
      <c r="R943">
        <f t="shared" si="132"/>
        <v>0</v>
      </c>
      <c r="S943">
        <f t="shared" si="133"/>
        <v>0</v>
      </c>
      <c r="T943" t="str">
        <f t="shared" si="134"/>
        <v>Apr-26</v>
      </c>
    </row>
    <row r="944" spans="1:20">
      <c r="A944" t="s">
        <v>1492</v>
      </c>
      <c r="B944" t="s">
        <v>49</v>
      </c>
      <c r="C944" t="s">
        <v>23</v>
      </c>
      <c r="D944">
        <v>694</v>
      </c>
      <c r="E944" s="4">
        <v>46052</v>
      </c>
      <c r="F944" s="4">
        <v>46063</v>
      </c>
      <c r="G944" s="4">
        <v>46062</v>
      </c>
      <c r="H944">
        <v>693</v>
      </c>
      <c r="I944" t="s">
        <v>1493</v>
      </c>
      <c r="J944">
        <v>7</v>
      </c>
      <c r="K944" t="s">
        <v>1563</v>
      </c>
      <c r="L944" t="str">
        <f t="shared" si="126"/>
        <v>Y</v>
      </c>
      <c r="M944" t="str">
        <f t="shared" si="127"/>
        <v>Y</v>
      </c>
      <c r="N944" t="str">
        <f t="shared" si="128"/>
        <v>Y</v>
      </c>
      <c r="O944">
        <f t="shared" si="129"/>
        <v>10</v>
      </c>
      <c r="P944" s="6">
        <f t="shared" si="130"/>
        <v>0.99855907780979825</v>
      </c>
      <c r="Q944" s="6">
        <f t="shared" si="131"/>
        <v>1.0101010101010102E-2</v>
      </c>
      <c r="R944">
        <f t="shared" si="132"/>
        <v>1</v>
      </c>
      <c r="S944">
        <f t="shared" si="133"/>
        <v>0</v>
      </c>
      <c r="T944" t="str">
        <f t="shared" si="134"/>
        <v>Feb-26</v>
      </c>
    </row>
    <row r="945" spans="1:20">
      <c r="A945" t="s">
        <v>1494</v>
      </c>
      <c r="B945" t="s">
        <v>46</v>
      </c>
      <c r="C945" t="s">
        <v>12</v>
      </c>
      <c r="D945">
        <v>522</v>
      </c>
      <c r="E945" s="4">
        <v>46146</v>
      </c>
      <c r="F945" s="4">
        <v>46158</v>
      </c>
      <c r="G945" s="4">
        <v>46155</v>
      </c>
      <c r="H945">
        <v>512</v>
      </c>
      <c r="I945" t="s">
        <v>731</v>
      </c>
      <c r="J945">
        <v>2</v>
      </c>
      <c r="K945" t="s">
        <v>1563</v>
      </c>
      <c r="L945" t="str">
        <f t="shared" si="126"/>
        <v>Y</v>
      </c>
      <c r="M945" t="str">
        <f t="shared" si="127"/>
        <v>Y</v>
      </c>
      <c r="N945" t="str">
        <f t="shared" si="128"/>
        <v>Y</v>
      </c>
      <c r="O945">
        <f t="shared" si="129"/>
        <v>9</v>
      </c>
      <c r="P945" s="6">
        <f t="shared" si="130"/>
        <v>0.98084291187739459</v>
      </c>
      <c r="Q945" s="6">
        <f t="shared" si="131"/>
        <v>3.90625E-3</v>
      </c>
      <c r="R945">
        <f t="shared" si="132"/>
        <v>1</v>
      </c>
      <c r="S945">
        <f t="shared" si="133"/>
        <v>0</v>
      </c>
      <c r="T945" t="str">
        <f t="shared" si="134"/>
        <v>May-26</v>
      </c>
    </row>
    <row r="946" spans="1:20">
      <c r="A946" t="s">
        <v>1495</v>
      </c>
      <c r="B946" t="s">
        <v>64</v>
      </c>
      <c r="C946" t="s">
        <v>23</v>
      </c>
      <c r="D946">
        <v>835</v>
      </c>
      <c r="E946" s="4">
        <v>46147</v>
      </c>
      <c r="F946" s="4">
        <v>46152</v>
      </c>
      <c r="G946" s="4">
        <v>46160</v>
      </c>
      <c r="H946">
        <v>835</v>
      </c>
      <c r="I946" t="s">
        <v>1496</v>
      </c>
      <c r="J946">
        <v>68</v>
      </c>
      <c r="K946" t="s">
        <v>1563</v>
      </c>
      <c r="L946" t="str">
        <f t="shared" si="126"/>
        <v>N</v>
      </c>
      <c r="M946" t="str">
        <f t="shared" si="127"/>
        <v>Y</v>
      </c>
      <c r="N946" t="str">
        <f t="shared" si="128"/>
        <v>N</v>
      </c>
      <c r="O946">
        <f t="shared" si="129"/>
        <v>13</v>
      </c>
      <c r="P946" s="6">
        <f t="shared" si="130"/>
        <v>1</v>
      </c>
      <c r="Q946" s="6">
        <f t="shared" si="131"/>
        <v>8.1437125748502995E-2</v>
      </c>
      <c r="R946">
        <f t="shared" si="132"/>
        <v>0</v>
      </c>
      <c r="S946">
        <f t="shared" si="133"/>
        <v>8</v>
      </c>
      <c r="T946" t="str">
        <f t="shared" si="134"/>
        <v>May-26</v>
      </c>
    </row>
    <row r="947" spans="1:20">
      <c r="A947" t="s">
        <v>1497</v>
      </c>
      <c r="B947" t="s">
        <v>64</v>
      </c>
      <c r="C947" t="s">
        <v>12</v>
      </c>
      <c r="D947">
        <v>961</v>
      </c>
      <c r="E947" s="4">
        <v>46134</v>
      </c>
      <c r="F947" s="4">
        <v>46148</v>
      </c>
      <c r="G947" s="4">
        <v>46157</v>
      </c>
      <c r="H947">
        <v>906</v>
      </c>
      <c r="I947" t="s">
        <v>1119</v>
      </c>
      <c r="J947">
        <v>2</v>
      </c>
      <c r="K947" t="s">
        <v>1563</v>
      </c>
      <c r="L947" t="str">
        <f t="shared" si="126"/>
        <v>N</v>
      </c>
      <c r="M947" t="str">
        <f t="shared" si="127"/>
        <v>N</v>
      </c>
      <c r="N947" t="str">
        <f t="shared" si="128"/>
        <v>N</v>
      </c>
      <c r="O947">
        <f t="shared" si="129"/>
        <v>23</v>
      </c>
      <c r="P947" s="6">
        <f t="shared" si="130"/>
        <v>0.94276795005202918</v>
      </c>
      <c r="Q947" s="6">
        <f t="shared" si="131"/>
        <v>2.2075055187637969E-3</v>
      </c>
      <c r="R947">
        <f t="shared" si="132"/>
        <v>0</v>
      </c>
      <c r="S947">
        <f t="shared" si="133"/>
        <v>9</v>
      </c>
      <c r="T947" t="str">
        <f t="shared" si="134"/>
        <v>May-26</v>
      </c>
    </row>
    <row r="948" spans="1:20">
      <c r="A948" t="s">
        <v>1498</v>
      </c>
      <c r="B948" t="s">
        <v>54</v>
      </c>
      <c r="C948" t="s">
        <v>12</v>
      </c>
      <c r="D948">
        <v>399</v>
      </c>
      <c r="E948" s="4">
        <v>46027</v>
      </c>
      <c r="F948" s="4">
        <v>46039</v>
      </c>
      <c r="G948" s="4">
        <v>46039</v>
      </c>
      <c r="H948">
        <v>404</v>
      </c>
      <c r="I948" t="s">
        <v>178</v>
      </c>
      <c r="J948">
        <v>7</v>
      </c>
      <c r="K948" t="s">
        <v>1563</v>
      </c>
      <c r="L948" t="str">
        <f t="shared" si="126"/>
        <v>Y</v>
      </c>
      <c r="M948" t="str">
        <f t="shared" si="127"/>
        <v>Y</v>
      </c>
      <c r="N948" t="str">
        <f t="shared" si="128"/>
        <v>Y</v>
      </c>
      <c r="O948">
        <f t="shared" si="129"/>
        <v>12</v>
      </c>
      <c r="P948" s="6">
        <f t="shared" si="130"/>
        <v>1.0125313283208019</v>
      </c>
      <c r="Q948" s="6">
        <f t="shared" si="131"/>
        <v>1.7326732673267328E-2</v>
      </c>
      <c r="R948">
        <f t="shared" si="132"/>
        <v>1</v>
      </c>
      <c r="S948">
        <f t="shared" si="133"/>
        <v>0</v>
      </c>
      <c r="T948" t="str">
        <f t="shared" si="134"/>
        <v>Jan-26</v>
      </c>
    </row>
    <row r="949" spans="1:20">
      <c r="A949" t="s">
        <v>1499</v>
      </c>
      <c r="B949" t="s">
        <v>46</v>
      </c>
      <c r="C949" t="s">
        <v>23</v>
      </c>
      <c r="D949">
        <v>705</v>
      </c>
      <c r="E949" s="4">
        <v>46085</v>
      </c>
      <c r="F949" s="4">
        <v>46099</v>
      </c>
      <c r="G949" s="4">
        <v>46097</v>
      </c>
      <c r="H949">
        <v>710</v>
      </c>
      <c r="I949" t="s">
        <v>1005</v>
      </c>
      <c r="J949">
        <v>34</v>
      </c>
      <c r="K949" t="s">
        <v>1563</v>
      </c>
      <c r="L949" t="str">
        <f t="shared" si="126"/>
        <v>Y</v>
      </c>
      <c r="M949" t="str">
        <f t="shared" si="127"/>
        <v>Y</v>
      </c>
      <c r="N949" t="str">
        <f t="shared" si="128"/>
        <v>Y</v>
      </c>
      <c r="O949">
        <f t="shared" si="129"/>
        <v>12</v>
      </c>
      <c r="P949" s="6">
        <f t="shared" si="130"/>
        <v>1.0070921985815602</v>
      </c>
      <c r="Q949" s="6">
        <f t="shared" si="131"/>
        <v>4.788732394366197E-2</v>
      </c>
      <c r="R949">
        <f t="shared" si="132"/>
        <v>1</v>
      </c>
      <c r="S949">
        <f t="shared" si="133"/>
        <v>0</v>
      </c>
      <c r="T949" t="str">
        <f t="shared" si="134"/>
        <v>Mar-26</v>
      </c>
    </row>
    <row r="950" spans="1:20">
      <c r="A950" t="s">
        <v>1500</v>
      </c>
      <c r="B950" t="s">
        <v>177</v>
      </c>
      <c r="C950" t="s">
        <v>12</v>
      </c>
      <c r="D950">
        <v>304</v>
      </c>
      <c r="E950" s="4">
        <v>46143</v>
      </c>
      <c r="F950" s="4">
        <v>46150</v>
      </c>
      <c r="G950" s="4">
        <v>46152</v>
      </c>
      <c r="H950">
        <v>302</v>
      </c>
      <c r="I950" t="s">
        <v>1501</v>
      </c>
      <c r="J950">
        <v>2</v>
      </c>
      <c r="K950" t="s">
        <v>1563</v>
      </c>
      <c r="L950" t="str">
        <f t="shared" si="126"/>
        <v>N</v>
      </c>
      <c r="M950" t="str">
        <f t="shared" si="127"/>
        <v>Y</v>
      </c>
      <c r="N950" t="str">
        <f t="shared" si="128"/>
        <v>N</v>
      </c>
      <c r="O950">
        <f t="shared" si="129"/>
        <v>9</v>
      </c>
      <c r="P950" s="6">
        <f t="shared" si="130"/>
        <v>0.99342105263157898</v>
      </c>
      <c r="Q950" s="6">
        <f t="shared" si="131"/>
        <v>6.6225165562913907E-3</v>
      </c>
      <c r="R950">
        <f t="shared" si="132"/>
        <v>0</v>
      </c>
      <c r="S950">
        <f t="shared" si="133"/>
        <v>2</v>
      </c>
      <c r="T950" t="str">
        <f t="shared" si="134"/>
        <v>May-26</v>
      </c>
    </row>
    <row r="951" spans="1:20">
      <c r="A951" t="s">
        <v>1502</v>
      </c>
      <c r="B951" t="s">
        <v>43</v>
      </c>
      <c r="C951" t="s">
        <v>16</v>
      </c>
      <c r="D951">
        <v>927</v>
      </c>
      <c r="E951" s="4">
        <v>46119</v>
      </c>
      <c r="F951" s="4">
        <v>46131</v>
      </c>
      <c r="G951" s="4">
        <v>46130</v>
      </c>
      <c r="H951">
        <v>869</v>
      </c>
      <c r="I951" t="s">
        <v>1503</v>
      </c>
      <c r="J951">
        <v>42</v>
      </c>
      <c r="K951" t="s">
        <v>1563</v>
      </c>
      <c r="L951" t="str">
        <f t="shared" si="126"/>
        <v>Y</v>
      </c>
      <c r="M951" t="str">
        <f t="shared" si="127"/>
        <v>N</v>
      </c>
      <c r="N951" t="str">
        <f t="shared" si="128"/>
        <v>N</v>
      </c>
      <c r="O951">
        <f t="shared" si="129"/>
        <v>11</v>
      </c>
      <c r="P951" s="6">
        <f t="shared" si="130"/>
        <v>0.93743257820927728</v>
      </c>
      <c r="Q951" s="6">
        <f t="shared" si="131"/>
        <v>4.8331415420023012E-2</v>
      </c>
      <c r="R951">
        <f t="shared" si="132"/>
        <v>0</v>
      </c>
      <c r="S951">
        <f t="shared" si="133"/>
        <v>0</v>
      </c>
      <c r="T951" t="str">
        <f t="shared" si="134"/>
        <v>Apr-26</v>
      </c>
    </row>
    <row r="952" spans="1:20">
      <c r="A952" t="s">
        <v>1504</v>
      </c>
      <c r="B952" t="s">
        <v>40</v>
      </c>
      <c r="C952" t="s">
        <v>12</v>
      </c>
      <c r="D952">
        <v>311</v>
      </c>
      <c r="E952" s="4">
        <v>46170</v>
      </c>
      <c r="F952" s="4">
        <v>46180</v>
      </c>
      <c r="G952" s="4">
        <v>46178</v>
      </c>
      <c r="H952">
        <v>315</v>
      </c>
      <c r="I952" t="s">
        <v>658</v>
      </c>
      <c r="J952">
        <v>27</v>
      </c>
      <c r="K952" t="s">
        <v>1563</v>
      </c>
      <c r="L952" t="str">
        <f t="shared" si="126"/>
        <v>Y</v>
      </c>
      <c r="M952" t="str">
        <f t="shared" si="127"/>
        <v>Y</v>
      </c>
      <c r="N952" t="str">
        <f t="shared" si="128"/>
        <v>Y</v>
      </c>
      <c r="O952">
        <f t="shared" si="129"/>
        <v>8</v>
      </c>
      <c r="P952" s="6">
        <f t="shared" si="130"/>
        <v>1.0128617363344052</v>
      </c>
      <c r="Q952" s="6">
        <f t="shared" si="131"/>
        <v>8.5714285714285715E-2</v>
      </c>
      <c r="R952">
        <f t="shared" si="132"/>
        <v>1</v>
      </c>
      <c r="S952">
        <f t="shared" si="133"/>
        <v>0</v>
      </c>
      <c r="T952" t="str">
        <f t="shared" si="134"/>
        <v>Jun-26</v>
      </c>
    </row>
    <row r="953" spans="1:20">
      <c r="A953" t="s">
        <v>1505</v>
      </c>
      <c r="B953" t="s">
        <v>54</v>
      </c>
      <c r="C953" t="s">
        <v>23</v>
      </c>
      <c r="D953">
        <v>175</v>
      </c>
      <c r="E953" s="4">
        <v>46041</v>
      </c>
      <c r="F953" s="4">
        <v>46053</v>
      </c>
      <c r="G953" s="4">
        <v>46058</v>
      </c>
      <c r="H953">
        <v>177</v>
      </c>
      <c r="I953" t="s">
        <v>1446</v>
      </c>
      <c r="J953">
        <v>0</v>
      </c>
      <c r="K953" t="s">
        <v>1563</v>
      </c>
      <c r="L953" t="str">
        <f t="shared" si="126"/>
        <v>N</v>
      </c>
      <c r="M953" t="str">
        <f t="shared" si="127"/>
        <v>Y</v>
      </c>
      <c r="N953" t="str">
        <f t="shared" si="128"/>
        <v>N</v>
      </c>
      <c r="O953">
        <f t="shared" si="129"/>
        <v>17</v>
      </c>
      <c r="P953" s="6">
        <f t="shared" si="130"/>
        <v>1.0114285714285713</v>
      </c>
      <c r="Q953" s="6">
        <f t="shared" si="131"/>
        <v>0</v>
      </c>
      <c r="R953">
        <f t="shared" si="132"/>
        <v>0</v>
      </c>
      <c r="S953">
        <f t="shared" si="133"/>
        <v>5</v>
      </c>
      <c r="T953" t="str">
        <f t="shared" si="134"/>
        <v>Feb-26</v>
      </c>
    </row>
    <row r="954" spans="1:20">
      <c r="A954" t="s">
        <v>1506</v>
      </c>
      <c r="B954" t="s">
        <v>81</v>
      </c>
      <c r="C954" t="s">
        <v>16</v>
      </c>
      <c r="D954">
        <v>358</v>
      </c>
      <c r="E954" s="4">
        <v>46045</v>
      </c>
      <c r="F954" s="4">
        <v>46059</v>
      </c>
      <c r="G954" s="4">
        <v>46060</v>
      </c>
      <c r="H954">
        <v>312</v>
      </c>
      <c r="I954" t="s">
        <v>1507</v>
      </c>
      <c r="J954">
        <v>1</v>
      </c>
      <c r="K954" t="s">
        <v>1563</v>
      </c>
      <c r="L954" t="str">
        <f t="shared" si="126"/>
        <v>N</v>
      </c>
      <c r="M954" t="str">
        <f t="shared" si="127"/>
        <v>N</v>
      </c>
      <c r="N954" t="str">
        <f t="shared" si="128"/>
        <v>N</v>
      </c>
      <c r="O954">
        <f t="shared" si="129"/>
        <v>15</v>
      </c>
      <c r="P954" s="6">
        <f t="shared" si="130"/>
        <v>0.87150837988826813</v>
      </c>
      <c r="Q954" s="6">
        <f t="shared" si="131"/>
        <v>3.205128205128205E-3</v>
      </c>
      <c r="R954">
        <f t="shared" si="132"/>
        <v>0</v>
      </c>
      <c r="S954">
        <f t="shared" si="133"/>
        <v>1</v>
      </c>
      <c r="T954" t="str">
        <f t="shared" si="134"/>
        <v>Feb-26</v>
      </c>
    </row>
    <row r="955" spans="1:20">
      <c r="A955" t="s">
        <v>1508</v>
      </c>
      <c r="B955" t="s">
        <v>35</v>
      </c>
      <c r="C955" t="s">
        <v>16</v>
      </c>
      <c r="D955">
        <v>169</v>
      </c>
      <c r="E955" s="4">
        <v>46116</v>
      </c>
      <c r="F955" s="4">
        <v>46127</v>
      </c>
      <c r="G955" s="4">
        <v>46133</v>
      </c>
      <c r="H955">
        <v>171</v>
      </c>
      <c r="I955" t="s">
        <v>594</v>
      </c>
      <c r="J955">
        <v>5</v>
      </c>
      <c r="K955" t="s">
        <v>1563</v>
      </c>
      <c r="L955" t="str">
        <f t="shared" si="126"/>
        <v>N</v>
      </c>
      <c r="M955" t="str">
        <f t="shared" si="127"/>
        <v>Y</v>
      </c>
      <c r="N955" t="str">
        <f t="shared" si="128"/>
        <v>N</v>
      </c>
      <c r="O955">
        <f t="shared" si="129"/>
        <v>17</v>
      </c>
      <c r="P955" s="6">
        <f t="shared" si="130"/>
        <v>1.0118343195266273</v>
      </c>
      <c r="Q955" s="6">
        <f t="shared" si="131"/>
        <v>2.9239766081871343E-2</v>
      </c>
      <c r="R955">
        <f t="shared" si="132"/>
        <v>0</v>
      </c>
      <c r="S955">
        <f t="shared" si="133"/>
        <v>6</v>
      </c>
      <c r="T955" t="str">
        <f t="shared" si="134"/>
        <v>Apr-26</v>
      </c>
    </row>
    <row r="956" spans="1:20">
      <c r="A956" t="s">
        <v>1509</v>
      </c>
      <c r="B956" t="s">
        <v>35</v>
      </c>
      <c r="C956" t="s">
        <v>16</v>
      </c>
      <c r="D956">
        <v>579</v>
      </c>
      <c r="E956" s="4">
        <v>46138</v>
      </c>
      <c r="F956" s="4">
        <v>46151</v>
      </c>
      <c r="G956" s="4">
        <v>46149</v>
      </c>
      <c r="H956">
        <v>568</v>
      </c>
      <c r="I956" t="s">
        <v>1510</v>
      </c>
      <c r="J956">
        <v>28</v>
      </c>
      <c r="K956" t="s">
        <v>1563</v>
      </c>
      <c r="L956" t="str">
        <f t="shared" si="126"/>
        <v>Y</v>
      </c>
      <c r="M956" t="str">
        <f t="shared" si="127"/>
        <v>Y</v>
      </c>
      <c r="N956" t="str">
        <f t="shared" si="128"/>
        <v>Y</v>
      </c>
      <c r="O956">
        <f t="shared" si="129"/>
        <v>11</v>
      </c>
      <c r="P956" s="6">
        <f t="shared" si="130"/>
        <v>0.98100172711571676</v>
      </c>
      <c r="Q956" s="6">
        <f t="shared" si="131"/>
        <v>4.9295774647887321E-2</v>
      </c>
      <c r="R956">
        <f t="shared" si="132"/>
        <v>1</v>
      </c>
      <c r="S956">
        <f t="shared" si="133"/>
        <v>0</v>
      </c>
      <c r="T956" t="str">
        <f t="shared" si="134"/>
        <v>May-26</v>
      </c>
    </row>
    <row r="957" spans="1:20">
      <c r="A957" t="s">
        <v>1511</v>
      </c>
      <c r="B957" t="s">
        <v>22</v>
      </c>
      <c r="C957" t="s">
        <v>23</v>
      </c>
      <c r="D957">
        <v>285</v>
      </c>
      <c r="E957" s="4">
        <v>46051</v>
      </c>
      <c r="F957" s="4">
        <v>46066</v>
      </c>
      <c r="G957" s="4">
        <v>46072</v>
      </c>
      <c r="H957">
        <v>239</v>
      </c>
      <c r="I957" t="s">
        <v>1512</v>
      </c>
      <c r="J957">
        <v>16</v>
      </c>
      <c r="K957" t="s">
        <v>1563</v>
      </c>
      <c r="L957" t="str">
        <f t="shared" si="126"/>
        <v>N</v>
      </c>
      <c r="M957" t="str">
        <f t="shared" si="127"/>
        <v>N</v>
      </c>
      <c r="N957" t="str">
        <f t="shared" si="128"/>
        <v>N</v>
      </c>
      <c r="O957">
        <f t="shared" si="129"/>
        <v>21</v>
      </c>
      <c r="P957" s="6">
        <f t="shared" si="130"/>
        <v>0.83859649122807023</v>
      </c>
      <c r="Q957" s="6">
        <f t="shared" si="131"/>
        <v>6.6945606694560664E-2</v>
      </c>
      <c r="R957">
        <f t="shared" si="132"/>
        <v>0</v>
      </c>
      <c r="S957">
        <f t="shared" si="133"/>
        <v>6</v>
      </c>
      <c r="T957" t="str">
        <f t="shared" si="134"/>
        <v>Feb-26</v>
      </c>
    </row>
    <row r="958" spans="1:20">
      <c r="A958" t="s">
        <v>1513</v>
      </c>
      <c r="B958" t="s">
        <v>52</v>
      </c>
      <c r="C958" t="s">
        <v>16</v>
      </c>
      <c r="D958">
        <v>138</v>
      </c>
      <c r="E958" s="4">
        <v>46071</v>
      </c>
      <c r="F958" s="4">
        <v>46081</v>
      </c>
      <c r="G958" s="4">
        <v>46080</v>
      </c>
      <c r="H958">
        <v>140</v>
      </c>
      <c r="I958" t="s">
        <v>1067</v>
      </c>
      <c r="J958">
        <v>2</v>
      </c>
      <c r="K958" t="s">
        <v>1563</v>
      </c>
      <c r="L958" t="str">
        <f t="shared" si="126"/>
        <v>Y</v>
      </c>
      <c r="M958" t="str">
        <f t="shared" si="127"/>
        <v>Y</v>
      </c>
      <c r="N958" t="str">
        <f t="shared" si="128"/>
        <v>Y</v>
      </c>
      <c r="O958">
        <f t="shared" si="129"/>
        <v>9</v>
      </c>
      <c r="P958" s="6">
        <f t="shared" si="130"/>
        <v>1.0144927536231885</v>
      </c>
      <c r="Q958" s="6">
        <f t="shared" si="131"/>
        <v>1.4285714285714285E-2</v>
      </c>
      <c r="R958">
        <f t="shared" si="132"/>
        <v>1</v>
      </c>
      <c r="S958">
        <f t="shared" si="133"/>
        <v>0</v>
      </c>
      <c r="T958" t="str">
        <f t="shared" si="134"/>
        <v>Feb-26</v>
      </c>
    </row>
    <row r="959" spans="1:20">
      <c r="A959" t="s">
        <v>1514</v>
      </c>
      <c r="B959" t="s">
        <v>22</v>
      </c>
      <c r="C959" t="s">
        <v>23</v>
      </c>
      <c r="D959">
        <v>468</v>
      </c>
      <c r="E959" s="4">
        <v>46102</v>
      </c>
      <c r="F959" s="4">
        <v>46108</v>
      </c>
      <c r="G959" s="4">
        <v>46106</v>
      </c>
      <c r="H959">
        <v>382</v>
      </c>
      <c r="I959" t="s">
        <v>1337</v>
      </c>
      <c r="J959">
        <v>12</v>
      </c>
      <c r="K959" t="s">
        <v>1563</v>
      </c>
      <c r="L959" t="str">
        <f t="shared" si="126"/>
        <v>Y</v>
      </c>
      <c r="M959" t="str">
        <f t="shared" si="127"/>
        <v>N</v>
      </c>
      <c r="N959" t="str">
        <f t="shared" si="128"/>
        <v>N</v>
      </c>
      <c r="O959">
        <f t="shared" si="129"/>
        <v>4</v>
      </c>
      <c r="P959" s="6">
        <f t="shared" si="130"/>
        <v>0.81623931623931623</v>
      </c>
      <c r="Q959" s="6">
        <f t="shared" si="131"/>
        <v>3.1413612565445025E-2</v>
      </c>
      <c r="R959">
        <f t="shared" si="132"/>
        <v>0</v>
      </c>
      <c r="S959">
        <f t="shared" si="133"/>
        <v>0</v>
      </c>
      <c r="T959" t="str">
        <f t="shared" si="134"/>
        <v>Mar-26</v>
      </c>
    </row>
    <row r="960" spans="1:20">
      <c r="A960" t="s">
        <v>1515</v>
      </c>
      <c r="B960" t="s">
        <v>11</v>
      </c>
      <c r="C960" t="s">
        <v>12</v>
      </c>
      <c r="D960">
        <v>252</v>
      </c>
      <c r="E960" s="4">
        <v>46113</v>
      </c>
      <c r="F960" s="4">
        <v>46125</v>
      </c>
      <c r="G960" s="4">
        <v>46125</v>
      </c>
      <c r="H960">
        <v>251</v>
      </c>
      <c r="I960" t="s">
        <v>664</v>
      </c>
      <c r="J960">
        <v>1</v>
      </c>
      <c r="K960" t="s">
        <v>1563</v>
      </c>
      <c r="L960" t="str">
        <f t="shared" si="126"/>
        <v>Y</v>
      </c>
      <c r="M960" t="str">
        <f t="shared" si="127"/>
        <v>Y</v>
      </c>
      <c r="N960" t="str">
        <f t="shared" si="128"/>
        <v>Y</v>
      </c>
      <c r="O960">
        <f t="shared" si="129"/>
        <v>12</v>
      </c>
      <c r="P960" s="6">
        <f t="shared" si="130"/>
        <v>0.99603174603174605</v>
      </c>
      <c r="Q960" s="6">
        <f t="shared" si="131"/>
        <v>3.9840637450199202E-3</v>
      </c>
      <c r="R960">
        <f t="shared" si="132"/>
        <v>1</v>
      </c>
      <c r="S960">
        <f t="shared" si="133"/>
        <v>0</v>
      </c>
      <c r="T960" t="str">
        <f t="shared" si="134"/>
        <v>Apr-26</v>
      </c>
    </row>
    <row r="961" spans="1:20">
      <c r="A961" t="s">
        <v>1516</v>
      </c>
      <c r="B961" t="s">
        <v>26</v>
      </c>
      <c r="C961" t="s">
        <v>16</v>
      </c>
      <c r="D961">
        <v>977</v>
      </c>
      <c r="E961" s="4">
        <v>46098</v>
      </c>
      <c r="F961" s="4">
        <v>46104</v>
      </c>
      <c r="G961" s="4">
        <v>46103</v>
      </c>
      <c r="H961">
        <v>958</v>
      </c>
      <c r="I961" t="s">
        <v>529</v>
      </c>
      <c r="J961">
        <v>1</v>
      </c>
      <c r="K961" t="s">
        <v>1563</v>
      </c>
      <c r="L961" t="str">
        <f t="shared" si="126"/>
        <v>Y</v>
      </c>
      <c r="M961" t="str">
        <f t="shared" si="127"/>
        <v>Y</v>
      </c>
      <c r="N961" t="str">
        <f t="shared" si="128"/>
        <v>Y</v>
      </c>
      <c r="O961">
        <f t="shared" si="129"/>
        <v>5</v>
      </c>
      <c r="P961" s="6">
        <f t="shared" si="130"/>
        <v>0.98055271238485153</v>
      </c>
      <c r="Q961" s="6">
        <f t="shared" si="131"/>
        <v>1.0438413361169101E-3</v>
      </c>
      <c r="R961">
        <f t="shared" si="132"/>
        <v>1</v>
      </c>
      <c r="S961">
        <f t="shared" si="133"/>
        <v>0</v>
      </c>
      <c r="T961" t="str">
        <f t="shared" si="134"/>
        <v>Mar-26</v>
      </c>
    </row>
    <row r="962" spans="1:20">
      <c r="A962" t="s">
        <v>1517</v>
      </c>
      <c r="B962" t="s">
        <v>177</v>
      </c>
      <c r="C962" t="s">
        <v>16</v>
      </c>
      <c r="D962">
        <v>232</v>
      </c>
      <c r="E962" s="4">
        <v>46103</v>
      </c>
      <c r="F962" s="4">
        <v>46109</v>
      </c>
      <c r="G962" s="4">
        <v>46109</v>
      </c>
      <c r="H962">
        <v>236</v>
      </c>
      <c r="I962" t="s">
        <v>1518</v>
      </c>
      <c r="J962">
        <v>8</v>
      </c>
      <c r="K962" t="s">
        <v>1563</v>
      </c>
      <c r="L962" t="str">
        <f t="shared" ref="L962:L1001" si="135">IF(G962="","N/A",IF(G962&lt;=F962,"Y","N"))</f>
        <v>Y</v>
      </c>
      <c r="M962" t="str">
        <f t="shared" ref="M962:M1001" si="136">IF(H962="","N/A",IF(H962&gt;=D962*0.98,"Y","N"))</f>
        <v>Y</v>
      </c>
      <c r="N962" t="str">
        <f t="shared" ref="N962:N1001" si="137">IF(OR(L962="N/A",M962="N/A"),"N/A",IF(AND(L962="Y",M962="Y"),"Y","N"))</f>
        <v>Y</v>
      </c>
      <c r="O962">
        <f t="shared" ref="O962:O1001" si="138">IF(G962="","N/A",G962-E962)</f>
        <v>6</v>
      </c>
      <c r="P962" s="6">
        <f t="shared" ref="P962:P1001" si="139">IF(H962="","N/A",H962/D962)</f>
        <v>1.0172413793103448</v>
      </c>
      <c r="Q962" s="6">
        <f t="shared" ref="Q962:Q1001" si="140">IF(H962="","N/A",IF(H962=0,0,J962/H962))</f>
        <v>3.3898305084745763E-2</v>
      </c>
      <c r="R962">
        <f t="shared" ref="R962:R1001" si="141">IF(N962="Y",1,IF(N962="N",0,""))</f>
        <v>1</v>
      </c>
      <c r="S962">
        <f t="shared" ref="S962:S1001" si="142">IF(G962="","N/A",MAX(G962-F962,0))</f>
        <v>0</v>
      </c>
      <c r="T962" t="str">
        <f t="shared" ref="T962:T1001" si="143">IF(G962="","N/A",TEXT(G962,"mmm-yy"))</f>
        <v>Mar-26</v>
      </c>
    </row>
    <row r="963" spans="1:20">
      <c r="A963" t="s">
        <v>1519</v>
      </c>
      <c r="B963" t="s">
        <v>52</v>
      </c>
      <c r="C963" t="s">
        <v>12</v>
      </c>
      <c r="D963">
        <v>603</v>
      </c>
      <c r="E963" s="4">
        <v>46080</v>
      </c>
      <c r="F963" s="4">
        <v>46090</v>
      </c>
      <c r="G963" s="4">
        <v>46088</v>
      </c>
      <c r="H963">
        <v>582</v>
      </c>
      <c r="I963" t="s">
        <v>101</v>
      </c>
      <c r="J963">
        <v>4</v>
      </c>
      <c r="K963" t="s">
        <v>1563</v>
      </c>
      <c r="L963" t="str">
        <f t="shared" si="135"/>
        <v>Y</v>
      </c>
      <c r="M963" t="str">
        <f t="shared" si="136"/>
        <v>N</v>
      </c>
      <c r="N963" t="str">
        <f t="shared" si="137"/>
        <v>N</v>
      </c>
      <c r="O963">
        <f t="shared" si="138"/>
        <v>8</v>
      </c>
      <c r="P963" s="6">
        <f t="shared" si="139"/>
        <v>0.96517412935323388</v>
      </c>
      <c r="Q963" s="6">
        <f t="shared" si="140"/>
        <v>6.8728522336769758E-3</v>
      </c>
      <c r="R963">
        <f t="shared" si="141"/>
        <v>0</v>
      </c>
      <c r="S963">
        <f t="shared" si="142"/>
        <v>0</v>
      </c>
      <c r="T963" t="str">
        <f t="shared" si="143"/>
        <v>Mar-26</v>
      </c>
    </row>
    <row r="964" spans="1:20">
      <c r="A964" t="s">
        <v>1520</v>
      </c>
      <c r="B964" t="s">
        <v>70</v>
      </c>
      <c r="C964" t="s">
        <v>16</v>
      </c>
      <c r="D964">
        <v>203</v>
      </c>
      <c r="E964" s="4">
        <v>46078</v>
      </c>
      <c r="F964" s="4">
        <v>46086</v>
      </c>
      <c r="G964" s="4">
        <v>46084</v>
      </c>
      <c r="H964">
        <v>193</v>
      </c>
      <c r="I964" t="s">
        <v>472</v>
      </c>
      <c r="J964">
        <v>2</v>
      </c>
      <c r="K964" t="s">
        <v>1563</v>
      </c>
      <c r="L964" t="str">
        <f t="shared" si="135"/>
        <v>Y</v>
      </c>
      <c r="M964" t="str">
        <f t="shared" si="136"/>
        <v>N</v>
      </c>
      <c r="N964" t="str">
        <f t="shared" si="137"/>
        <v>N</v>
      </c>
      <c r="O964">
        <f t="shared" si="138"/>
        <v>6</v>
      </c>
      <c r="P964" s="6">
        <f t="shared" si="139"/>
        <v>0.95073891625615758</v>
      </c>
      <c r="Q964" s="6">
        <f t="shared" si="140"/>
        <v>1.0362694300518135E-2</v>
      </c>
      <c r="R964">
        <f t="shared" si="141"/>
        <v>0</v>
      </c>
      <c r="S964">
        <f t="shared" si="142"/>
        <v>0</v>
      </c>
      <c r="T964" t="str">
        <f t="shared" si="143"/>
        <v>Mar-26</v>
      </c>
    </row>
    <row r="965" spans="1:20">
      <c r="A965" t="s">
        <v>1521</v>
      </c>
      <c r="B965" t="s">
        <v>26</v>
      </c>
      <c r="C965" t="s">
        <v>12</v>
      </c>
      <c r="D965">
        <v>297</v>
      </c>
      <c r="E965" s="4">
        <v>46081</v>
      </c>
      <c r="F965" s="4">
        <v>46092</v>
      </c>
      <c r="G965" s="4">
        <v>46090</v>
      </c>
      <c r="H965">
        <v>298</v>
      </c>
      <c r="I965" t="s">
        <v>499</v>
      </c>
      <c r="J965">
        <v>9</v>
      </c>
      <c r="K965" t="s">
        <v>1563</v>
      </c>
      <c r="L965" t="str">
        <f t="shared" si="135"/>
        <v>Y</v>
      </c>
      <c r="M965" t="str">
        <f t="shared" si="136"/>
        <v>Y</v>
      </c>
      <c r="N965" t="str">
        <f t="shared" si="137"/>
        <v>Y</v>
      </c>
      <c r="O965">
        <f t="shared" si="138"/>
        <v>9</v>
      </c>
      <c r="P965" s="6">
        <f t="shared" si="139"/>
        <v>1.0033670033670035</v>
      </c>
      <c r="Q965" s="6">
        <f t="shared" si="140"/>
        <v>3.0201342281879196E-2</v>
      </c>
      <c r="R965">
        <f t="shared" si="141"/>
        <v>1</v>
      </c>
      <c r="S965">
        <f t="shared" si="142"/>
        <v>0</v>
      </c>
      <c r="T965" t="str">
        <f t="shared" si="143"/>
        <v>Mar-26</v>
      </c>
    </row>
    <row r="966" spans="1:20">
      <c r="A966" t="s">
        <v>1522</v>
      </c>
      <c r="B966" t="s">
        <v>67</v>
      </c>
      <c r="C966" t="s">
        <v>12</v>
      </c>
      <c r="D966">
        <v>820</v>
      </c>
      <c r="E966" s="4">
        <v>46102</v>
      </c>
      <c r="F966" s="4">
        <v>46107</v>
      </c>
      <c r="G966" s="4">
        <v>46104</v>
      </c>
      <c r="H966">
        <v>826</v>
      </c>
      <c r="I966" t="s">
        <v>1009</v>
      </c>
      <c r="J966">
        <v>4</v>
      </c>
      <c r="K966" t="s">
        <v>1563</v>
      </c>
      <c r="L966" t="str">
        <f t="shared" si="135"/>
        <v>Y</v>
      </c>
      <c r="M966" t="str">
        <f t="shared" si="136"/>
        <v>Y</v>
      </c>
      <c r="N966" t="str">
        <f t="shared" si="137"/>
        <v>Y</v>
      </c>
      <c r="O966">
        <f t="shared" si="138"/>
        <v>2</v>
      </c>
      <c r="P966" s="6">
        <f t="shared" si="139"/>
        <v>1.0073170731707317</v>
      </c>
      <c r="Q966" s="6">
        <f t="shared" si="140"/>
        <v>4.8426150121065378E-3</v>
      </c>
      <c r="R966">
        <f t="shared" si="141"/>
        <v>1</v>
      </c>
      <c r="S966">
        <f t="shared" si="142"/>
        <v>0</v>
      </c>
      <c r="T966" t="str">
        <f t="shared" si="143"/>
        <v>Mar-26</v>
      </c>
    </row>
    <row r="967" spans="1:20">
      <c r="A967" t="s">
        <v>1523</v>
      </c>
      <c r="B967" t="s">
        <v>22</v>
      </c>
      <c r="C967" t="s">
        <v>23</v>
      </c>
      <c r="D967">
        <v>297</v>
      </c>
      <c r="E967" s="4">
        <v>46083</v>
      </c>
      <c r="F967" s="4">
        <v>46095</v>
      </c>
      <c r="G967" s="4">
        <v>46093</v>
      </c>
      <c r="H967">
        <v>287</v>
      </c>
      <c r="I967" t="s">
        <v>956</v>
      </c>
      <c r="J967">
        <v>3</v>
      </c>
      <c r="K967" t="s">
        <v>1563</v>
      </c>
      <c r="L967" t="str">
        <f t="shared" si="135"/>
        <v>Y</v>
      </c>
      <c r="M967" t="str">
        <f t="shared" si="136"/>
        <v>N</v>
      </c>
      <c r="N967" t="str">
        <f t="shared" si="137"/>
        <v>N</v>
      </c>
      <c r="O967">
        <f t="shared" si="138"/>
        <v>10</v>
      </c>
      <c r="P967" s="6">
        <f t="shared" si="139"/>
        <v>0.96632996632996637</v>
      </c>
      <c r="Q967" s="6">
        <f t="shared" si="140"/>
        <v>1.0452961672473868E-2</v>
      </c>
      <c r="R967">
        <f t="shared" si="141"/>
        <v>0</v>
      </c>
      <c r="S967">
        <f t="shared" si="142"/>
        <v>0</v>
      </c>
      <c r="T967" t="str">
        <f t="shared" si="143"/>
        <v>Mar-26</v>
      </c>
    </row>
    <row r="968" spans="1:20">
      <c r="A968" t="s">
        <v>1524</v>
      </c>
      <c r="B968" t="s">
        <v>67</v>
      </c>
      <c r="C968" t="s">
        <v>16</v>
      </c>
      <c r="D968">
        <v>715</v>
      </c>
      <c r="E968" s="4">
        <v>46107</v>
      </c>
      <c r="F968" s="4">
        <v>46116</v>
      </c>
      <c r="G968" s="4">
        <v>46114</v>
      </c>
      <c r="H968">
        <v>725</v>
      </c>
      <c r="I968" t="s">
        <v>242</v>
      </c>
      <c r="J968">
        <v>10</v>
      </c>
      <c r="K968" t="s">
        <v>1563</v>
      </c>
      <c r="L968" t="str">
        <f t="shared" si="135"/>
        <v>Y</v>
      </c>
      <c r="M968" t="str">
        <f t="shared" si="136"/>
        <v>Y</v>
      </c>
      <c r="N968" t="str">
        <f t="shared" si="137"/>
        <v>Y</v>
      </c>
      <c r="O968">
        <f t="shared" si="138"/>
        <v>7</v>
      </c>
      <c r="P968" s="6">
        <f t="shared" si="139"/>
        <v>1.013986013986014</v>
      </c>
      <c r="Q968" s="6">
        <f t="shared" si="140"/>
        <v>1.3793103448275862E-2</v>
      </c>
      <c r="R968">
        <f t="shared" si="141"/>
        <v>1</v>
      </c>
      <c r="S968">
        <f t="shared" si="142"/>
        <v>0</v>
      </c>
      <c r="T968" t="str">
        <f t="shared" si="143"/>
        <v>Apr-26</v>
      </c>
    </row>
    <row r="969" spans="1:20">
      <c r="A969" t="s">
        <v>1525</v>
      </c>
      <c r="B969" t="s">
        <v>46</v>
      </c>
      <c r="C969" t="s">
        <v>12</v>
      </c>
      <c r="D969">
        <v>137</v>
      </c>
      <c r="E969" s="4">
        <v>46143</v>
      </c>
      <c r="F969" s="4">
        <v>46153</v>
      </c>
      <c r="G969" s="4">
        <v>46158</v>
      </c>
      <c r="H969">
        <v>131</v>
      </c>
      <c r="I969" t="s">
        <v>403</v>
      </c>
      <c r="J969">
        <v>12</v>
      </c>
      <c r="K969" t="s">
        <v>1563</v>
      </c>
      <c r="L969" t="str">
        <f t="shared" si="135"/>
        <v>N</v>
      </c>
      <c r="M969" t="str">
        <f t="shared" si="136"/>
        <v>N</v>
      </c>
      <c r="N969" t="str">
        <f t="shared" si="137"/>
        <v>N</v>
      </c>
      <c r="O969">
        <f t="shared" si="138"/>
        <v>15</v>
      </c>
      <c r="P969" s="6">
        <f t="shared" si="139"/>
        <v>0.95620437956204385</v>
      </c>
      <c r="Q969" s="6">
        <f t="shared" si="140"/>
        <v>9.1603053435114504E-2</v>
      </c>
      <c r="R969">
        <f t="shared" si="141"/>
        <v>0</v>
      </c>
      <c r="S969">
        <f t="shared" si="142"/>
        <v>5</v>
      </c>
      <c r="T969" t="str">
        <f t="shared" si="143"/>
        <v>May-26</v>
      </c>
    </row>
    <row r="970" spans="1:20">
      <c r="A970" t="s">
        <v>1526</v>
      </c>
      <c r="B970" t="s">
        <v>120</v>
      </c>
      <c r="C970" t="s">
        <v>12</v>
      </c>
      <c r="D970">
        <v>269</v>
      </c>
      <c r="E970" s="4">
        <v>46136</v>
      </c>
      <c r="F970" s="4">
        <v>46146</v>
      </c>
      <c r="G970" s="4">
        <v>46146</v>
      </c>
      <c r="H970">
        <v>272</v>
      </c>
      <c r="I970" t="s">
        <v>214</v>
      </c>
      <c r="J970">
        <v>16</v>
      </c>
      <c r="K970" t="s">
        <v>1563</v>
      </c>
      <c r="L970" t="str">
        <f t="shared" si="135"/>
        <v>Y</v>
      </c>
      <c r="M970" t="str">
        <f t="shared" si="136"/>
        <v>Y</v>
      </c>
      <c r="N970" t="str">
        <f t="shared" si="137"/>
        <v>Y</v>
      </c>
      <c r="O970">
        <f t="shared" si="138"/>
        <v>10</v>
      </c>
      <c r="P970" s="6">
        <f t="shared" si="139"/>
        <v>1.0111524163568772</v>
      </c>
      <c r="Q970" s="6">
        <f t="shared" si="140"/>
        <v>5.8823529411764705E-2</v>
      </c>
      <c r="R970">
        <f t="shared" si="141"/>
        <v>1</v>
      </c>
      <c r="S970">
        <f t="shared" si="142"/>
        <v>0</v>
      </c>
      <c r="T970" t="str">
        <f t="shared" si="143"/>
        <v>May-26</v>
      </c>
    </row>
    <row r="971" spans="1:20">
      <c r="A971" t="s">
        <v>1527</v>
      </c>
      <c r="B971" t="s">
        <v>19</v>
      </c>
      <c r="C971" t="s">
        <v>12</v>
      </c>
      <c r="D971">
        <v>237</v>
      </c>
      <c r="E971" s="4">
        <v>46127</v>
      </c>
      <c r="F971" s="4">
        <v>46140</v>
      </c>
      <c r="G971" s="4">
        <v>46140</v>
      </c>
      <c r="H971">
        <v>241</v>
      </c>
      <c r="I971" t="s">
        <v>101</v>
      </c>
      <c r="J971">
        <v>12</v>
      </c>
      <c r="K971" t="s">
        <v>1563</v>
      </c>
      <c r="L971" t="str">
        <f t="shared" si="135"/>
        <v>Y</v>
      </c>
      <c r="M971" t="str">
        <f t="shared" si="136"/>
        <v>Y</v>
      </c>
      <c r="N971" t="str">
        <f t="shared" si="137"/>
        <v>Y</v>
      </c>
      <c r="O971">
        <f t="shared" si="138"/>
        <v>13</v>
      </c>
      <c r="P971" s="6">
        <f t="shared" si="139"/>
        <v>1.0168776371308017</v>
      </c>
      <c r="Q971" s="6">
        <f t="shared" si="140"/>
        <v>4.9792531120331947E-2</v>
      </c>
      <c r="R971">
        <f t="shared" si="141"/>
        <v>1</v>
      </c>
      <c r="S971">
        <f t="shared" si="142"/>
        <v>0</v>
      </c>
      <c r="T971" t="str">
        <f t="shared" si="143"/>
        <v>Apr-26</v>
      </c>
    </row>
    <row r="972" spans="1:20">
      <c r="A972" t="s">
        <v>1528</v>
      </c>
      <c r="B972" t="s">
        <v>19</v>
      </c>
      <c r="C972" t="s">
        <v>16</v>
      </c>
      <c r="D972">
        <v>877</v>
      </c>
      <c r="E972" s="4">
        <v>46070</v>
      </c>
      <c r="F972" s="4">
        <v>46078</v>
      </c>
      <c r="G972" s="4"/>
      <c r="I972" t="s">
        <v>1529</v>
      </c>
      <c r="K972" t="s">
        <v>1565</v>
      </c>
      <c r="L972" t="str">
        <f t="shared" si="135"/>
        <v>N/A</v>
      </c>
      <c r="M972" t="str">
        <f t="shared" si="136"/>
        <v>N/A</v>
      </c>
      <c r="N972" t="str">
        <f t="shared" si="137"/>
        <v>N/A</v>
      </c>
      <c r="O972" t="str">
        <f t="shared" si="138"/>
        <v>N/A</v>
      </c>
      <c r="P972" s="6" t="str">
        <f t="shared" si="139"/>
        <v>N/A</v>
      </c>
      <c r="Q972" s="6" t="str">
        <f t="shared" si="140"/>
        <v>N/A</v>
      </c>
      <c r="R972" t="str">
        <f t="shared" si="141"/>
        <v/>
      </c>
      <c r="S972" t="str">
        <f t="shared" si="142"/>
        <v>N/A</v>
      </c>
      <c r="T972" t="str">
        <f t="shared" si="143"/>
        <v>N/A</v>
      </c>
    </row>
    <row r="973" spans="1:20">
      <c r="A973" t="s">
        <v>1530</v>
      </c>
      <c r="B973" t="s">
        <v>49</v>
      </c>
      <c r="C973" t="s">
        <v>16</v>
      </c>
      <c r="D973">
        <v>792</v>
      </c>
      <c r="E973" s="4">
        <v>46077</v>
      </c>
      <c r="F973" s="4">
        <v>46087</v>
      </c>
      <c r="G973" s="4">
        <v>46087</v>
      </c>
      <c r="H973">
        <v>796</v>
      </c>
      <c r="I973" t="s">
        <v>1227</v>
      </c>
      <c r="J973">
        <v>9</v>
      </c>
      <c r="K973" t="s">
        <v>1563</v>
      </c>
      <c r="L973" t="str">
        <f t="shared" si="135"/>
        <v>Y</v>
      </c>
      <c r="M973" t="str">
        <f t="shared" si="136"/>
        <v>Y</v>
      </c>
      <c r="N973" t="str">
        <f t="shared" si="137"/>
        <v>Y</v>
      </c>
      <c r="O973">
        <f t="shared" si="138"/>
        <v>10</v>
      </c>
      <c r="P973" s="6">
        <f t="shared" si="139"/>
        <v>1.005050505050505</v>
      </c>
      <c r="Q973" s="6">
        <f t="shared" si="140"/>
        <v>1.1306532663316583E-2</v>
      </c>
      <c r="R973">
        <f t="shared" si="141"/>
        <v>1</v>
      </c>
      <c r="S973">
        <f t="shared" si="142"/>
        <v>0</v>
      </c>
      <c r="T973" t="str">
        <f t="shared" si="143"/>
        <v>Mar-26</v>
      </c>
    </row>
    <row r="974" spans="1:20">
      <c r="A974" t="s">
        <v>1531</v>
      </c>
      <c r="B974" t="s">
        <v>35</v>
      </c>
      <c r="C974" t="s">
        <v>12</v>
      </c>
      <c r="D974">
        <v>726</v>
      </c>
      <c r="E974" s="4">
        <v>46064</v>
      </c>
      <c r="F974" s="4">
        <v>46077</v>
      </c>
      <c r="G974" s="4">
        <v>46074</v>
      </c>
      <c r="H974">
        <v>738</v>
      </c>
      <c r="I974" t="s">
        <v>1273</v>
      </c>
      <c r="J974">
        <v>19</v>
      </c>
      <c r="K974" t="s">
        <v>1563</v>
      </c>
      <c r="L974" t="str">
        <f t="shared" si="135"/>
        <v>Y</v>
      </c>
      <c r="M974" t="str">
        <f t="shared" si="136"/>
        <v>Y</v>
      </c>
      <c r="N974" t="str">
        <f t="shared" si="137"/>
        <v>Y</v>
      </c>
      <c r="O974">
        <f t="shared" si="138"/>
        <v>10</v>
      </c>
      <c r="P974" s="6">
        <f t="shared" si="139"/>
        <v>1.0165289256198347</v>
      </c>
      <c r="Q974" s="6">
        <f t="shared" si="140"/>
        <v>2.5745257452574527E-2</v>
      </c>
      <c r="R974">
        <f t="shared" si="141"/>
        <v>1</v>
      </c>
      <c r="S974">
        <f t="shared" si="142"/>
        <v>0</v>
      </c>
      <c r="T974" t="str">
        <f t="shared" si="143"/>
        <v>Feb-26</v>
      </c>
    </row>
    <row r="975" spans="1:20">
      <c r="A975" t="s">
        <v>1532</v>
      </c>
      <c r="B975" t="s">
        <v>26</v>
      </c>
      <c r="C975" t="s">
        <v>12</v>
      </c>
      <c r="D975">
        <v>118</v>
      </c>
      <c r="E975" s="4">
        <v>46130</v>
      </c>
      <c r="F975" s="4">
        <v>46142</v>
      </c>
      <c r="G975" s="4">
        <v>46140</v>
      </c>
      <c r="H975">
        <v>109</v>
      </c>
      <c r="I975" t="s">
        <v>240</v>
      </c>
      <c r="J975">
        <v>3</v>
      </c>
      <c r="K975" t="s">
        <v>1563</v>
      </c>
      <c r="L975" t="str">
        <f t="shared" si="135"/>
        <v>Y</v>
      </c>
      <c r="M975" t="str">
        <f t="shared" si="136"/>
        <v>N</v>
      </c>
      <c r="N975" t="str">
        <f t="shared" si="137"/>
        <v>N</v>
      </c>
      <c r="O975">
        <f t="shared" si="138"/>
        <v>10</v>
      </c>
      <c r="P975" s="6">
        <f t="shared" si="139"/>
        <v>0.92372881355932202</v>
      </c>
      <c r="Q975" s="6">
        <f t="shared" si="140"/>
        <v>2.7522935779816515E-2</v>
      </c>
      <c r="R975">
        <f t="shared" si="141"/>
        <v>0</v>
      </c>
      <c r="S975">
        <f t="shared" si="142"/>
        <v>0</v>
      </c>
      <c r="T975" t="str">
        <f t="shared" si="143"/>
        <v>Apr-26</v>
      </c>
    </row>
    <row r="976" spans="1:20">
      <c r="A976" t="s">
        <v>1533</v>
      </c>
      <c r="B976" t="s">
        <v>177</v>
      </c>
      <c r="C976" t="s">
        <v>23</v>
      </c>
      <c r="D976">
        <v>514</v>
      </c>
      <c r="E976" s="4">
        <v>46102</v>
      </c>
      <c r="F976" s="4">
        <v>46116</v>
      </c>
      <c r="G976" s="4">
        <v>46122</v>
      </c>
      <c r="H976">
        <v>521</v>
      </c>
      <c r="I976" t="s">
        <v>702</v>
      </c>
      <c r="J976">
        <v>0</v>
      </c>
      <c r="K976" t="s">
        <v>1563</v>
      </c>
      <c r="L976" t="str">
        <f t="shared" si="135"/>
        <v>N</v>
      </c>
      <c r="M976" t="str">
        <f t="shared" si="136"/>
        <v>Y</v>
      </c>
      <c r="N976" t="str">
        <f t="shared" si="137"/>
        <v>N</v>
      </c>
      <c r="O976">
        <f t="shared" si="138"/>
        <v>20</v>
      </c>
      <c r="P976" s="6">
        <f t="shared" si="139"/>
        <v>1.0136186770428015</v>
      </c>
      <c r="Q976" s="6">
        <f t="shared" si="140"/>
        <v>0</v>
      </c>
      <c r="R976">
        <f t="shared" si="141"/>
        <v>0</v>
      </c>
      <c r="S976">
        <f t="shared" si="142"/>
        <v>6</v>
      </c>
      <c r="T976" t="str">
        <f t="shared" si="143"/>
        <v>Apr-26</v>
      </c>
    </row>
    <row r="977" spans="1:20">
      <c r="A977" t="s">
        <v>1534</v>
      </c>
      <c r="B977" t="s">
        <v>70</v>
      </c>
      <c r="C977" t="s">
        <v>16</v>
      </c>
      <c r="D977">
        <v>375</v>
      </c>
      <c r="E977" s="4">
        <v>46070</v>
      </c>
      <c r="F977" s="4">
        <v>46084</v>
      </c>
      <c r="G977" s="4">
        <v>46082</v>
      </c>
      <c r="H977">
        <v>333</v>
      </c>
      <c r="I977" t="s">
        <v>1090</v>
      </c>
      <c r="J977">
        <v>5</v>
      </c>
      <c r="K977" t="s">
        <v>1563</v>
      </c>
      <c r="L977" t="str">
        <f t="shared" si="135"/>
        <v>Y</v>
      </c>
      <c r="M977" t="str">
        <f t="shared" si="136"/>
        <v>N</v>
      </c>
      <c r="N977" t="str">
        <f t="shared" si="137"/>
        <v>N</v>
      </c>
      <c r="O977">
        <f t="shared" si="138"/>
        <v>12</v>
      </c>
      <c r="P977" s="6">
        <f t="shared" si="139"/>
        <v>0.88800000000000001</v>
      </c>
      <c r="Q977" s="6">
        <f t="shared" si="140"/>
        <v>1.5015015015015015E-2</v>
      </c>
      <c r="R977">
        <f t="shared" si="141"/>
        <v>0</v>
      </c>
      <c r="S977">
        <f t="shared" si="142"/>
        <v>0</v>
      </c>
      <c r="T977" t="str">
        <f t="shared" si="143"/>
        <v>Mar-26</v>
      </c>
    </row>
    <row r="978" spans="1:20">
      <c r="A978" t="s">
        <v>1535</v>
      </c>
      <c r="B978" t="s">
        <v>177</v>
      </c>
      <c r="C978" t="s">
        <v>23</v>
      </c>
      <c r="D978">
        <v>703</v>
      </c>
      <c r="E978" s="4">
        <v>46120</v>
      </c>
      <c r="F978" s="4">
        <v>46129</v>
      </c>
      <c r="G978" s="4">
        <v>46129</v>
      </c>
      <c r="H978">
        <v>708</v>
      </c>
      <c r="I978" t="s">
        <v>674</v>
      </c>
      <c r="J978">
        <v>18</v>
      </c>
      <c r="K978" t="s">
        <v>1563</v>
      </c>
      <c r="L978" t="str">
        <f t="shared" si="135"/>
        <v>Y</v>
      </c>
      <c r="M978" t="str">
        <f t="shared" si="136"/>
        <v>Y</v>
      </c>
      <c r="N978" t="str">
        <f t="shared" si="137"/>
        <v>Y</v>
      </c>
      <c r="O978">
        <f t="shared" si="138"/>
        <v>9</v>
      </c>
      <c r="P978" s="6">
        <f t="shared" si="139"/>
        <v>1.0071123755334281</v>
      </c>
      <c r="Q978" s="6">
        <f t="shared" si="140"/>
        <v>2.5423728813559324E-2</v>
      </c>
      <c r="R978">
        <f t="shared" si="141"/>
        <v>1</v>
      </c>
      <c r="S978">
        <f t="shared" si="142"/>
        <v>0</v>
      </c>
      <c r="T978" t="str">
        <f t="shared" si="143"/>
        <v>Apr-26</v>
      </c>
    </row>
    <row r="979" spans="1:20">
      <c r="A979" t="s">
        <v>1536</v>
      </c>
      <c r="B979" t="s">
        <v>35</v>
      </c>
      <c r="C979" t="s">
        <v>12</v>
      </c>
      <c r="D979">
        <v>767</v>
      </c>
      <c r="E979" s="4">
        <v>46099</v>
      </c>
      <c r="F979" s="4">
        <v>46107</v>
      </c>
      <c r="G979" s="4">
        <v>46115</v>
      </c>
      <c r="H979">
        <v>764</v>
      </c>
      <c r="I979" t="s">
        <v>221</v>
      </c>
      <c r="J979">
        <v>1</v>
      </c>
      <c r="K979" t="s">
        <v>1563</v>
      </c>
      <c r="L979" t="str">
        <f t="shared" si="135"/>
        <v>N</v>
      </c>
      <c r="M979" t="str">
        <f t="shared" si="136"/>
        <v>Y</v>
      </c>
      <c r="N979" t="str">
        <f t="shared" si="137"/>
        <v>N</v>
      </c>
      <c r="O979">
        <f t="shared" si="138"/>
        <v>16</v>
      </c>
      <c r="P979" s="6">
        <f t="shared" si="139"/>
        <v>0.99608865710560623</v>
      </c>
      <c r="Q979" s="6">
        <f t="shared" si="140"/>
        <v>1.3089005235602095E-3</v>
      </c>
      <c r="R979">
        <f t="shared" si="141"/>
        <v>0</v>
      </c>
      <c r="S979">
        <f t="shared" si="142"/>
        <v>8</v>
      </c>
      <c r="T979" t="str">
        <f t="shared" si="143"/>
        <v>Apr-26</v>
      </c>
    </row>
    <row r="980" spans="1:20">
      <c r="A980" t="s">
        <v>1537</v>
      </c>
      <c r="B980" t="s">
        <v>100</v>
      </c>
      <c r="C980" t="s">
        <v>12</v>
      </c>
      <c r="D980">
        <v>864</v>
      </c>
      <c r="E980" s="4">
        <v>46086</v>
      </c>
      <c r="F980" s="4">
        <v>46098</v>
      </c>
      <c r="G980" s="4">
        <v>46098</v>
      </c>
      <c r="H980">
        <v>879</v>
      </c>
      <c r="I980" t="s">
        <v>505</v>
      </c>
      <c r="J980">
        <v>24</v>
      </c>
      <c r="K980" t="s">
        <v>1563</v>
      </c>
      <c r="L980" t="str">
        <f t="shared" si="135"/>
        <v>Y</v>
      </c>
      <c r="M980" t="str">
        <f t="shared" si="136"/>
        <v>Y</v>
      </c>
      <c r="N980" t="str">
        <f t="shared" si="137"/>
        <v>Y</v>
      </c>
      <c r="O980">
        <f t="shared" si="138"/>
        <v>12</v>
      </c>
      <c r="P980" s="6">
        <f t="shared" si="139"/>
        <v>1.0173611111111112</v>
      </c>
      <c r="Q980" s="6">
        <f t="shared" si="140"/>
        <v>2.7303754266211604E-2</v>
      </c>
      <c r="R980">
        <f t="shared" si="141"/>
        <v>1</v>
      </c>
      <c r="S980">
        <f t="shared" si="142"/>
        <v>0</v>
      </c>
      <c r="T980" t="str">
        <f t="shared" si="143"/>
        <v>Mar-26</v>
      </c>
    </row>
    <row r="981" spans="1:20">
      <c r="A981" t="s">
        <v>1538</v>
      </c>
      <c r="B981" t="s">
        <v>49</v>
      </c>
      <c r="C981" t="s">
        <v>16</v>
      </c>
      <c r="D981">
        <v>405</v>
      </c>
      <c r="E981" s="4">
        <v>46070</v>
      </c>
      <c r="F981" s="4">
        <v>46079</v>
      </c>
      <c r="G981" s="4">
        <v>46079</v>
      </c>
      <c r="H981">
        <v>405</v>
      </c>
      <c r="I981" t="s">
        <v>1331</v>
      </c>
      <c r="J981">
        <v>2</v>
      </c>
      <c r="K981" t="s">
        <v>1563</v>
      </c>
      <c r="L981" t="str">
        <f t="shared" si="135"/>
        <v>Y</v>
      </c>
      <c r="M981" t="str">
        <f t="shared" si="136"/>
        <v>Y</v>
      </c>
      <c r="N981" t="str">
        <f t="shared" si="137"/>
        <v>Y</v>
      </c>
      <c r="O981">
        <f t="shared" si="138"/>
        <v>9</v>
      </c>
      <c r="P981" s="6">
        <f t="shared" si="139"/>
        <v>1</v>
      </c>
      <c r="Q981" s="6">
        <f t="shared" si="140"/>
        <v>4.9382716049382715E-3</v>
      </c>
      <c r="R981">
        <f t="shared" si="141"/>
        <v>1</v>
      </c>
      <c r="S981">
        <f t="shared" si="142"/>
        <v>0</v>
      </c>
      <c r="T981" t="str">
        <f t="shared" si="143"/>
        <v>Feb-26</v>
      </c>
    </row>
    <row r="982" spans="1:20">
      <c r="A982" t="s">
        <v>1539</v>
      </c>
      <c r="B982" t="s">
        <v>120</v>
      </c>
      <c r="C982" t="s">
        <v>16</v>
      </c>
      <c r="D982">
        <v>930</v>
      </c>
      <c r="E982" s="4">
        <v>46050</v>
      </c>
      <c r="F982" s="4">
        <v>46057</v>
      </c>
      <c r="G982" s="4">
        <v>46055</v>
      </c>
      <c r="H982">
        <v>759</v>
      </c>
      <c r="I982" t="s">
        <v>1092</v>
      </c>
      <c r="J982">
        <v>29</v>
      </c>
      <c r="K982" t="s">
        <v>1563</v>
      </c>
      <c r="L982" t="str">
        <f t="shared" si="135"/>
        <v>Y</v>
      </c>
      <c r="M982" t="str">
        <f t="shared" si="136"/>
        <v>N</v>
      </c>
      <c r="N982" t="str">
        <f t="shared" si="137"/>
        <v>N</v>
      </c>
      <c r="O982">
        <f t="shared" si="138"/>
        <v>5</v>
      </c>
      <c r="P982" s="6">
        <f t="shared" si="139"/>
        <v>0.81612903225806455</v>
      </c>
      <c r="Q982" s="6">
        <f t="shared" si="140"/>
        <v>3.8208168642951248E-2</v>
      </c>
      <c r="R982">
        <f t="shared" si="141"/>
        <v>0</v>
      </c>
      <c r="S982">
        <f t="shared" si="142"/>
        <v>0</v>
      </c>
      <c r="T982" t="str">
        <f t="shared" si="143"/>
        <v>Feb-26</v>
      </c>
    </row>
    <row r="983" spans="1:20">
      <c r="A983" t="s">
        <v>1540</v>
      </c>
      <c r="B983" t="s">
        <v>177</v>
      </c>
      <c r="C983" t="s">
        <v>16</v>
      </c>
      <c r="D983">
        <v>342</v>
      </c>
      <c r="E983" s="4">
        <v>46028</v>
      </c>
      <c r="F983" s="4">
        <v>46035</v>
      </c>
      <c r="G983" s="4">
        <v>46034</v>
      </c>
      <c r="H983">
        <v>341</v>
      </c>
      <c r="I983" t="s">
        <v>767</v>
      </c>
      <c r="J983">
        <v>13</v>
      </c>
      <c r="K983" t="s">
        <v>1563</v>
      </c>
      <c r="L983" t="str">
        <f t="shared" si="135"/>
        <v>Y</v>
      </c>
      <c r="M983" t="str">
        <f t="shared" si="136"/>
        <v>Y</v>
      </c>
      <c r="N983" t="str">
        <f t="shared" si="137"/>
        <v>Y</v>
      </c>
      <c r="O983">
        <f t="shared" si="138"/>
        <v>6</v>
      </c>
      <c r="P983" s="6">
        <f t="shared" si="139"/>
        <v>0.99707602339181289</v>
      </c>
      <c r="Q983" s="6">
        <f t="shared" si="140"/>
        <v>3.8123167155425221E-2</v>
      </c>
      <c r="R983">
        <f t="shared" si="141"/>
        <v>1</v>
      </c>
      <c r="S983">
        <f t="shared" si="142"/>
        <v>0</v>
      </c>
      <c r="T983" t="str">
        <f t="shared" si="143"/>
        <v>Jan-26</v>
      </c>
    </row>
    <row r="984" spans="1:20">
      <c r="A984" t="s">
        <v>1541</v>
      </c>
      <c r="B984" t="s">
        <v>52</v>
      </c>
      <c r="C984" t="s">
        <v>16</v>
      </c>
      <c r="D984">
        <v>994</v>
      </c>
      <c r="E984" s="4">
        <v>46038</v>
      </c>
      <c r="F984" s="4">
        <v>46048</v>
      </c>
      <c r="G984" s="4">
        <v>46045</v>
      </c>
      <c r="H984">
        <v>995</v>
      </c>
      <c r="I984" t="s">
        <v>169</v>
      </c>
      <c r="J984">
        <v>28</v>
      </c>
      <c r="K984" t="s">
        <v>1563</v>
      </c>
      <c r="L984" t="str">
        <f t="shared" si="135"/>
        <v>Y</v>
      </c>
      <c r="M984" t="str">
        <f t="shared" si="136"/>
        <v>Y</v>
      </c>
      <c r="N984" t="str">
        <f t="shared" si="137"/>
        <v>Y</v>
      </c>
      <c r="O984">
        <f t="shared" si="138"/>
        <v>7</v>
      </c>
      <c r="P984" s="6">
        <f t="shared" si="139"/>
        <v>1.0010060362173039</v>
      </c>
      <c r="Q984" s="6">
        <f t="shared" si="140"/>
        <v>2.8140703517587941E-2</v>
      </c>
      <c r="R984">
        <f t="shared" si="141"/>
        <v>1</v>
      </c>
      <c r="S984">
        <f t="shared" si="142"/>
        <v>0</v>
      </c>
      <c r="T984" t="str">
        <f t="shared" si="143"/>
        <v>Jan-26</v>
      </c>
    </row>
    <row r="985" spans="1:20">
      <c r="A985" t="s">
        <v>1542</v>
      </c>
      <c r="B985" t="s">
        <v>40</v>
      </c>
      <c r="C985" t="s">
        <v>16</v>
      </c>
      <c r="D985">
        <v>505</v>
      </c>
      <c r="E985" s="4">
        <v>46130</v>
      </c>
      <c r="F985" s="4">
        <v>46140</v>
      </c>
      <c r="G985" s="4">
        <v>46142</v>
      </c>
      <c r="H985">
        <v>498</v>
      </c>
      <c r="I985" t="s">
        <v>810</v>
      </c>
      <c r="J985">
        <v>21</v>
      </c>
      <c r="K985" t="s">
        <v>1563</v>
      </c>
      <c r="L985" t="str">
        <f t="shared" si="135"/>
        <v>N</v>
      </c>
      <c r="M985" t="str">
        <f t="shared" si="136"/>
        <v>Y</v>
      </c>
      <c r="N985" t="str">
        <f t="shared" si="137"/>
        <v>N</v>
      </c>
      <c r="O985">
        <f t="shared" si="138"/>
        <v>12</v>
      </c>
      <c r="P985" s="6">
        <f t="shared" si="139"/>
        <v>0.98613861386138613</v>
      </c>
      <c r="Q985" s="6">
        <f t="shared" si="140"/>
        <v>4.2168674698795178E-2</v>
      </c>
      <c r="R985">
        <f t="shared" si="141"/>
        <v>0</v>
      </c>
      <c r="S985">
        <f t="shared" si="142"/>
        <v>2</v>
      </c>
      <c r="T985" t="str">
        <f t="shared" si="143"/>
        <v>Apr-26</v>
      </c>
    </row>
    <row r="986" spans="1:20">
      <c r="A986" t="s">
        <v>1543</v>
      </c>
      <c r="B986" t="s">
        <v>26</v>
      </c>
      <c r="C986" t="s">
        <v>12</v>
      </c>
      <c r="D986">
        <v>495</v>
      </c>
      <c r="E986" s="4">
        <v>46033</v>
      </c>
      <c r="F986" s="4">
        <v>46045</v>
      </c>
      <c r="G986" s="4">
        <v>46044</v>
      </c>
      <c r="H986">
        <v>460</v>
      </c>
      <c r="I986" t="s">
        <v>312</v>
      </c>
      <c r="J986">
        <v>7</v>
      </c>
      <c r="K986" t="s">
        <v>1563</v>
      </c>
      <c r="L986" t="str">
        <f t="shared" si="135"/>
        <v>Y</v>
      </c>
      <c r="M986" t="str">
        <f t="shared" si="136"/>
        <v>N</v>
      </c>
      <c r="N986" t="str">
        <f t="shared" si="137"/>
        <v>N</v>
      </c>
      <c r="O986">
        <f t="shared" si="138"/>
        <v>11</v>
      </c>
      <c r="P986" s="6">
        <f t="shared" si="139"/>
        <v>0.92929292929292928</v>
      </c>
      <c r="Q986" s="6">
        <f t="shared" si="140"/>
        <v>1.5217391304347827E-2</v>
      </c>
      <c r="R986">
        <f t="shared" si="141"/>
        <v>0</v>
      </c>
      <c r="S986">
        <f t="shared" si="142"/>
        <v>0</v>
      </c>
      <c r="T986" t="str">
        <f t="shared" si="143"/>
        <v>Jan-26</v>
      </c>
    </row>
    <row r="987" spans="1:20">
      <c r="A987" t="s">
        <v>1544</v>
      </c>
      <c r="B987" t="s">
        <v>67</v>
      </c>
      <c r="C987" t="s">
        <v>12</v>
      </c>
      <c r="D987">
        <v>435</v>
      </c>
      <c r="E987" s="4">
        <v>46140</v>
      </c>
      <c r="F987" s="4">
        <v>46145</v>
      </c>
      <c r="G987" s="4">
        <v>46148</v>
      </c>
      <c r="H987">
        <v>434</v>
      </c>
      <c r="I987" t="s">
        <v>690</v>
      </c>
      <c r="J987">
        <v>10</v>
      </c>
      <c r="K987" t="s">
        <v>1563</v>
      </c>
      <c r="L987" t="str">
        <f t="shared" si="135"/>
        <v>N</v>
      </c>
      <c r="M987" t="str">
        <f t="shared" si="136"/>
        <v>Y</v>
      </c>
      <c r="N987" t="str">
        <f t="shared" si="137"/>
        <v>N</v>
      </c>
      <c r="O987">
        <f t="shared" si="138"/>
        <v>8</v>
      </c>
      <c r="P987" s="6">
        <f t="shared" si="139"/>
        <v>0.99770114942528731</v>
      </c>
      <c r="Q987" s="6">
        <f t="shared" si="140"/>
        <v>2.3041474654377881E-2</v>
      </c>
      <c r="R987">
        <f t="shared" si="141"/>
        <v>0</v>
      </c>
      <c r="S987">
        <f t="shared" si="142"/>
        <v>3</v>
      </c>
      <c r="T987" t="str">
        <f t="shared" si="143"/>
        <v>May-26</v>
      </c>
    </row>
    <row r="988" spans="1:20">
      <c r="A988" t="s">
        <v>1545</v>
      </c>
      <c r="B988" t="s">
        <v>11</v>
      </c>
      <c r="C988" t="s">
        <v>23</v>
      </c>
      <c r="D988">
        <v>685</v>
      </c>
      <c r="E988" s="4">
        <v>46134</v>
      </c>
      <c r="F988" s="4">
        <v>46140</v>
      </c>
      <c r="G988" s="4"/>
      <c r="I988" t="s">
        <v>103</v>
      </c>
      <c r="K988" t="s">
        <v>1565</v>
      </c>
      <c r="L988" t="str">
        <f t="shared" si="135"/>
        <v>N/A</v>
      </c>
      <c r="M988" t="str">
        <f t="shared" si="136"/>
        <v>N/A</v>
      </c>
      <c r="N988" t="str">
        <f t="shared" si="137"/>
        <v>N/A</v>
      </c>
      <c r="O988" t="str">
        <f t="shared" si="138"/>
        <v>N/A</v>
      </c>
      <c r="P988" s="6" t="str">
        <f t="shared" si="139"/>
        <v>N/A</v>
      </c>
      <c r="Q988" s="6" t="str">
        <f t="shared" si="140"/>
        <v>N/A</v>
      </c>
      <c r="R988" t="str">
        <f t="shared" si="141"/>
        <v/>
      </c>
      <c r="S988" t="str">
        <f t="shared" si="142"/>
        <v>N/A</v>
      </c>
      <c r="T988" t="str">
        <f t="shared" si="143"/>
        <v>N/A</v>
      </c>
    </row>
    <row r="989" spans="1:20">
      <c r="A989" t="s">
        <v>1546</v>
      </c>
      <c r="B989" t="s">
        <v>52</v>
      </c>
      <c r="C989" t="s">
        <v>16</v>
      </c>
      <c r="D989">
        <v>258</v>
      </c>
      <c r="E989" s="4">
        <v>46071</v>
      </c>
      <c r="F989" s="4">
        <v>46085</v>
      </c>
      <c r="G989" s="4">
        <v>46091</v>
      </c>
      <c r="H989">
        <v>258</v>
      </c>
      <c r="I989" t="s">
        <v>1306</v>
      </c>
      <c r="J989">
        <v>2</v>
      </c>
      <c r="K989" t="s">
        <v>1563</v>
      </c>
      <c r="L989" t="str">
        <f t="shared" si="135"/>
        <v>N</v>
      </c>
      <c r="M989" t="str">
        <f t="shared" si="136"/>
        <v>Y</v>
      </c>
      <c r="N989" t="str">
        <f t="shared" si="137"/>
        <v>N</v>
      </c>
      <c r="O989">
        <f t="shared" si="138"/>
        <v>20</v>
      </c>
      <c r="P989" s="6">
        <f t="shared" si="139"/>
        <v>1</v>
      </c>
      <c r="Q989" s="6">
        <f t="shared" si="140"/>
        <v>7.7519379844961239E-3</v>
      </c>
      <c r="R989">
        <f t="shared" si="141"/>
        <v>0</v>
      </c>
      <c r="S989">
        <f t="shared" si="142"/>
        <v>6</v>
      </c>
      <c r="T989" t="str">
        <f t="shared" si="143"/>
        <v>Mar-26</v>
      </c>
    </row>
    <row r="990" spans="1:20">
      <c r="A990" t="s">
        <v>1547</v>
      </c>
      <c r="B990" t="s">
        <v>29</v>
      </c>
      <c r="C990" t="s">
        <v>23</v>
      </c>
      <c r="D990">
        <v>333</v>
      </c>
      <c r="E990" s="4">
        <v>46049</v>
      </c>
      <c r="F990" s="4">
        <v>46054</v>
      </c>
      <c r="G990" s="4">
        <v>46056</v>
      </c>
      <c r="H990">
        <v>308</v>
      </c>
      <c r="I990" t="s">
        <v>592</v>
      </c>
      <c r="J990">
        <v>3</v>
      </c>
      <c r="K990" t="s">
        <v>1563</v>
      </c>
      <c r="L990" t="str">
        <f t="shared" si="135"/>
        <v>N</v>
      </c>
      <c r="M990" t="str">
        <f t="shared" si="136"/>
        <v>N</v>
      </c>
      <c r="N990" t="str">
        <f t="shared" si="137"/>
        <v>N</v>
      </c>
      <c r="O990">
        <f t="shared" si="138"/>
        <v>7</v>
      </c>
      <c r="P990" s="6">
        <f t="shared" si="139"/>
        <v>0.92492492492492495</v>
      </c>
      <c r="Q990" s="6">
        <f t="shared" si="140"/>
        <v>9.74025974025974E-3</v>
      </c>
      <c r="R990">
        <f t="shared" si="141"/>
        <v>0</v>
      </c>
      <c r="S990">
        <f t="shared" si="142"/>
        <v>2</v>
      </c>
      <c r="T990" t="str">
        <f t="shared" si="143"/>
        <v>Feb-26</v>
      </c>
    </row>
    <row r="991" spans="1:20">
      <c r="A991" t="s">
        <v>1548</v>
      </c>
      <c r="B991" t="s">
        <v>32</v>
      </c>
      <c r="C991" t="s">
        <v>12</v>
      </c>
      <c r="D991">
        <v>526</v>
      </c>
      <c r="E991" s="4">
        <v>46066</v>
      </c>
      <c r="F991" s="4">
        <v>46071</v>
      </c>
      <c r="G991" s="4">
        <v>46071</v>
      </c>
      <c r="H991">
        <v>504</v>
      </c>
      <c r="I991" t="s">
        <v>1549</v>
      </c>
      <c r="J991">
        <v>2</v>
      </c>
      <c r="K991" t="s">
        <v>1563</v>
      </c>
      <c r="L991" t="str">
        <f t="shared" si="135"/>
        <v>Y</v>
      </c>
      <c r="M991" t="str">
        <f t="shared" si="136"/>
        <v>N</v>
      </c>
      <c r="N991" t="str">
        <f t="shared" si="137"/>
        <v>N</v>
      </c>
      <c r="O991">
        <f t="shared" si="138"/>
        <v>5</v>
      </c>
      <c r="P991" s="6">
        <f t="shared" si="139"/>
        <v>0.95817490494296575</v>
      </c>
      <c r="Q991" s="6">
        <f t="shared" si="140"/>
        <v>3.968253968253968E-3</v>
      </c>
      <c r="R991">
        <f t="shared" si="141"/>
        <v>0</v>
      </c>
      <c r="S991">
        <f t="shared" si="142"/>
        <v>0</v>
      </c>
      <c r="T991" t="str">
        <f t="shared" si="143"/>
        <v>Feb-26</v>
      </c>
    </row>
    <row r="992" spans="1:20">
      <c r="A992" t="s">
        <v>1550</v>
      </c>
      <c r="B992" t="s">
        <v>19</v>
      </c>
      <c r="C992" t="s">
        <v>12</v>
      </c>
      <c r="D992">
        <v>502</v>
      </c>
      <c r="E992" s="4">
        <v>46084</v>
      </c>
      <c r="F992" s="4">
        <v>46096</v>
      </c>
      <c r="G992" s="4">
        <v>46093</v>
      </c>
      <c r="H992">
        <v>422</v>
      </c>
      <c r="I992" t="s">
        <v>936</v>
      </c>
      <c r="J992">
        <v>24</v>
      </c>
      <c r="K992" t="s">
        <v>1563</v>
      </c>
      <c r="L992" t="str">
        <f t="shared" si="135"/>
        <v>Y</v>
      </c>
      <c r="M992" t="str">
        <f t="shared" si="136"/>
        <v>N</v>
      </c>
      <c r="N992" t="str">
        <f t="shared" si="137"/>
        <v>N</v>
      </c>
      <c r="O992">
        <f t="shared" si="138"/>
        <v>9</v>
      </c>
      <c r="P992" s="6">
        <f t="shared" si="139"/>
        <v>0.84063745019920322</v>
      </c>
      <c r="Q992" s="6">
        <f t="shared" si="140"/>
        <v>5.6872037914691941E-2</v>
      </c>
      <c r="R992">
        <f t="shared" si="141"/>
        <v>0</v>
      </c>
      <c r="S992">
        <f t="shared" si="142"/>
        <v>0</v>
      </c>
      <c r="T992" t="str">
        <f t="shared" si="143"/>
        <v>Mar-26</v>
      </c>
    </row>
    <row r="993" spans="1:20">
      <c r="A993" t="s">
        <v>1551</v>
      </c>
      <c r="B993" t="s">
        <v>26</v>
      </c>
      <c r="C993" t="s">
        <v>16</v>
      </c>
      <c r="D993">
        <v>220</v>
      </c>
      <c r="E993" s="4">
        <v>46124</v>
      </c>
      <c r="F993" s="4">
        <v>46131</v>
      </c>
      <c r="G993" s="4">
        <v>46129</v>
      </c>
      <c r="H993">
        <v>211</v>
      </c>
      <c r="I993" t="s">
        <v>1302</v>
      </c>
      <c r="J993">
        <v>5</v>
      </c>
      <c r="K993" t="s">
        <v>1563</v>
      </c>
      <c r="L993" t="str">
        <f t="shared" si="135"/>
        <v>Y</v>
      </c>
      <c r="M993" t="str">
        <f t="shared" si="136"/>
        <v>N</v>
      </c>
      <c r="N993" t="str">
        <f t="shared" si="137"/>
        <v>N</v>
      </c>
      <c r="O993">
        <f t="shared" si="138"/>
        <v>5</v>
      </c>
      <c r="P993" s="6">
        <f t="shared" si="139"/>
        <v>0.95909090909090911</v>
      </c>
      <c r="Q993" s="6">
        <f t="shared" si="140"/>
        <v>2.3696682464454975E-2</v>
      </c>
      <c r="R993">
        <f t="shared" si="141"/>
        <v>0</v>
      </c>
      <c r="S993">
        <f t="shared" si="142"/>
        <v>0</v>
      </c>
      <c r="T993" t="str">
        <f t="shared" si="143"/>
        <v>Apr-26</v>
      </c>
    </row>
    <row r="994" spans="1:20">
      <c r="A994" t="s">
        <v>1552</v>
      </c>
      <c r="B994" t="s">
        <v>43</v>
      </c>
      <c r="C994" t="s">
        <v>12</v>
      </c>
      <c r="D994">
        <v>115</v>
      </c>
      <c r="E994" s="4">
        <v>46061</v>
      </c>
      <c r="F994" s="4">
        <v>46071</v>
      </c>
      <c r="G994" s="4">
        <v>46080</v>
      </c>
      <c r="H994">
        <v>115</v>
      </c>
      <c r="I994" t="s">
        <v>385</v>
      </c>
      <c r="J994">
        <v>1</v>
      </c>
      <c r="K994" t="s">
        <v>1563</v>
      </c>
      <c r="L994" t="str">
        <f t="shared" si="135"/>
        <v>N</v>
      </c>
      <c r="M994" t="str">
        <f t="shared" si="136"/>
        <v>Y</v>
      </c>
      <c r="N994" t="str">
        <f t="shared" si="137"/>
        <v>N</v>
      </c>
      <c r="O994">
        <f t="shared" si="138"/>
        <v>19</v>
      </c>
      <c r="P994" s="6">
        <f t="shared" si="139"/>
        <v>1</v>
      </c>
      <c r="Q994" s="6">
        <f t="shared" si="140"/>
        <v>8.6956521739130436E-3</v>
      </c>
      <c r="R994">
        <f t="shared" si="141"/>
        <v>0</v>
      </c>
      <c r="S994">
        <f t="shared" si="142"/>
        <v>9</v>
      </c>
      <c r="T994" t="str">
        <f t="shared" si="143"/>
        <v>Feb-26</v>
      </c>
    </row>
    <row r="995" spans="1:20">
      <c r="A995" t="s">
        <v>1553</v>
      </c>
      <c r="B995" t="s">
        <v>100</v>
      </c>
      <c r="C995" t="s">
        <v>16</v>
      </c>
      <c r="D995">
        <v>336</v>
      </c>
      <c r="E995" s="4">
        <v>46152</v>
      </c>
      <c r="F995" s="4">
        <v>46167</v>
      </c>
      <c r="G995" s="4">
        <v>46167</v>
      </c>
      <c r="H995">
        <v>331</v>
      </c>
      <c r="I995" t="s">
        <v>1269</v>
      </c>
      <c r="J995">
        <v>0</v>
      </c>
      <c r="K995" t="s">
        <v>1563</v>
      </c>
      <c r="L995" t="str">
        <f t="shared" si="135"/>
        <v>Y</v>
      </c>
      <c r="M995" t="str">
        <f t="shared" si="136"/>
        <v>Y</v>
      </c>
      <c r="N995" t="str">
        <f t="shared" si="137"/>
        <v>Y</v>
      </c>
      <c r="O995">
        <f t="shared" si="138"/>
        <v>15</v>
      </c>
      <c r="P995" s="6">
        <f t="shared" si="139"/>
        <v>0.98511904761904767</v>
      </c>
      <c r="Q995" s="6">
        <f t="shared" si="140"/>
        <v>0</v>
      </c>
      <c r="R995">
        <f t="shared" si="141"/>
        <v>1</v>
      </c>
      <c r="S995">
        <f t="shared" si="142"/>
        <v>0</v>
      </c>
      <c r="T995" t="str">
        <f t="shared" si="143"/>
        <v>May-26</v>
      </c>
    </row>
    <row r="996" spans="1:20">
      <c r="A996" t="s">
        <v>1554</v>
      </c>
      <c r="B996" t="s">
        <v>22</v>
      </c>
      <c r="C996" t="s">
        <v>23</v>
      </c>
      <c r="D996">
        <v>917</v>
      </c>
      <c r="E996" s="4">
        <v>46083</v>
      </c>
      <c r="F996" s="4">
        <v>46091</v>
      </c>
      <c r="G996" s="4">
        <v>46100</v>
      </c>
      <c r="H996">
        <v>923</v>
      </c>
      <c r="I996" t="s">
        <v>1564</v>
      </c>
      <c r="J996">
        <v>80</v>
      </c>
      <c r="K996" t="s">
        <v>1563</v>
      </c>
      <c r="L996" t="str">
        <f t="shared" si="135"/>
        <v>N</v>
      </c>
      <c r="M996" t="str">
        <f t="shared" si="136"/>
        <v>Y</v>
      </c>
      <c r="N996" t="str">
        <f t="shared" si="137"/>
        <v>N</v>
      </c>
      <c r="O996">
        <f t="shared" si="138"/>
        <v>17</v>
      </c>
      <c r="P996" s="6">
        <f t="shared" si="139"/>
        <v>1.0065430752453652</v>
      </c>
      <c r="Q996" s="6">
        <f t="shared" si="140"/>
        <v>8.6673889490790898E-2</v>
      </c>
      <c r="R996">
        <f t="shared" si="141"/>
        <v>0</v>
      </c>
      <c r="S996">
        <f t="shared" si="142"/>
        <v>9</v>
      </c>
      <c r="T996" t="str">
        <f t="shared" si="143"/>
        <v>Mar-26</v>
      </c>
    </row>
    <row r="997" spans="1:20">
      <c r="A997" t="s">
        <v>1555</v>
      </c>
      <c r="B997" t="s">
        <v>35</v>
      </c>
      <c r="C997" t="s">
        <v>16</v>
      </c>
      <c r="D997">
        <v>811</v>
      </c>
      <c r="E997" s="4">
        <v>46138</v>
      </c>
      <c r="F997" s="4">
        <v>46153</v>
      </c>
      <c r="G997" s="4">
        <v>46152</v>
      </c>
      <c r="H997">
        <v>803</v>
      </c>
      <c r="I997" t="s">
        <v>1365</v>
      </c>
      <c r="J997">
        <v>24</v>
      </c>
      <c r="K997" t="s">
        <v>1563</v>
      </c>
      <c r="L997" t="str">
        <f t="shared" si="135"/>
        <v>Y</v>
      </c>
      <c r="M997" t="str">
        <f t="shared" si="136"/>
        <v>Y</v>
      </c>
      <c r="N997" t="str">
        <f t="shared" si="137"/>
        <v>Y</v>
      </c>
      <c r="O997">
        <f t="shared" si="138"/>
        <v>14</v>
      </c>
      <c r="P997" s="6">
        <f t="shared" si="139"/>
        <v>0.99013563501849566</v>
      </c>
      <c r="Q997" s="6">
        <f t="shared" si="140"/>
        <v>2.9887920298879204E-2</v>
      </c>
      <c r="R997">
        <f t="shared" si="141"/>
        <v>1</v>
      </c>
      <c r="S997">
        <f t="shared" si="142"/>
        <v>0</v>
      </c>
      <c r="T997" t="str">
        <f t="shared" si="143"/>
        <v>May-26</v>
      </c>
    </row>
    <row r="998" spans="1:20">
      <c r="A998" t="s">
        <v>1556</v>
      </c>
      <c r="B998" t="s">
        <v>11</v>
      </c>
      <c r="C998" t="s">
        <v>16</v>
      </c>
      <c r="D998">
        <v>945</v>
      </c>
      <c r="E998" s="4">
        <v>46073</v>
      </c>
      <c r="F998" s="4">
        <v>46086</v>
      </c>
      <c r="G998" s="4"/>
      <c r="I998" t="s">
        <v>1557</v>
      </c>
      <c r="K998" t="s">
        <v>1565</v>
      </c>
      <c r="L998" t="str">
        <f t="shared" si="135"/>
        <v>N/A</v>
      </c>
      <c r="M998" t="str">
        <f t="shared" si="136"/>
        <v>N/A</v>
      </c>
      <c r="N998" t="str">
        <f t="shared" si="137"/>
        <v>N/A</v>
      </c>
      <c r="O998" t="str">
        <f t="shared" si="138"/>
        <v>N/A</v>
      </c>
      <c r="P998" s="6" t="str">
        <f t="shared" si="139"/>
        <v>N/A</v>
      </c>
      <c r="Q998" s="6" t="str">
        <f t="shared" si="140"/>
        <v>N/A</v>
      </c>
      <c r="R998" t="str">
        <f t="shared" si="141"/>
        <v/>
      </c>
      <c r="S998" t="str">
        <f t="shared" si="142"/>
        <v>N/A</v>
      </c>
      <c r="T998" t="str">
        <f t="shared" si="143"/>
        <v>N/A</v>
      </c>
    </row>
    <row r="999" spans="1:20">
      <c r="A999" t="s">
        <v>1558</v>
      </c>
      <c r="B999" t="s">
        <v>64</v>
      </c>
      <c r="C999" t="s">
        <v>23</v>
      </c>
      <c r="D999">
        <v>150</v>
      </c>
      <c r="E999" s="4">
        <v>46077</v>
      </c>
      <c r="F999" s="4">
        <v>46089</v>
      </c>
      <c r="G999" s="4">
        <v>46088</v>
      </c>
      <c r="H999">
        <v>142</v>
      </c>
      <c r="I999" t="s">
        <v>1559</v>
      </c>
      <c r="J999">
        <v>1</v>
      </c>
      <c r="K999" t="s">
        <v>1563</v>
      </c>
      <c r="L999" t="str">
        <f t="shared" si="135"/>
        <v>Y</v>
      </c>
      <c r="M999" t="str">
        <f t="shared" si="136"/>
        <v>N</v>
      </c>
      <c r="N999" t="str">
        <f t="shared" si="137"/>
        <v>N</v>
      </c>
      <c r="O999">
        <f t="shared" si="138"/>
        <v>11</v>
      </c>
      <c r="P999" s="6">
        <f t="shared" si="139"/>
        <v>0.94666666666666666</v>
      </c>
      <c r="Q999" s="6">
        <f t="shared" si="140"/>
        <v>7.0422535211267607E-3</v>
      </c>
      <c r="R999">
        <f t="shared" si="141"/>
        <v>0</v>
      </c>
      <c r="S999">
        <f t="shared" si="142"/>
        <v>0</v>
      </c>
      <c r="T999" t="str">
        <f t="shared" si="143"/>
        <v>Mar-26</v>
      </c>
    </row>
    <row r="1000" spans="1:20">
      <c r="A1000" t="s">
        <v>1560</v>
      </c>
      <c r="B1000" t="s">
        <v>46</v>
      </c>
      <c r="C1000" t="s">
        <v>16</v>
      </c>
      <c r="D1000">
        <v>118</v>
      </c>
      <c r="E1000" s="4">
        <v>46058</v>
      </c>
      <c r="F1000" s="4">
        <v>46069</v>
      </c>
      <c r="G1000" s="4">
        <v>46066</v>
      </c>
      <c r="H1000">
        <v>119</v>
      </c>
      <c r="I1000" t="s">
        <v>318</v>
      </c>
      <c r="J1000">
        <v>3</v>
      </c>
      <c r="K1000" t="s">
        <v>1563</v>
      </c>
      <c r="L1000" t="str">
        <f t="shared" si="135"/>
        <v>Y</v>
      </c>
      <c r="M1000" t="str">
        <f t="shared" si="136"/>
        <v>Y</v>
      </c>
      <c r="N1000" t="str">
        <f t="shared" si="137"/>
        <v>Y</v>
      </c>
      <c r="O1000">
        <f t="shared" si="138"/>
        <v>8</v>
      </c>
      <c r="P1000" s="6">
        <f t="shared" si="139"/>
        <v>1.0084745762711864</v>
      </c>
      <c r="Q1000" s="6">
        <f t="shared" si="140"/>
        <v>2.5210084033613446E-2</v>
      </c>
      <c r="R1000">
        <f t="shared" si="141"/>
        <v>1</v>
      </c>
      <c r="S1000">
        <f t="shared" si="142"/>
        <v>0</v>
      </c>
      <c r="T1000" t="str">
        <f t="shared" si="143"/>
        <v>Feb-26</v>
      </c>
    </row>
    <row r="1001" spans="1:20">
      <c r="A1001" t="s">
        <v>1561</v>
      </c>
      <c r="B1001" t="s">
        <v>22</v>
      </c>
      <c r="C1001" t="s">
        <v>12</v>
      </c>
      <c r="D1001">
        <v>840</v>
      </c>
      <c r="E1001" s="4">
        <v>46111</v>
      </c>
      <c r="F1001" s="4">
        <v>46117</v>
      </c>
      <c r="G1001" s="4">
        <v>46116</v>
      </c>
      <c r="H1001">
        <v>833</v>
      </c>
      <c r="I1001" t="s">
        <v>195</v>
      </c>
      <c r="J1001">
        <v>71</v>
      </c>
      <c r="K1001" t="s">
        <v>1563</v>
      </c>
      <c r="L1001" t="str">
        <f t="shared" si="135"/>
        <v>Y</v>
      </c>
      <c r="M1001" t="str">
        <f t="shared" si="136"/>
        <v>Y</v>
      </c>
      <c r="N1001" t="str">
        <f t="shared" si="137"/>
        <v>Y</v>
      </c>
      <c r="O1001">
        <f t="shared" si="138"/>
        <v>5</v>
      </c>
      <c r="P1001" s="6">
        <f t="shared" si="139"/>
        <v>0.9916666666666667</v>
      </c>
      <c r="Q1001" s="6">
        <f t="shared" si="140"/>
        <v>8.5234093637454988E-2</v>
      </c>
      <c r="R1001">
        <f t="shared" si="141"/>
        <v>1</v>
      </c>
      <c r="S1001">
        <f t="shared" si="142"/>
        <v>0</v>
      </c>
      <c r="T1001" t="str">
        <f t="shared" si="143"/>
        <v>Apr-26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F3E2-AB0F-4662-B1A0-9AB9E698F50B}">
  <dimension ref="A1:C18"/>
  <sheetViews>
    <sheetView workbookViewId="0"/>
  </sheetViews>
  <sheetFormatPr defaultRowHeight="14.4"/>
  <sheetData>
    <row r="1" spans="1:3">
      <c r="A1" s="7"/>
      <c r="B1" s="8"/>
      <c r="C1" s="9"/>
    </row>
    <row r="2" spans="1:3">
      <c r="A2" s="10"/>
      <c r="B2" s="11"/>
      <c r="C2" s="12"/>
    </row>
    <row r="3" spans="1:3">
      <c r="A3" s="10"/>
      <c r="B3" s="11"/>
      <c r="C3" s="12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3"/>
      <c r="B18" s="14"/>
      <c r="C18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8E38-DE91-469B-9926-5B477A7A3696}">
  <dimension ref="A1:B7"/>
  <sheetViews>
    <sheetView zoomScale="91" workbookViewId="0">
      <selection activeCell="A4" sqref="A4:B6"/>
    </sheetView>
  </sheetViews>
  <sheetFormatPr defaultRowHeight="14.4"/>
  <cols>
    <col min="1" max="1" width="13.33203125" bestFit="1" customWidth="1"/>
    <col min="2" max="2" width="13.21875" bestFit="1" customWidth="1"/>
    <col min="3" max="4" width="19.88671875" bestFit="1" customWidth="1"/>
  </cols>
  <sheetData>
    <row r="1" spans="1:2">
      <c r="A1" s="16" t="s">
        <v>1562</v>
      </c>
      <c r="B1" t="s">
        <v>1574</v>
      </c>
    </row>
    <row r="3" spans="1:2">
      <c r="A3" s="16" t="s">
        <v>1572</v>
      </c>
      <c r="B3" t="s">
        <v>1578</v>
      </c>
    </row>
    <row r="4" spans="1:2">
      <c r="A4" s="17" t="s">
        <v>23</v>
      </c>
      <c r="B4" s="18">
        <v>0.49740932642487046</v>
      </c>
    </row>
    <row r="5" spans="1:2">
      <c r="A5" s="17" t="s">
        <v>16</v>
      </c>
      <c r="B5" s="18">
        <v>0.59598853868194845</v>
      </c>
    </row>
    <row r="6" spans="1:2">
      <c r="A6" s="17" t="s">
        <v>12</v>
      </c>
      <c r="B6" s="18">
        <v>0.57242990654205606</v>
      </c>
    </row>
    <row r="7" spans="1:2">
      <c r="A7" s="17" t="s">
        <v>1573</v>
      </c>
      <c r="B7" s="27">
        <v>0.56597938144329896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18DD-92AF-4795-9366-ABB30A8FDCD5}">
  <dimension ref="A3:C24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22" bestFit="1" customWidth="1"/>
    <col min="3" max="3" width="18.21875" bestFit="1" customWidth="1"/>
    <col min="4" max="4" width="12.33203125" bestFit="1" customWidth="1"/>
  </cols>
  <sheetData>
    <row r="3" spans="1:3">
      <c r="A3" s="16" t="s">
        <v>1572</v>
      </c>
      <c r="B3" t="s">
        <v>1581</v>
      </c>
      <c r="C3" t="s">
        <v>1582</v>
      </c>
    </row>
    <row r="4" spans="1:3">
      <c r="A4" s="17" t="s">
        <v>32</v>
      </c>
      <c r="B4" s="27">
        <v>16500</v>
      </c>
      <c r="C4" s="27">
        <v>0.6</v>
      </c>
    </row>
    <row r="5" spans="1:3">
      <c r="A5" s="17" t="s">
        <v>54</v>
      </c>
      <c r="B5" s="27">
        <v>41000</v>
      </c>
      <c r="C5" s="27">
        <v>1.64</v>
      </c>
    </row>
    <row r="6" spans="1:3">
      <c r="A6" s="17" t="s">
        <v>120</v>
      </c>
      <c r="B6" s="27">
        <v>4500</v>
      </c>
      <c r="C6" s="27">
        <v>0.19148936170212766</v>
      </c>
    </row>
    <row r="7" spans="1:3">
      <c r="A7" s="17" t="s">
        <v>40</v>
      </c>
      <c r="B7" s="27">
        <v>35500</v>
      </c>
      <c r="C7" s="27">
        <v>1.7749999999999999</v>
      </c>
    </row>
    <row r="8" spans="1:3">
      <c r="A8" s="17" t="s">
        <v>70</v>
      </c>
      <c r="B8" s="27">
        <v>53000</v>
      </c>
      <c r="C8" s="27">
        <v>2.12</v>
      </c>
    </row>
    <row r="9" spans="1:3">
      <c r="A9" s="17" t="s">
        <v>19</v>
      </c>
      <c r="B9" s="27">
        <v>13000</v>
      </c>
      <c r="C9" s="27">
        <v>0.54166666666666663</v>
      </c>
    </row>
    <row r="10" spans="1:3">
      <c r="A10" s="17" t="s">
        <v>35</v>
      </c>
      <c r="B10" s="27">
        <v>49000</v>
      </c>
      <c r="C10" s="27">
        <v>2.0851063829787235</v>
      </c>
    </row>
    <row r="11" spans="1:3">
      <c r="A11" s="17" t="s">
        <v>11</v>
      </c>
      <c r="B11" s="27">
        <v>19500</v>
      </c>
      <c r="C11" s="27">
        <v>0.79591836734693877</v>
      </c>
    </row>
    <row r="12" spans="1:3">
      <c r="A12" s="17" t="s">
        <v>52</v>
      </c>
      <c r="B12" s="27">
        <v>29000</v>
      </c>
      <c r="C12" s="27">
        <v>1.2340425531914894</v>
      </c>
    </row>
    <row r="13" spans="1:3">
      <c r="A13" s="17" t="s">
        <v>29</v>
      </c>
      <c r="B13" s="27">
        <v>31000</v>
      </c>
      <c r="C13" s="27">
        <v>1.4761904761904763</v>
      </c>
    </row>
    <row r="14" spans="1:3">
      <c r="A14" s="17" t="s">
        <v>49</v>
      </c>
      <c r="B14" s="27">
        <v>38000</v>
      </c>
      <c r="C14" s="27">
        <v>1.4901960784313726</v>
      </c>
    </row>
    <row r="15" spans="1:3">
      <c r="A15" s="17" t="s">
        <v>64</v>
      </c>
      <c r="B15" s="27">
        <v>57000</v>
      </c>
      <c r="C15" s="27">
        <v>2.6511627906976742</v>
      </c>
    </row>
    <row r="16" spans="1:3">
      <c r="A16" s="17" t="s">
        <v>43</v>
      </c>
      <c r="B16" s="27">
        <v>27500</v>
      </c>
      <c r="C16" s="27">
        <v>1.0576923076923077</v>
      </c>
    </row>
    <row r="17" spans="1:3">
      <c r="A17" s="17" t="s">
        <v>177</v>
      </c>
      <c r="B17" s="27">
        <v>41000</v>
      </c>
      <c r="C17" s="27">
        <v>1.6734693877551021</v>
      </c>
    </row>
    <row r="18" spans="1:3">
      <c r="A18" s="17" t="s">
        <v>26</v>
      </c>
      <c r="B18" s="27">
        <v>12500</v>
      </c>
      <c r="C18" s="27">
        <v>0.43103448275862066</v>
      </c>
    </row>
    <row r="19" spans="1:3">
      <c r="A19" s="17" t="s">
        <v>67</v>
      </c>
      <c r="B19" s="27">
        <v>40500</v>
      </c>
      <c r="C19" s="27">
        <v>1.5</v>
      </c>
    </row>
    <row r="20" spans="1:3">
      <c r="A20" s="17" t="s">
        <v>46</v>
      </c>
      <c r="B20" s="27">
        <v>17000</v>
      </c>
      <c r="C20" s="27">
        <v>0.62962962962962965</v>
      </c>
    </row>
    <row r="21" spans="1:3">
      <c r="A21" s="17" t="s">
        <v>22</v>
      </c>
      <c r="B21" s="27">
        <v>58000</v>
      </c>
      <c r="C21" s="27">
        <v>2.4166666666666665</v>
      </c>
    </row>
    <row r="22" spans="1:3">
      <c r="A22" s="17" t="s">
        <v>81</v>
      </c>
      <c r="B22" s="27">
        <v>44500</v>
      </c>
      <c r="C22" s="27">
        <v>1.9347826086956521</v>
      </c>
    </row>
    <row r="23" spans="1:3">
      <c r="A23" s="17" t="s">
        <v>100</v>
      </c>
      <c r="B23" s="27">
        <v>19000</v>
      </c>
      <c r="C23" s="27">
        <v>0.95</v>
      </c>
    </row>
    <row r="24" spans="1:3">
      <c r="A24" s="17" t="s">
        <v>1573</v>
      </c>
      <c r="B24" s="27">
        <v>647000</v>
      </c>
      <c r="C24" s="27">
        <v>1.334020618556701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7443-1319-47D3-9E75-A299CBC607AC}">
  <dimension ref="A1:T1001"/>
  <sheetViews>
    <sheetView topLeftCell="I1" zoomScale="112" workbookViewId="0"/>
  </sheetViews>
  <sheetFormatPr defaultRowHeight="14.4"/>
  <cols>
    <col min="1" max="1" width="13.5546875" bestFit="1" customWidth="1"/>
    <col min="2" max="2" width="15.5546875" bestFit="1" customWidth="1"/>
    <col min="3" max="3" width="11.88671875" bestFit="1" customWidth="1"/>
    <col min="4" max="4" width="14.109375" bestFit="1" customWidth="1"/>
    <col min="5" max="5" width="16.33203125" bestFit="1" customWidth="1"/>
    <col min="6" max="6" width="16.109375" bestFit="1" customWidth="1"/>
    <col min="7" max="7" width="16.33203125" bestFit="1" customWidth="1"/>
    <col min="8" max="8" width="14.77734375" bestFit="1" customWidth="1"/>
    <col min="9" max="9" width="14.109375" bestFit="1" customWidth="1"/>
    <col min="10" max="10" width="14.5546875" bestFit="1" customWidth="1"/>
    <col min="11" max="11" width="11.88671875" bestFit="1" customWidth="1"/>
    <col min="12" max="12" width="15.6640625" bestFit="1" customWidth="1"/>
    <col min="13" max="13" width="16.21875" bestFit="1" customWidth="1"/>
    <col min="15" max="15" width="17.44140625" bestFit="1" customWidth="1"/>
    <col min="16" max="16" width="12.6640625" style="6" bestFit="1" customWidth="1"/>
    <col min="17" max="17" width="18.44140625" style="6" bestFit="1" customWidth="1"/>
    <col min="18" max="18" width="15.109375" bestFit="1" customWidth="1"/>
    <col min="19" max="19" width="12.88671875" bestFit="1" customWidth="1"/>
    <col min="20" max="20" width="17.5546875" bestFit="1" customWidth="1"/>
  </cols>
  <sheetData>
    <row r="1" spans="1:20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3</v>
      </c>
      <c r="J1" t="s">
        <v>9</v>
      </c>
      <c r="K1" t="s">
        <v>1562</v>
      </c>
      <c r="L1" s="5" t="s">
        <v>1566</v>
      </c>
      <c r="M1" t="s">
        <v>1567</v>
      </c>
      <c r="N1" t="s">
        <v>1568</v>
      </c>
      <c r="O1" t="s">
        <v>1569</v>
      </c>
      <c r="P1" s="6" t="s">
        <v>1570</v>
      </c>
      <c r="Q1" s="6" t="s">
        <v>1571</v>
      </c>
      <c r="R1" t="s">
        <v>1575</v>
      </c>
      <c r="S1" t="s">
        <v>1579</v>
      </c>
      <c r="T1" t="s">
        <v>1580</v>
      </c>
    </row>
    <row r="2" spans="1:20">
      <c r="A2" t="s">
        <v>10</v>
      </c>
      <c r="B2" t="s">
        <v>11</v>
      </c>
      <c r="C2" t="s">
        <v>12</v>
      </c>
      <c r="D2">
        <v>225</v>
      </c>
      <c r="E2" s="4">
        <v>46131</v>
      </c>
      <c r="F2" s="4">
        <v>46141</v>
      </c>
      <c r="G2" s="4">
        <v>46140</v>
      </c>
      <c r="H2">
        <v>186</v>
      </c>
      <c r="I2" t="s">
        <v>13</v>
      </c>
      <c r="J2">
        <v>6</v>
      </c>
      <c r="K2" t="s">
        <v>1563</v>
      </c>
      <c r="L2" t="str">
        <f t="shared" ref="L2:L65" si="0">IF(G2="","N/A",IF(G2&lt;=F2,"Y","N"))</f>
        <v>Y</v>
      </c>
      <c r="M2" t="str">
        <f t="shared" ref="M2:M65" si="1">IF(H2="","N/A",IF(H2&gt;=D2*0.98,"Y","N"))</f>
        <v>N</v>
      </c>
      <c r="N2" t="str">
        <f t="shared" ref="N2:N65" si="2">IF(OR(L2="N/A",M2="N/A"),"N/A",IF(AND(L2="Y",M2="Y"),"Y","N"))</f>
        <v>N</v>
      </c>
      <c r="O2">
        <f t="shared" ref="O2:O65" si="3">IF(G2="","N/A",G2-E2)</f>
        <v>9</v>
      </c>
      <c r="P2" s="6">
        <f t="shared" ref="P2:P65" si="4">IF(H2="","N/A",H2/D2)</f>
        <v>0.82666666666666666</v>
      </c>
      <c r="Q2" s="6">
        <f t="shared" ref="Q2:Q65" si="5">IF(H2="","N/A",IF(H2=0,0,J2/H2))</f>
        <v>3.2258064516129031E-2</v>
      </c>
      <c r="R2">
        <f t="shared" ref="R2:R65" si="6">IF(N2="Y",1,IF(N2="N",0,""))</f>
        <v>0</v>
      </c>
      <c r="S2">
        <f t="shared" ref="S2:S65" si="7">IF(G2="","N/A",MAX(G2-F2,0))</f>
        <v>0</v>
      </c>
      <c r="T2">
        <f t="shared" ref="T2:T65" si="8">IF(S2="N/A",0,S2*500)</f>
        <v>0</v>
      </c>
    </row>
    <row r="3" spans="1:20">
      <c r="A3" t="s">
        <v>14</v>
      </c>
      <c r="B3" t="s">
        <v>54</v>
      </c>
      <c r="C3" t="s">
        <v>16</v>
      </c>
      <c r="D3">
        <v>875</v>
      </c>
      <c r="E3" s="4">
        <v>46142</v>
      </c>
      <c r="F3" s="4">
        <v>46156</v>
      </c>
      <c r="G3" s="4">
        <v>46154</v>
      </c>
      <c r="H3">
        <v>859</v>
      </c>
      <c r="I3" t="s">
        <v>17</v>
      </c>
      <c r="J3">
        <v>10</v>
      </c>
      <c r="K3" t="s">
        <v>1563</v>
      </c>
      <c r="L3" t="str">
        <f t="shared" si="0"/>
        <v>Y</v>
      </c>
      <c r="M3" t="str">
        <f t="shared" si="1"/>
        <v>Y</v>
      </c>
      <c r="N3" t="str">
        <f t="shared" si="2"/>
        <v>Y</v>
      </c>
      <c r="O3">
        <f t="shared" si="3"/>
        <v>12</v>
      </c>
      <c r="P3" s="6">
        <f t="shared" si="4"/>
        <v>0.98171428571428576</v>
      </c>
      <c r="Q3" s="6">
        <f t="shared" si="5"/>
        <v>1.1641443538998836E-2</v>
      </c>
      <c r="R3">
        <f t="shared" si="6"/>
        <v>1</v>
      </c>
      <c r="S3">
        <f t="shared" si="7"/>
        <v>0</v>
      </c>
      <c r="T3">
        <f t="shared" si="8"/>
        <v>0</v>
      </c>
    </row>
    <row r="4" spans="1:20">
      <c r="A4" t="s">
        <v>18</v>
      </c>
      <c r="B4" t="s">
        <v>19</v>
      </c>
      <c r="C4" t="s">
        <v>12</v>
      </c>
      <c r="D4">
        <v>288</v>
      </c>
      <c r="E4" s="4">
        <v>46028</v>
      </c>
      <c r="F4" s="4">
        <v>46038</v>
      </c>
      <c r="G4" s="4">
        <v>46037</v>
      </c>
      <c r="H4">
        <v>283</v>
      </c>
      <c r="I4" t="s">
        <v>20</v>
      </c>
      <c r="J4">
        <v>9</v>
      </c>
      <c r="K4" t="s">
        <v>1563</v>
      </c>
      <c r="L4" t="str">
        <f t="shared" si="0"/>
        <v>Y</v>
      </c>
      <c r="M4" t="str">
        <f t="shared" si="1"/>
        <v>Y</v>
      </c>
      <c r="N4" t="str">
        <f t="shared" si="2"/>
        <v>Y</v>
      </c>
      <c r="O4">
        <f t="shared" si="3"/>
        <v>9</v>
      </c>
      <c r="P4" s="6">
        <f t="shared" si="4"/>
        <v>0.98263888888888884</v>
      </c>
      <c r="Q4" s="6">
        <f t="shared" si="5"/>
        <v>3.1802120141342753E-2</v>
      </c>
      <c r="R4">
        <f t="shared" si="6"/>
        <v>1</v>
      </c>
      <c r="S4">
        <f t="shared" si="7"/>
        <v>0</v>
      </c>
      <c r="T4">
        <f t="shared" si="8"/>
        <v>0</v>
      </c>
    </row>
    <row r="5" spans="1:20">
      <c r="A5" t="s">
        <v>21</v>
      </c>
      <c r="B5" t="s">
        <v>22</v>
      </c>
      <c r="C5" t="s">
        <v>23</v>
      </c>
      <c r="D5">
        <v>876</v>
      </c>
      <c r="E5" s="4">
        <v>46039</v>
      </c>
      <c r="F5" s="4">
        <v>46046</v>
      </c>
      <c r="G5" s="4">
        <v>46054</v>
      </c>
      <c r="H5">
        <v>877</v>
      </c>
      <c r="I5" t="s">
        <v>24</v>
      </c>
      <c r="J5">
        <v>8</v>
      </c>
      <c r="K5" t="s">
        <v>1563</v>
      </c>
      <c r="L5" t="str">
        <f t="shared" si="0"/>
        <v>N</v>
      </c>
      <c r="M5" t="str">
        <f t="shared" si="1"/>
        <v>Y</v>
      </c>
      <c r="N5" t="str">
        <f t="shared" si="2"/>
        <v>N</v>
      </c>
      <c r="O5">
        <f t="shared" si="3"/>
        <v>15</v>
      </c>
      <c r="P5" s="6">
        <f t="shared" si="4"/>
        <v>1.0011415525114156</v>
      </c>
      <c r="Q5" s="6">
        <f t="shared" si="5"/>
        <v>9.1220068415051314E-3</v>
      </c>
      <c r="R5">
        <f t="shared" si="6"/>
        <v>0</v>
      </c>
      <c r="S5">
        <f t="shared" si="7"/>
        <v>8</v>
      </c>
      <c r="T5">
        <f t="shared" si="8"/>
        <v>4000</v>
      </c>
    </row>
    <row r="6" spans="1:20">
      <c r="A6" t="s">
        <v>25</v>
      </c>
      <c r="B6" t="s">
        <v>26</v>
      </c>
      <c r="C6" t="s">
        <v>16</v>
      </c>
      <c r="D6">
        <v>445</v>
      </c>
      <c r="E6" s="4">
        <v>46089</v>
      </c>
      <c r="F6" s="4">
        <v>46094</v>
      </c>
      <c r="G6" s="4">
        <v>46094</v>
      </c>
      <c r="H6">
        <v>442</v>
      </c>
      <c r="I6" t="s">
        <v>27</v>
      </c>
      <c r="J6">
        <v>6</v>
      </c>
      <c r="K6" t="s">
        <v>1563</v>
      </c>
      <c r="L6" t="str">
        <f t="shared" si="0"/>
        <v>Y</v>
      </c>
      <c r="M6" t="str">
        <f t="shared" si="1"/>
        <v>Y</v>
      </c>
      <c r="N6" t="str">
        <f t="shared" si="2"/>
        <v>Y</v>
      </c>
      <c r="O6">
        <f t="shared" si="3"/>
        <v>5</v>
      </c>
      <c r="P6" s="6">
        <f t="shared" si="4"/>
        <v>0.99325842696629218</v>
      </c>
      <c r="Q6" s="6">
        <f t="shared" si="5"/>
        <v>1.3574660633484163E-2</v>
      </c>
      <c r="R6">
        <f t="shared" si="6"/>
        <v>1</v>
      </c>
      <c r="S6">
        <f t="shared" si="7"/>
        <v>0</v>
      </c>
      <c r="T6">
        <f t="shared" si="8"/>
        <v>0</v>
      </c>
    </row>
    <row r="7" spans="1:20">
      <c r="A7" t="s">
        <v>28</v>
      </c>
      <c r="B7" t="s">
        <v>29</v>
      </c>
      <c r="C7" t="s">
        <v>12</v>
      </c>
      <c r="D7">
        <v>482</v>
      </c>
      <c r="E7" s="4">
        <v>46134</v>
      </c>
      <c r="F7" s="4">
        <v>46147</v>
      </c>
      <c r="G7" s="4">
        <v>46146</v>
      </c>
      <c r="H7">
        <v>473</v>
      </c>
      <c r="I7" t="s">
        <v>30</v>
      </c>
      <c r="J7">
        <v>3</v>
      </c>
      <c r="K7" t="s">
        <v>1563</v>
      </c>
      <c r="L7" t="str">
        <f t="shared" si="0"/>
        <v>Y</v>
      </c>
      <c r="M7" t="str">
        <f t="shared" si="1"/>
        <v>Y</v>
      </c>
      <c r="N7" t="str">
        <f t="shared" si="2"/>
        <v>Y</v>
      </c>
      <c r="O7">
        <f t="shared" si="3"/>
        <v>12</v>
      </c>
      <c r="P7" s="6">
        <f t="shared" si="4"/>
        <v>0.98132780082987547</v>
      </c>
      <c r="Q7" s="6">
        <f t="shared" si="5"/>
        <v>6.3424947145877377E-3</v>
      </c>
      <c r="R7">
        <f t="shared" si="6"/>
        <v>1</v>
      </c>
      <c r="S7">
        <f t="shared" si="7"/>
        <v>0</v>
      </c>
      <c r="T7">
        <f t="shared" si="8"/>
        <v>0</v>
      </c>
    </row>
    <row r="8" spans="1:20">
      <c r="A8" t="s">
        <v>31</v>
      </c>
      <c r="B8" t="s">
        <v>32</v>
      </c>
      <c r="C8" t="s">
        <v>23</v>
      </c>
      <c r="D8">
        <v>810</v>
      </c>
      <c r="E8" s="4">
        <v>46043</v>
      </c>
      <c r="F8" s="4">
        <v>46050</v>
      </c>
      <c r="G8" s="4">
        <v>46050</v>
      </c>
      <c r="H8">
        <v>805</v>
      </c>
      <c r="I8" t="s">
        <v>33</v>
      </c>
      <c r="J8">
        <v>7</v>
      </c>
      <c r="K8" t="s">
        <v>1563</v>
      </c>
      <c r="L8" t="str">
        <f t="shared" si="0"/>
        <v>Y</v>
      </c>
      <c r="M8" t="str">
        <f t="shared" si="1"/>
        <v>Y</v>
      </c>
      <c r="N8" t="str">
        <f t="shared" si="2"/>
        <v>Y</v>
      </c>
      <c r="O8">
        <f t="shared" si="3"/>
        <v>7</v>
      </c>
      <c r="P8" s="6">
        <f t="shared" si="4"/>
        <v>0.99382716049382713</v>
      </c>
      <c r="Q8" s="6">
        <f t="shared" si="5"/>
        <v>8.6956521739130436E-3</v>
      </c>
      <c r="R8">
        <f t="shared" si="6"/>
        <v>1</v>
      </c>
      <c r="S8">
        <f t="shared" si="7"/>
        <v>0</v>
      </c>
      <c r="T8">
        <f t="shared" si="8"/>
        <v>0</v>
      </c>
    </row>
    <row r="9" spans="1:20">
      <c r="A9" t="s">
        <v>34</v>
      </c>
      <c r="B9" t="s">
        <v>35</v>
      </c>
      <c r="C9" t="s">
        <v>23</v>
      </c>
      <c r="D9">
        <v>208</v>
      </c>
      <c r="E9" s="4">
        <v>46161</v>
      </c>
      <c r="F9" s="4">
        <v>46174</v>
      </c>
      <c r="G9" s="4">
        <v>46172</v>
      </c>
      <c r="H9">
        <v>183</v>
      </c>
      <c r="I9" t="s">
        <v>36</v>
      </c>
      <c r="J9">
        <v>4</v>
      </c>
      <c r="K9" t="s">
        <v>1563</v>
      </c>
      <c r="L9" t="str">
        <f t="shared" si="0"/>
        <v>Y</v>
      </c>
      <c r="M9" t="str">
        <f t="shared" si="1"/>
        <v>N</v>
      </c>
      <c r="N9" t="str">
        <f t="shared" si="2"/>
        <v>N</v>
      </c>
      <c r="O9">
        <f t="shared" si="3"/>
        <v>11</v>
      </c>
      <c r="P9" s="6">
        <f t="shared" si="4"/>
        <v>0.87980769230769229</v>
      </c>
      <c r="Q9" s="6">
        <f t="shared" si="5"/>
        <v>2.185792349726776E-2</v>
      </c>
      <c r="R9">
        <f t="shared" si="6"/>
        <v>0</v>
      </c>
      <c r="S9">
        <f t="shared" si="7"/>
        <v>0</v>
      </c>
      <c r="T9">
        <f t="shared" si="8"/>
        <v>0</v>
      </c>
    </row>
    <row r="10" spans="1:20">
      <c r="A10" t="s">
        <v>37</v>
      </c>
      <c r="B10" t="s">
        <v>19</v>
      </c>
      <c r="C10" t="s">
        <v>12</v>
      </c>
      <c r="D10">
        <v>266</v>
      </c>
      <c r="E10" s="4">
        <v>46089</v>
      </c>
      <c r="F10" s="4">
        <v>46102</v>
      </c>
      <c r="G10" s="4">
        <v>46099</v>
      </c>
      <c r="H10">
        <v>270</v>
      </c>
      <c r="I10" t="s">
        <v>38</v>
      </c>
      <c r="J10">
        <v>2</v>
      </c>
      <c r="K10" t="s">
        <v>1563</v>
      </c>
      <c r="L10" t="str">
        <f t="shared" si="0"/>
        <v>Y</v>
      </c>
      <c r="M10" t="str">
        <f t="shared" si="1"/>
        <v>Y</v>
      </c>
      <c r="N10" t="str">
        <f t="shared" si="2"/>
        <v>Y</v>
      </c>
      <c r="O10">
        <f t="shared" si="3"/>
        <v>10</v>
      </c>
      <c r="P10" s="6">
        <f t="shared" si="4"/>
        <v>1.0150375939849625</v>
      </c>
      <c r="Q10" s="6">
        <f t="shared" si="5"/>
        <v>7.4074074074074077E-3</v>
      </c>
      <c r="R10">
        <f t="shared" si="6"/>
        <v>1</v>
      </c>
      <c r="S10">
        <f t="shared" si="7"/>
        <v>0</v>
      </c>
      <c r="T10">
        <f t="shared" si="8"/>
        <v>0</v>
      </c>
    </row>
    <row r="11" spans="1:20">
      <c r="A11" t="s">
        <v>39</v>
      </c>
      <c r="B11" t="s">
        <v>40</v>
      </c>
      <c r="C11" t="s">
        <v>23</v>
      </c>
      <c r="D11">
        <v>184</v>
      </c>
      <c r="E11" s="4">
        <v>46084</v>
      </c>
      <c r="F11" s="4">
        <v>46089</v>
      </c>
      <c r="G11" s="4">
        <v>46092</v>
      </c>
      <c r="H11">
        <v>183</v>
      </c>
      <c r="I11" t="s">
        <v>41</v>
      </c>
      <c r="J11">
        <v>1</v>
      </c>
      <c r="K11" t="s">
        <v>1563</v>
      </c>
      <c r="L11" t="str">
        <f t="shared" si="0"/>
        <v>N</v>
      </c>
      <c r="M11" t="str">
        <f t="shared" si="1"/>
        <v>Y</v>
      </c>
      <c r="N11" t="str">
        <f t="shared" si="2"/>
        <v>N</v>
      </c>
      <c r="O11">
        <f t="shared" si="3"/>
        <v>8</v>
      </c>
      <c r="P11" s="6">
        <f t="shared" si="4"/>
        <v>0.99456521739130432</v>
      </c>
      <c r="Q11" s="6">
        <f t="shared" si="5"/>
        <v>5.4644808743169399E-3</v>
      </c>
      <c r="R11">
        <f t="shared" si="6"/>
        <v>0</v>
      </c>
      <c r="S11">
        <f t="shared" si="7"/>
        <v>3</v>
      </c>
      <c r="T11">
        <f t="shared" si="8"/>
        <v>1500</v>
      </c>
    </row>
    <row r="12" spans="1:20">
      <c r="A12" t="s">
        <v>42</v>
      </c>
      <c r="B12" t="s">
        <v>43</v>
      </c>
      <c r="C12" t="s">
        <v>12</v>
      </c>
      <c r="D12">
        <v>242</v>
      </c>
      <c r="E12" s="4">
        <v>46104</v>
      </c>
      <c r="F12" s="4">
        <v>46114</v>
      </c>
      <c r="G12" s="4">
        <v>46113</v>
      </c>
      <c r="H12">
        <v>243</v>
      </c>
      <c r="I12" t="s">
        <v>44</v>
      </c>
      <c r="J12">
        <v>13</v>
      </c>
      <c r="K12" t="s">
        <v>1563</v>
      </c>
      <c r="L12" t="str">
        <f t="shared" si="0"/>
        <v>Y</v>
      </c>
      <c r="M12" t="str">
        <f t="shared" si="1"/>
        <v>Y</v>
      </c>
      <c r="N12" t="str">
        <f t="shared" si="2"/>
        <v>Y</v>
      </c>
      <c r="O12">
        <f t="shared" si="3"/>
        <v>9</v>
      </c>
      <c r="P12" s="6">
        <f t="shared" si="4"/>
        <v>1.0041322314049588</v>
      </c>
      <c r="Q12" s="6">
        <f t="shared" si="5"/>
        <v>5.3497942386831275E-2</v>
      </c>
      <c r="R12">
        <f t="shared" si="6"/>
        <v>1</v>
      </c>
      <c r="S12">
        <f t="shared" si="7"/>
        <v>0</v>
      </c>
      <c r="T12">
        <f t="shared" si="8"/>
        <v>0</v>
      </c>
    </row>
    <row r="13" spans="1:20">
      <c r="A13" t="s">
        <v>45</v>
      </c>
      <c r="B13" t="s">
        <v>46</v>
      </c>
      <c r="C13" t="s">
        <v>23</v>
      </c>
      <c r="D13">
        <v>180</v>
      </c>
      <c r="E13" s="4">
        <v>46099</v>
      </c>
      <c r="F13" s="4">
        <v>46104</v>
      </c>
      <c r="G13" s="4">
        <v>46105</v>
      </c>
      <c r="H13">
        <v>181</v>
      </c>
      <c r="I13" t="s">
        <v>47</v>
      </c>
      <c r="J13">
        <v>4</v>
      </c>
      <c r="K13" t="s">
        <v>1563</v>
      </c>
      <c r="L13" t="str">
        <f t="shared" si="0"/>
        <v>N</v>
      </c>
      <c r="M13" t="str">
        <f t="shared" si="1"/>
        <v>Y</v>
      </c>
      <c r="N13" t="str">
        <f t="shared" si="2"/>
        <v>N</v>
      </c>
      <c r="O13">
        <f t="shared" si="3"/>
        <v>6</v>
      </c>
      <c r="P13" s="6">
        <f t="shared" si="4"/>
        <v>1.0055555555555555</v>
      </c>
      <c r="Q13" s="6">
        <f t="shared" si="5"/>
        <v>2.2099447513812154E-2</v>
      </c>
      <c r="R13">
        <f t="shared" si="6"/>
        <v>0</v>
      </c>
      <c r="S13">
        <f t="shared" si="7"/>
        <v>1</v>
      </c>
      <c r="T13">
        <f t="shared" si="8"/>
        <v>500</v>
      </c>
    </row>
    <row r="14" spans="1:20">
      <c r="A14" t="s">
        <v>48</v>
      </c>
      <c r="B14" t="s">
        <v>49</v>
      </c>
      <c r="C14" t="s">
        <v>16</v>
      </c>
      <c r="D14">
        <v>480</v>
      </c>
      <c r="E14" s="4">
        <v>46148</v>
      </c>
      <c r="F14" s="4">
        <v>46153</v>
      </c>
      <c r="G14" s="4">
        <v>46161</v>
      </c>
      <c r="H14">
        <v>489</v>
      </c>
      <c r="I14" t="s">
        <v>50</v>
      </c>
      <c r="J14">
        <v>5</v>
      </c>
      <c r="K14" t="s">
        <v>1563</v>
      </c>
      <c r="L14" t="str">
        <f t="shared" si="0"/>
        <v>N</v>
      </c>
      <c r="M14" t="str">
        <f t="shared" si="1"/>
        <v>Y</v>
      </c>
      <c r="N14" t="str">
        <f t="shared" si="2"/>
        <v>N</v>
      </c>
      <c r="O14">
        <f t="shared" si="3"/>
        <v>13</v>
      </c>
      <c r="P14" s="6">
        <f t="shared" si="4"/>
        <v>1.01875</v>
      </c>
      <c r="Q14" s="6">
        <f t="shared" si="5"/>
        <v>1.0224948875255624E-2</v>
      </c>
      <c r="R14">
        <f t="shared" si="6"/>
        <v>0</v>
      </c>
      <c r="S14">
        <f t="shared" si="7"/>
        <v>8</v>
      </c>
      <c r="T14">
        <f t="shared" si="8"/>
        <v>4000</v>
      </c>
    </row>
    <row r="15" spans="1:20">
      <c r="A15" t="s">
        <v>51</v>
      </c>
      <c r="B15" t="s">
        <v>52</v>
      </c>
      <c r="C15" t="s">
        <v>12</v>
      </c>
      <c r="D15">
        <v>126</v>
      </c>
      <c r="E15" s="4">
        <v>46151</v>
      </c>
      <c r="F15" s="4">
        <v>46160</v>
      </c>
      <c r="G15" s="4">
        <v>46159</v>
      </c>
      <c r="H15">
        <v>124</v>
      </c>
      <c r="I15" t="s">
        <v>1564</v>
      </c>
      <c r="J15">
        <v>1</v>
      </c>
      <c r="K15" t="s">
        <v>1563</v>
      </c>
      <c r="L15" t="str">
        <f t="shared" si="0"/>
        <v>Y</v>
      </c>
      <c r="M15" t="str">
        <f t="shared" si="1"/>
        <v>Y</v>
      </c>
      <c r="N15" t="str">
        <f t="shared" si="2"/>
        <v>Y</v>
      </c>
      <c r="O15">
        <f t="shared" si="3"/>
        <v>8</v>
      </c>
      <c r="P15" s="6">
        <f t="shared" si="4"/>
        <v>0.98412698412698407</v>
      </c>
      <c r="Q15" s="6">
        <f t="shared" si="5"/>
        <v>8.0645161290322578E-3</v>
      </c>
      <c r="R15">
        <f t="shared" si="6"/>
        <v>1</v>
      </c>
      <c r="S15">
        <f t="shared" si="7"/>
        <v>0</v>
      </c>
      <c r="T15">
        <f t="shared" si="8"/>
        <v>0</v>
      </c>
    </row>
    <row r="16" spans="1:20">
      <c r="A16" t="s">
        <v>53</v>
      </c>
      <c r="B16" t="s">
        <v>54</v>
      </c>
      <c r="C16" t="s">
        <v>12</v>
      </c>
      <c r="D16">
        <v>178</v>
      </c>
      <c r="E16" s="4">
        <v>46030</v>
      </c>
      <c r="F16" s="4">
        <v>46035</v>
      </c>
      <c r="G16" s="4">
        <v>46034</v>
      </c>
      <c r="H16">
        <v>180</v>
      </c>
      <c r="I16" t="s">
        <v>55</v>
      </c>
      <c r="J16">
        <v>1</v>
      </c>
      <c r="K16" t="s">
        <v>1563</v>
      </c>
      <c r="L16" t="str">
        <f t="shared" si="0"/>
        <v>Y</v>
      </c>
      <c r="M16" t="str">
        <f t="shared" si="1"/>
        <v>Y</v>
      </c>
      <c r="N16" t="str">
        <f t="shared" si="2"/>
        <v>Y</v>
      </c>
      <c r="O16">
        <f t="shared" si="3"/>
        <v>4</v>
      </c>
      <c r="P16" s="6">
        <f t="shared" si="4"/>
        <v>1.0112359550561798</v>
      </c>
      <c r="Q16" s="6">
        <f t="shared" si="5"/>
        <v>5.5555555555555558E-3</v>
      </c>
      <c r="R16">
        <f t="shared" si="6"/>
        <v>1</v>
      </c>
      <c r="S16">
        <f t="shared" si="7"/>
        <v>0</v>
      </c>
      <c r="T16">
        <f t="shared" si="8"/>
        <v>0</v>
      </c>
    </row>
    <row r="17" spans="1:20">
      <c r="A17" t="s">
        <v>56</v>
      </c>
      <c r="B17" t="s">
        <v>40</v>
      </c>
      <c r="C17" t="s">
        <v>12</v>
      </c>
      <c r="D17">
        <v>369</v>
      </c>
      <c r="E17" s="4">
        <v>46038</v>
      </c>
      <c r="F17" s="4">
        <v>46049</v>
      </c>
      <c r="G17" s="4">
        <v>46051</v>
      </c>
      <c r="H17">
        <v>366</v>
      </c>
      <c r="I17" t="s">
        <v>57</v>
      </c>
      <c r="J17">
        <v>14</v>
      </c>
      <c r="K17" t="s">
        <v>1563</v>
      </c>
      <c r="L17" t="str">
        <f t="shared" si="0"/>
        <v>N</v>
      </c>
      <c r="M17" t="str">
        <f t="shared" si="1"/>
        <v>Y</v>
      </c>
      <c r="N17" t="str">
        <f t="shared" si="2"/>
        <v>N</v>
      </c>
      <c r="O17">
        <f t="shared" si="3"/>
        <v>13</v>
      </c>
      <c r="P17" s="6">
        <f t="shared" si="4"/>
        <v>0.99186991869918695</v>
      </c>
      <c r="Q17" s="6">
        <f t="shared" si="5"/>
        <v>3.825136612021858E-2</v>
      </c>
      <c r="R17">
        <f t="shared" si="6"/>
        <v>0</v>
      </c>
      <c r="S17">
        <f t="shared" si="7"/>
        <v>2</v>
      </c>
      <c r="T17">
        <f t="shared" si="8"/>
        <v>1000</v>
      </c>
    </row>
    <row r="18" spans="1:20">
      <c r="A18" t="s">
        <v>58</v>
      </c>
      <c r="B18" t="s">
        <v>46</v>
      </c>
      <c r="C18" t="s">
        <v>12</v>
      </c>
      <c r="D18">
        <v>998</v>
      </c>
      <c r="E18" s="4">
        <v>46105</v>
      </c>
      <c r="F18" s="4">
        <v>46111</v>
      </c>
      <c r="G18" s="4">
        <v>46109</v>
      </c>
      <c r="H18">
        <v>996</v>
      </c>
      <c r="I18" t="s">
        <v>59</v>
      </c>
      <c r="J18">
        <v>96</v>
      </c>
      <c r="K18" t="s">
        <v>1563</v>
      </c>
      <c r="L18" t="str">
        <f t="shared" si="0"/>
        <v>Y</v>
      </c>
      <c r="M18" t="str">
        <f t="shared" si="1"/>
        <v>Y</v>
      </c>
      <c r="N18" t="str">
        <f t="shared" si="2"/>
        <v>Y</v>
      </c>
      <c r="O18">
        <f t="shared" si="3"/>
        <v>4</v>
      </c>
      <c r="P18" s="6">
        <f t="shared" si="4"/>
        <v>0.99799599198396793</v>
      </c>
      <c r="Q18" s="6">
        <f t="shared" si="5"/>
        <v>9.6385542168674704E-2</v>
      </c>
      <c r="R18">
        <f t="shared" si="6"/>
        <v>1</v>
      </c>
      <c r="S18">
        <f t="shared" si="7"/>
        <v>0</v>
      </c>
      <c r="T18">
        <f t="shared" si="8"/>
        <v>0</v>
      </c>
    </row>
    <row r="19" spans="1:20">
      <c r="A19" t="s">
        <v>60</v>
      </c>
      <c r="B19" t="s">
        <v>54</v>
      </c>
      <c r="C19" t="s">
        <v>23</v>
      </c>
      <c r="D19">
        <v>984</v>
      </c>
      <c r="E19" s="4">
        <v>46074</v>
      </c>
      <c r="F19" s="4">
        <v>46081</v>
      </c>
      <c r="G19" s="4">
        <v>46079</v>
      </c>
      <c r="H19">
        <v>978</v>
      </c>
      <c r="I19" t="s">
        <v>61</v>
      </c>
      <c r="J19">
        <v>23</v>
      </c>
      <c r="K19" t="s">
        <v>1563</v>
      </c>
      <c r="L19" t="str">
        <f t="shared" si="0"/>
        <v>Y</v>
      </c>
      <c r="M19" t="str">
        <f t="shared" si="1"/>
        <v>Y</v>
      </c>
      <c r="N19" t="str">
        <f t="shared" si="2"/>
        <v>Y</v>
      </c>
      <c r="O19">
        <f t="shared" si="3"/>
        <v>5</v>
      </c>
      <c r="P19" s="6">
        <f t="shared" si="4"/>
        <v>0.99390243902439024</v>
      </c>
      <c r="Q19" s="6">
        <f t="shared" si="5"/>
        <v>2.3517382413087935E-2</v>
      </c>
      <c r="R19">
        <f t="shared" si="6"/>
        <v>1</v>
      </c>
      <c r="S19">
        <f t="shared" si="7"/>
        <v>0</v>
      </c>
      <c r="T19">
        <f t="shared" si="8"/>
        <v>0</v>
      </c>
    </row>
    <row r="20" spans="1:20">
      <c r="A20" t="s">
        <v>62</v>
      </c>
      <c r="B20" t="s">
        <v>43</v>
      </c>
      <c r="C20" t="s">
        <v>12</v>
      </c>
      <c r="D20">
        <v>586</v>
      </c>
      <c r="E20" s="4">
        <v>46143</v>
      </c>
      <c r="F20" s="4">
        <v>46151</v>
      </c>
      <c r="G20" s="4">
        <v>46148</v>
      </c>
      <c r="H20">
        <v>514</v>
      </c>
      <c r="I20" t="s">
        <v>20</v>
      </c>
      <c r="J20">
        <v>12</v>
      </c>
      <c r="K20" t="s">
        <v>1563</v>
      </c>
      <c r="L20" t="str">
        <f t="shared" si="0"/>
        <v>Y</v>
      </c>
      <c r="M20" t="str">
        <f t="shared" si="1"/>
        <v>N</v>
      </c>
      <c r="N20" t="str">
        <f t="shared" si="2"/>
        <v>N</v>
      </c>
      <c r="O20">
        <f t="shared" si="3"/>
        <v>5</v>
      </c>
      <c r="P20" s="6">
        <f t="shared" si="4"/>
        <v>0.87713310580204773</v>
      </c>
      <c r="Q20" s="6">
        <f t="shared" si="5"/>
        <v>2.3346303501945526E-2</v>
      </c>
      <c r="R20">
        <f t="shared" si="6"/>
        <v>0</v>
      </c>
      <c r="S20">
        <f t="shared" si="7"/>
        <v>0</v>
      </c>
      <c r="T20">
        <f t="shared" si="8"/>
        <v>0</v>
      </c>
    </row>
    <row r="21" spans="1:20">
      <c r="A21" t="s">
        <v>63</v>
      </c>
      <c r="B21" t="s">
        <v>64</v>
      </c>
      <c r="C21" t="s">
        <v>23</v>
      </c>
      <c r="D21">
        <v>132</v>
      </c>
      <c r="E21" s="4">
        <v>46163</v>
      </c>
      <c r="F21" s="4">
        <v>46169</v>
      </c>
      <c r="G21" s="4">
        <v>46173</v>
      </c>
      <c r="H21">
        <v>133</v>
      </c>
      <c r="I21" t="s">
        <v>65</v>
      </c>
      <c r="J21">
        <v>1</v>
      </c>
      <c r="K21" t="s">
        <v>1563</v>
      </c>
      <c r="L21" t="str">
        <f t="shared" si="0"/>
        <v>N</v>
      </c>
      <c r="M21" t="str">
        <f t="shared" si="1"/>
        <v>Y</v>
      </c>
      <c r="N21" t="str">
        <f t="shared" si="2"/>
        <v>N</v>
      </c>
      <c r="O21">
        <f t="shared" si="3"/>
        <v>10</v>
      </c>
      <c r="P21" s="6">
        <f t="shared" si="4"/>
        <v>1.0075757575757576</v>
      </c>
      <c r="Q21" s="6">
        <f t="shared" si="5"/>
        <v>7.5187969924812026E-3</v>
      </c>
      <c r="R21">
        <f t="shared" si="6"/>
        <v>0</v>
      </c>
      <c r="S21">
        <f t="shared" si="7"/>
        <v>4</v>
      </c>
      <c r="T21">
        <f t="shared" si="8"/>
        <v>2000</v>
      </c>
    </row>
    <row r="22" spans="1:20">
      <c r="A22" t="s">
        <v>66</v>
      </c>
      <c r="B22" t="s">
        <v>67</v>
      </c>
      <c r="C22" t="s">
        <v>12</v>
      </c>
      <c r="D22">
        <v>390</v>
      </c>
      <c r="E22" s="4">
        <v>46152</v>
      </c>
      <c r="F22" s="4">
        <v>46158</v>
      </c>
      <c r="G22" s="4"/>
      <c r="I22" t="s">
        <v>68</v>
      </c>
      <c r="K22" t="s">
        <v>1565</v>
      </c>
      <c r="L22" t="str">
        <f t="shared" si="0"/>
        <v>N/A</v>
      </c>
      <c r="M22" t="str">
        <f t="shared" si="1"/>
        <v>N/A</v>
      </c>
      <c r="N22" t="str">
        <f t="shared" si="2"/>
        <v>N/A</v>
      </c>
      <c r="O22" t="str">
        <f t="shared" si="3"/>
        <v>N/A</v>
      </c>
      <c r="P22" s="6" t="str">
        <f t="shared" si="4"/>
        <v>N/A</v>
      </c>
      <c r="Q22" s="6" t="str">
        <f t="shared" si="5"/>
        <v>N/A</v>
      </c>
      <c r="R22" t="str">
        <f t="shared" si="6"/>
        <v/>
      </c>
      <c r="S22" t="str">
        <f t="shared" si="7"/>
        <v>N/A</v>
      </c>
      <c r="T22">
        <f t="shared" si="8"/>
        <v>0</v>
      </c>
    </row>
    <row r="23" spans="1:20">
      <c r="A23" t="s">
        <v>69</v>
      </c>
      <c r="B23" t="s">
        <v>70</v>
      </c>
      <c r="C23" t="s">
        <v>16</v>
      </c>
      <c r="D23">
        <v>678</v>
      </c>
      <c r="E23" s="4">
        <v>46166</v>
      </c>
      <c r="F23" s="4">
        <v>46171</v>
      </c>
      <c r="G23" s="4">
        <v>46170</v>
      </c>
      <c r="H23">
        <v>636</v>
      </c>
      <c r="I23" t="s">
        <v>71</v>
      </c>
      <c r="J23">
        <v>15</v>
      </c>
      <c r="K23" t="s">
        <v>1563</v>
      </c>
      <c r="L23" t="str">
        <f t="shared" si="0"/>
        <v>Y</v>
      </c>
      <c r="M23" t="str">
        <f t="shared" si="1"/>
        <v>N</v>
      </c>
      <c r="N23" t="str">
        <f t="shared" si="2"/>
        <v>N</v>
      </c>
      <c r="O23">
        <f t="shared" si="3"/>
        <v>4</v>
      </c>
      <c r="P23" s="6">
        <f t="shared" si="4"/>
        <v>0.93805309734513276</v>
      </c>
      <c r="Q23" s="6">
        <f t="shared" si="5"/>
        <v>2.358490566037736E-2</v>
      </c>
      <c r="R23">
        <f t="shared" si="6"/>
        <v>0</v>
      </c>
      <c r="S23">
        <f t="shared" si="7"/>
        <v>0</v>
      </c>
      <c r="T23">
        <f t="shared" si="8"/>
        <v>0</v>
      </c>
    </row>
    <row r="24" spans="1:20">
      <c r="A24" t="s">
        <v>72</v>
      </c>
      <c r="B24" t="s">
        <v>26</v>
      </c>
      <c r="C24" t="s">
        <v>12</v>
      </c>
      <c r="D24">
        <v>368</v>
      </c>
      <c r="E24" s="4">
        <v>46119</v>
      </c>
      <c r="F24" s="4">
        <v>46127</v>
      </c>
      <c r="G24" s="4"/>
      <c r="I24" t="s">
        <v>73</v>
      </c>
      <c r="K24" t="s">
        <v>1565</v>
      </c>
      <c r="L24" t="str">
        <f t="shared" si="0"/>
        <v>N/A</v>
      </c>
      <c r="M24" t="str">
        <f t="shared" si="1"/>
        <v>N/A</v>
      </c>
      <c r="N24" t="str">
        <f t="shared" si="2"/>
        <v>N/A</v>
      </c>
      <c r="O24" t="str">
        <f t="shared" si="3"/>
        <v>N/A</v>
      </c>
      <c r="P24" s="6" t="str">
        <f t="shared" si="4"/>
        <v>N/A</v>
      </c>
      <c r="Q24" s="6" t="str">
        <f t="shared" si="5"/>
        <v>N/A</v>
      </c>
      <c r="R24" t="str">
        <f t="shared" si="6"/>
        <v/>
      </c>
      <c r="S24" t="str">
        <f t="shared" si="7"/>
        <v>N/A</v>
      </c>
      <c r="T24">
        <f t="shared" si="8"/>
        <v>0</v>
      </c>
    </row>
    <row r="25" spans="1:20">
      <c r="A25" t="s">
        <v>74</v>
      </c>
      <c r="B25" t="s">
        <v>32</v>
      </c>
      <c r="C25" t="s">
        <v>12</v>
      </c>
      <c r="D25">
        <v>381</v>
      </c>
      <c r="E25" s="4">
        <v>46136</v>
      </c>
      <c r="F25" s="4">
        <v>46144</v>
      </c>
      <c r="G25" s="4">
        <v>46144</v>
      </c>
      <c r="H25">
        <v>340</v>
      </c>
      <c r="I25" t="s">
        <v>75</v>
      </c>
      <c r="J25">
        <v>23</v>
      </c>
      <c r="K25" t="s">
        <v>1563</v>
      </c>
      <c r="L25" t="str">
        <f t="shared" si="0"/>
        <v>Y</v>
      </c>
      <c r="M25" t="str">
        <f t="shared" si="1"/>
        <v>N</v>
      </c>
      <c r="N25" t="str">
        <f t="shared" si="2"/>
        <v>N</v>
      </c>
      <c r="O25">
        <f t="shared" si="3"/>
        <v>8</v>
      </c>
      <c r="P25" s="6">
        <f t="shared" si="4"/>
        <v>0.8923884514435696</v>
      </c>
      <c r="Q25" s="6">
        <f t="shared" si="5"/>
        <v>6.7647058823529407E-2</v>
      </c>
      <c r="R25">
        <f t="shared" si="6"/>
        <v>0</v>
      </c>
      <c r="S25">
        <f t="shared" si="7"/>
        <v>0</v>
      </c>
      <c r="T25">
        <f t="shared" si="8"/>
        <v>0</v>
      </c>
    </row>
    <row r="26" spans="1:20">
      <c r="A26" t="s">
        <v>76</v>
      </c>
      <c r="B26" t="s">
        <v>54</v>
      </c>
      <c r="C26" t="s">
        <v>12</v>
      </c>
      <c r="D26">
        <v>577</v>
      </c>
      <c r="E26" s="4">
        <v>46074</v>
      </c>
      <c r="F26" s="4">
        <v>46088</v>
      </c>
      <c r="G26" s="4">
        <v>46085</v>
      </c>
      <c r="H26">
        <v>536</v>
      </c>
      <c r="I26" t="s">
        <v>77</v>
      </c>
      <c r="J26">
        <v>8</v>
      </c>
      <c r="K26" t="s">
        <v>1563</v>
      </c>
      <c r="L26" t="str">
        <f t="shared" si="0"/>
        <v>Y</v>
      </c>
      <c r="M26" t="str">
        <f t="shared" si="1"/>
        <v>N</v>
      </c>
      <c r="N26" t="str">
        <f t="shared" si="2"/>
        <v>N</v>
      </c>
      <c r="O26">
        <f t="shared" si="3"/>
        <v>11</v>
      </c>
      <c r="P26" s="6">
        <f t="shared" si="4"/>
        <v>0.92894280762564996</v>
      </c>
      <c r="Q26" s="6">
        <f t="shared" si="5"/>
        <v>1.4925373134328358E-2</v>
      </c>
      <c r="R26">
        <f t="shared" si="6"/>
        <v>0</v>
      </c>
      <c r="S26">
        <f t="shared" si="7"/>
        <v>0</v>
      </c>
      <c r="T26">
        <f t="shared" si="8"/>
        <v>0</v>
      </c>
    </row>
    <row r="27" spans="1:20">
      <c r="A27" t="s">
        <v>78</v>
      </c>
      <c r="B27" t="s">
        <v>11</v>
      </c>
      <c r="C27" t="s">
        <v>16</v>
      </c>
      <c r="D27">
        <v>550</v>
      </c>
      <c r="E27" s="4">
        <v>46168</v>
      </c>
      <c r="F27" s="4">
        <v>46175</v>
      </c>
      <c r="G27" s="4">
        <v>46177</v>
      </c>
      <c r="H27">
        <v>494</v>
      </c>
      <c r="I27" t="s">
        <v>79</v>
      </c>
      <c r="J27">
        <v>1</v>
      </c>
      <c r="K27" t="s">
        <v>1563</v>
      </c>
      <c r="L27" t="str">
        <f t="shared" si="0"/>
        <v>N</v>
      </c>
      <c r="M27" t="str">
        <f t="shared" si="1"/>
        <v>N</v>
      </c>
      <c r="N27" t="str">
        <f t="shared" si="2"/>
        <v>N</v>
      </c>
      <c r="O27">
        <f t="shared" si="3"/>
        <v>9</v>
      </c>
      <c r="P27" s="6">
        <f t="shared" si="4"/>
        <v>0.89818181818181819</v>
      </c>
      <c r="Q27" s="6">
        <f t="shared" si="5"/>
        <v>2.0242914979757085E-3</v>
      </c>
      <c r="R27">
        <f t="shared" si="6"/>
        <v>0</v>
      </c>
      <c r="S27">
        <f t="shared" si="7"/>
        <v>2</v>
      </c>
      <c r="T27">
        <f t="shared" si="8"/>
        <v>1000</v>
      </c>
    </row>
    <row r="28" spans="1:20">
      <c r="A28" t="s">
        <v>80</v>
      </c>
      <c r="B28" t="s">
        <v>81</v>
      </c>
      <c r="C28" t="s">
        <v>23</v>
      </c>
      <c r="D28">
        <v>201</v>
      </c>
      <c r="E28" s="4">
        <v>46029</v>
      </c>
      <c r="F28" s="4">
        <v>46044</v>
      </c>
      <c r="G28" s="4">
        <v>46041</v>
      </c>
      <c r="H28">
        <v>175</v>
      </c>
      <c r="I28" t="s">
        <v>82</v>
      </c>
      <c r="J28">
        <v>0</v>
      </c>
      <c r="K28" t="s">
        <v>1563</v>
      </c>
      <c r="L28" t="str">
        <f t="shared" si="0"/>
        <v>Y</v>
      </c>
      <c r="M28" t="str">
        <f t="shared" si="1"/>
        <v>N</v>
      </c>
      <c r="N28" t="str">
        <f t="shared" si="2"/>
        <v>N</v>
      </c>
      <c r="O28">
        <f t="shared" si="3"/>
        <v>12</v>
      </c>
      <c r="P28" s="6">
        <f t="shared" si="4"/>
        <v>0.87064676616915426</v>
      </c>
      <c r="Q28" s="6">
        <f t="shared" si="5"/>
        <v>0</v>
      </c>
      <c r="R28">
        <f t="shared" si="6"/>
        <v>0</v>
      </c>
      <c r="S28">
        <f t="shared" si="7"/>
        <v>0</v>
      </c>
      <c r="T28">
        <f t="shared" si="8"/>
        <v>0</v>
      </c>
    </row>
    <row r="29" spans="1:20">
      <c r="A29" t="s">
        <v>83</v>
      </c>
      <c r="B29" t="s">
        <v>81</v>
      </c>
      <c r="C29" t="s">
        <v>12</v>
      </c>
      <c r="D29">
        <v>661</v>
      </c>
      <c r="E29" s="4">
        <v>46060</v>
      </c>
      <c r="F29" s="4">
        <v>46068</v>
      </c>
      <c r="G29" s="4">
        <v>46068</v>
      </c>
      <c r="H29">
        <v>660</v>
      </c>
      <c r="I29" t="s">
        <v>84</v>
      </c>
      <c r="J29">
        <v>6</v>
      </c>
      <c r="K29" t="s">
        <v>1563</v>
      </c>
      <c r="L29" t="str">
        <f t="shared" si="0"/>
        <v>Y</v>
      </c>
      <c r="M29" t="str">
        <f t="shared" si="1"/>
        <v>Y</v>
      </c>
      <c r="N29" t="str">
        <f t="shared" si="2"/>
        <v>Y</v>
      </c>
      <c r="O29">
        <f t="shared" si="3"/>
        <v>8</v>
      </c>
      <c r="P29" s="6">
        <f t="shared" si="4"/>
        <v>0.99848714069591527</v>
      </c>
      <c r="Q29" s="6">
        <f t="shared" si="5"/>
        <v>9.0909090909090905E-3</v>
      </c>
      <c r="R29">
        <f t="shared" si="6"/>
        <v>1</v>
      </c>
      <c r="S29">
        <f t="shared" si="7"/>
        <v>0</v>
      </c>
      <c r="T29">
        <f t="shared" si="8"/>
        <v>0</v>
      </c>
    </row>
    <row r="30" spans="1:20">
      <c r="A30" t="s">
        <v>85</v>
      </c>
      <c r="B30" t="s">
        <v>81</v>
      </c>
      <c r="C30" t="s">
        <v>23</v>
      </c>
      <c r="D30">
        <v>248</v>
      </c>
      <c r="E30" s="4">
        <v>46161</v>
      </c>
      <c r="F30" s="4">
        <v>46169</v>
      </c>
      <c r="G30" s="4">
        <v>46178</v>
      </c>
      <c r="H30">
        <v>234</v>
      </c>
      <c r="I30" t="s">
        <v>86</v>
      </c>
      <c r="J30">
        <v>2</v>
      </c>
      <c r="K30" t="s">
        <v>1563</v>
      </c>
      <c r="L30" t="str">
        <f t="shared" si="0"/>
        <v>N</v>
      </c>
      <c r="M30" t="str">
        <f t="shared" si="1"/>
        <v>N</v>
      </c>
      <c r="N30" t="str">
        <f t="shared" si="2"/>
        <v>N</v>
      </c>
      <c r="O30">
        <f t="shared" si="3"/>
        <v>17</v>
      </c>
      <c r="P30" s="6">
        <f t="shared" si="4"/>
        <v>0.94354838709677424</v>
      </c>
      <c r="Q30" s="6">
        <f t="shared" si="5"/>
        <v>8.5470085470085479E-3</v>
      </c>
      <c r="R30">
        <f t="shared" si="6"/>
        <v>0</v>
      </c>
      <c r="S30">
        <f t="shared" si="7"/>
        <v>9</v>
      </c>
      <c r="T30">
        <f t="shared" si="8"/>
        <v>4500</v>
      </c>
    </row>
    <row r="31" spans="1:20">
      <c r="A31" t="s">
        <v>87</v>
      </c>
      <c r="B31" t="s">
        <v>64</v>
      </c>
      <c r="C31" t="s">
        <v>12</v>
      </c>
      <c r="D31">
        <v>692</v>
      </c>
      <c r="E31" s="4">
        <v>46157</v>
      </c>
      <c r="F31" s="4">
        <v>46162</v>
      </c>
      <c r="G31" s="4">
        <v>46163</v>
      </c>
      <c r="H31">
        <v>668</v>
      </c>
      <c r="I31" t="s">
        <v>88</v>
      </c>
      <c r="J31">
        <v>23</v>
      </c>
      <c r="K31" t="s">
        <v>1563</v>
      </c>
      <c r="L31" t="str">
        <f t="shared" si="0"/>
        <v>N</v>
      </c>
      <c r="M31" t="str">
        <f t="shared" si="1"/>
        <v>N</v>
      </c>
      <c r="N31" t="str">
        <f t="shared" si="2"/>
        <v>N</v>
      </c>
      <c r="O31">
        <f t="shared" si="3"/>
        <v>6</v>
      </c>
      <c r="P31" s="6">
        <f t="shared" si="4"/>
        <v>0.96531791907514453</v>
      </c>
      <c r="Q31" s="6">
        <f t="shared" si="5"/>
        <v>3.4431137724550899E-2</v>
      </c>
      <c r="R31">
        <f t="shared" si="6"/>
        <v>0</v>
      </c>
      <c r="S31">
        <f t="shared" si="7"/>
        <v>1</v>
      </c>
      <c r="T31">
        <f t="shared" si="8"/>
        <v>500</v>
      </c>
    </row>
    <row r="32" spans="1:20">
      <c r="A32" t="s">
        <v>89</v>
      </c>
      <c r="B32" t="s">
        <v>54</v>
      </c>
      <c r="C32" t="s">
        <v>16</v>
      </c>
      <c r="D32">
        <v>326</v>
      </c>
      <c r="E32" s="4">
        <v>46106</v>
      </c>
      <c r="F32" s="4">
        <v>46112</v>
      </c>
      <c r="G32" s="4">
        <v>46110</v>
      </c>
      <c r="H32">
        <v>329</v>
      </c>
      <c r="I32" t="s">
        <v>90</v>
      </c>
      <c r="J32">
        <v>2</v>
      </c>
      <c r="K32" t="s">
        <v>1563</v>
      </c>
      <c r="L32" t="str">
        <f t="shared" si="0"/>
        <v>Y</v>
      </c>
      <c r="M32" t="str">
        <f t="shared" si="1"/>
        <v>Y</v>
      </c>
      <c r="N32" t="str">
        <f t="shared" si="2"/>
        <v>Y</v>
      </c>
      <c r="O32">
        <f t="shared" si="3"/>
        <v>4</v>
      </c>
      <c r="P32" s="6">
        <f t="shared" si="4"/>
        <v>1.00920245398773</v>
      </c>
      <c r="Q32" s="6">
        <f t="shared" si="5"/>
        <v>6.0790273556231003E-3</v>
      </c>
      <c r="R32">
        <f t="shared" si="6"/>
        <v>1</v>
      </c>
      <c r="S32">
        <f t="shared" si="7"/>
        <v>0</v>
      </c>
      <c r="T32">
        <f t="shared" si="8"/>
        <v>0</v>
      </c>
    </row>
    <row r="33" spans="1:20">
      <c r="A33" t="s">
        <v>91</v>
      </c>
      <c r="B33" t="s">
        <v>54</v>
      </c>
      <c r="C33" t="s">
        <v>16</v>
      </c>
      <c r="D33">
        <v>761</v>
      </c>
      <c r="E33" s="4">
        <v>46084</v>
      </c>
      <c r="F33" s="4">
        <v>46096</v>
      </c>
      <c r="G33" s="4">
        <v>46094</v>
      </c>
      <c r="H33">
        <v>753</v>
      </c>
      <c r="I33" t="s">
        <v>92</v>
      </c>
      <c r="J33">
        <v>4</v>
      </c>
      <c r="K33" t="s">
        <v>1563</v>
      </c>
      <c r="L33" t="str">
        <f t="shared" si="0"/>
        <v>Y</v>
      </c>
      <c r="M33" t="str">
        <f t="shared" si="1"/>
        <v>Y</v>
      </c>
      <c r="N33" t="str">
        <f t="shared" si="2"/>
        <v>Y</v>
      </c>
      <c r="O33">
        <f t="shared" si="3"/>
        <v>10</v>
      </c>
      <c r="P33" s="6">
        <f t="shared" si="4"/>
        <v>0.98948751642575561</v>
      </c>
      <c r="Q33" s="6">
        <f t="shared" si="5"/>
        <v>5.3120849933598934E-3</v>
      </c>
      <c r="R33">
        <f t="shared" si="6"/>
        <v>1</v>
      </c>
      <c r="S33">
        <f t="shared" si="7"/>
        <v>0</v>
      </c>
      <c r="T33">
        <f t="shared" si="8"/>
        <v>0</v>
      </c>
    </row>
    <row r="34" spans="1:20">
      <c r="A34" t="s">
        <v>93</v>
      </c>
      <c r="B34" t="s">
        <v>26</v>
      </c>
      <c r="C34" t="s">
        <v>23</v>
      </c>
      <c r="D34">
        <v>843</v>
      </c>
      <c r="E34" s="4">
        <v>46043</v>
      </c>
      <c r="F34" s="4">
        <v>46050</v>
      </c>
      <c r="G34" s="4"/>
      <c r="I34" t="s">
        <v>94</v>
      </c>
      <c r="K34" t="s">
        <v>1565</v>
      </c>
      <c r="L34" t="str">
        <f t="shared" si="0"/>
        <v>N/A</v>
      </c>
      <c r="M34" t="str">
        <f t="shared" si="1"/>
        <v>N/A</v>
      </c>
      <c r="N34" t="str">
        <f t="shared" si="2"/>
        <v>N/A</v>
      </c>
      <c r="O34" t="str">
        <f t="shared" si="3"/>
        <v>N/A</v>
      </c>
      <c r="P34" s="6" t="str">
        <f t="shared" si="4"/>
        <v>N/A</v>
      </c>
      <c r="Q34" s="6" t="str">
        <f t="shared" si="5"/>
        <v>N/A</v>
      </c>
      <c r="R34" t="str">
        <f t="shared" si="6"/>
        <v/>
      </c>
      <c r="S34" t="str">
        <f t="shared" si="7"/>
        <v>N/A</v>
      </c>
      <c r="T34">
        <f t="shared" si="8"/>
        <v>0</v>
      </c>
    </row>
    <row r="35" spans="1:20">
      <c r="A35" t="s">
        <v>95</v>
      </c>
      <c r="B35" t="s">
        <v>64</v>
      </c>
      <c r="C35" t="s">
        <v>12</v>
      </c>
      <c r="D35">
        <v>201</v>
      </c>
      <c r="E35" s="4">
        <v>46051</v>
      </c>
      <c r="F35" s="4">
        <v>46058</v>
      </c>
      <c r="G35" s="4">
        <v>46062</v>
      </c>
      <c r="H35">
        <v>204</v>
      </c>
      <c r="I35" t="s">
        <v>96</v>
      </c>
      <c r="J35">
        <v>7</v>
      </c>
      <c r="K35" t="s">
        <v>1563</v>
      </c>
      <c r="L35" t="str">
        <f t="shared" si="0"/>
        <v>N</v>
      </c>
      <c r="M35" t="str">
        <f t="shared" si="1"/>
        <v>Y</v>
      </c>
      <c r="N35" t="str">
        <f t="shared" si="2"/>
        <v>N</v>
      </c>
      <c r="O35">
        <f t="shared" si="3"/>
        <v>11</v>
      </c>
      <c r="P35" s="6">
        <f t="shared" si="4"/>
        <v>1.0149253731343284</v>
      </c>
      <c r="Q35" s="6">
        <f t="shared" si="5"/>
        <v>3.4313725490196081E-2</v>
      </c>
      <c r="R35">
        <f t="shared" si="6"/>
        <v>0</v>
      </c>
      <c r="S35">
        <f t="shared" si="7"/>
        <v>4</v>
      </c>
      <c r="T35">
        <f t="shared" si="8"/>
        <v>2000</v>
      </c>
    </row>
    <row r="36" spans="1:20">
      <c r="A36" t="s">
        <v>97</v>
      </c>
      <c r="B36" t="s">
        <v>67</v>
      </c>
      <c r="C36" t="s">
        <v>12</v>
      </c>
      <c r="D36">
        <v>87</v>
      </c>
      <c r="E36" s="4">
        <v>46062</v>
      </c>
      <c r="F36" s="4">
        <v>46067</v>
      </c>
      <c r="G36" s="4">
        <v>46064</v>
      </c>
      <c r="H36">
        <v>87</v>
      </c>
      <c r="I36" t="s">
        <v>98</v>
      </c>
      <c r="J36">
        <v>5</v>
      </c>
      <c r="K36" t="s">
        <v>1563</v>
      </c>
      <c r="L36" t="str">
        <f t="shared" si="0"/>
        <v>Y</v>
      </c>
      <c r="M36" t="str">
        <f t="shared" si="1"/>
        <v>Y</v>
      </c>
      <c r="N36" t="str">
        <f t="shared" si="2"/>
        <v>Y</v>
      </c>
      <c r="O36">
        <f t="shared" si="3"/>
        <v>2</v>
      </c>
      <c r="P36" s="6">
        <f t="shared" si="4"/>
        <v>1</v>
      </c>
      <c r="Q36" s="6">
        <f t="shared" si="5"/>
        <v>5.7471264367816091E-2</v>
      </c>
      <c r="R36">
        <f t="shared" si="6"/>
        <v>1</v>
      </c>
      <c r="S36">
        <f t="shared" si="7"/>
        <v>0</v>
      </c>
      <c r="T36">
        <f t="shared" si="8"/>
        <v>0</v>
      </c>
    </row>
    <row r="37" spans="1:20">
      <c r="A37" t="s">
        <v>99</v>
      </c>
      <c r="B37" t="s">
        <v>100</v>
      </c>
      <c r="C37" t="s">
        <v>12</v>
      </c>
      <c r="D37">
        <v>864</v>
      </c>
      <c r="E37" s="4">
        <v>46172</v>
      </c>
      <c r="F37" s="4">
        <v>46180</v>
      </c>
      <c r="G37" s="4">
        <v>46178</v>
      </c>
      <c r="H37">
        <v>861</v>
      </c>
      <c r="I37" t="s">
        <v>101</v>
      </c>
      <c r="J37">
        <v>4</v>
      </c>
      <c r="K37" t="s">
        <v>1563</v>
      </c>
      <c r="L37" t="str">
        <f t="shared" si="0"/>
        <v>Y</v>
      </c>
      <c r="M37" t="str">
        <f t="shared" si="1"/>
        <v>Y</v>
      </c>
      <c r="N37" t="str">
        <f t="shared" si="2"/>
        <v>Y</v>
      </c>
      <c r="O37">
        <f t="shared" si="3"/>
        <v>6</v>
      </c>
      <c r="P37" s="6">
        <f t="shared" si="4"/>
        <v>0.99652777777777779</v>
      </c>
      <c r="Q37" s="6">
        <f t="shared" si="5"/>
        <v>4.6457607433217189E-3</v>
      </c>
      <c r="R37">
        <f t="shared" si="6"/>
        <v>1</v>
      </c>
      <c r="S37">
        <f t="shared" si="7"/>
        <v>0</v>
      </c>
      <c r="T37">
        <f t="shared" si="8"/>
        <v>0</v>
      </c>
    </row>
    <row r="38" spans="1:20">
      <c r="A38" t="s">
        <v>102</v>
      </c>
      <c r="B38" t="s">
        <v>70</v>
      </c>
      <c r="C38" t="s">
        <v>23</v>
      </c>
      <c r="D38">
        <v>872</v>
      </c>
      <c r="E38" s="4">
        <v>46115</v>
      </c>
      <c r="F38" s="4">
        <v>46120</v>
      </c>
      <c r="G38" s="4">
        <v>46118</v>
      </c>
      <c r="H38">
        <v>860</v>
      </c>
      <c r="I38" t="s">
        <v>103</v>
      </c>
      <c r="J38">
        <v>11</v>
      </c>
      <c r="K38" t="s">
        <v>1563</v>
      </c>
      <c r="L38" t="str">
        <f t="shared" si="0"/>
        <v>Y</v>
      </c>
      <c r="M38" t="str">
        <f t="shared" si="1"/>
        <v>Y</v>
      </c>
      <c r="N38" t="str">
        <f t="shared" si="2"/>
        <v>Y</v>
      </c>
      <c r="O38">
        <f t="shared" si="3"/>
        <v>3</v>
      </c>
      <c r="P38" s="6">
        <f t="shared" si="4"/>
        <v>0.98623853211009171</v>
      </c>
      <c r="Q38" s="6">
        <f t="shared" si="5"/>
        <v>1.2790697674418604E-2</v>
      </c>
      <c r="R38">
        <f t="shared" si="6"/>
        <v>1</v>
      </c>
      <c r="S38">
        <f t="shared" si="7"/>
        <v>0</v>
      </c>
      <c r="T38">
        <f t="shared" si="8"/>
        <v>0</v>
      </c>
    </row>
    <row r="39" spans="1:20">
      <c r="A39" t="s">
        <v>104</v>
      </c>
      <c r="B39" t="s">
        <v>46</v>
      </c>
      <c r="C39" t="s">
        <v>12</v>
      </c>
      <c r="D39">
        <v>523</v>
      </c>
      <c r="E39" s="4">
        <v>46041</v>
      </c>
      <c r="F39" s="4">
        <v>46051</v>
      </c>
      <c r="G39" s="4">
        <v>46051</v>
      </c>
      <c r="H39">
        <v>517</v>
      </c>
      <c r="I39" t="s">
        <v>105</v>
      </c>
      <c r="J39">
        <v>31</v>
      </c>
      <c r="K39" t="s">
        <v>1563</v>
      </c>
      <c r="L39" t="str">
        <f t="shared" si="0"/>
        <v>Y</v>
      </c>
      <c r="M39" t="str">
        <f t="shared" si="1"/>
        <v>Y</v>
      </c>
      <c r="N39" t="str">
        <f t="shared" si="2"/>
        <v>Y</v>
      </c>
      <c r="O39">
        <f t="shared" si="3"/>
        <v>10</v>
      </c>
      <c r="P39" s="6">
        <f t="shared" si="4"/>
        <v>0.98852772466539196</v>
      </c>
      <c r="Q39" s="6">
        <f t="shared" si="5"/>
        <v>5.9961315280464215E-2</v>
      </c>
      <c r="R39">
        <f t="shared" si="6"/>
        <v>1</v>
      </c>
      <c r="S39">
        <f t="shared" si="7"/>
        <v>0</v>
      </c>
      <c r="T39">
        <f t="shared" si="8"/>
        <v>0</v>
      </c>
    </row>
    <row r="40" spans="1:20">
      <c r="A40" t="s">
        <v>106</v>
      </c>
      <c r="B40" t="s">
        <v>22</v>
      </c>
      <c r="C40" t="s">
        <v>16</v>
      </c>
      <c r="D40">
        <v>965</v>
      </c>
      <c r="E40" s="4">
        <v>46049</v>
      </c>
      <c r="F40" s="4">
        <v>46059</v>
      </c>
      <c r="G40" s="4">
        <v>46058</v>
      </c>
      <c r="H40">
        <v>882</v>
      </c>
      <c r="I40" t="s">
        <v>107</v>
      </c>
      <c r="J40">
        <v>78</v>
      </c>
      <c r="K40" t="s">
        <v>1563</v>
      </c>
      <c r="L40" t="str">
        <f t="shared" si="0"/>
        <v>Y</v>
      </c>
      <c r="M40" t="str">
        <f t="shared" si="1"/>
        <v>N</v>
      </c>
      <c r="N40" t="str">
        <f t="shared" si="2"/>
        <v>N</v>
      </c>
      <c r="O40">
        <f t="shared" si="3"/>
        <v>9</v>
      </c>
      <c r="P40" s="6">
        <f t="shared" si="4"/>
        <v>0.91398963730569949</v>
      </c>
      <c r="Q40" s="6">
        <f t="shared" si="5"/>
        <v>8.8435374149659865E-2</v>
      </c>
      <c r="R40">
        <f t="shared" si="6"/>
        <v>0</v>
      </c>
      <c r="S40">
        <f t="shared" si="7"/>
        <v>0</v>
      </c>
      <c r="T40">
        <f t="shared" si="8"/>
        <v>0</v>
      </c>
    </row>
    <row r="41" spans="1:20">
      <c r="A41" t="s">
        <v>108</v>
      </c>
      <c r="B41" t="s">
        <v>81</v>
      </c>
      <c r="C41" t="s">
        <v>16</v>
      </c>
      <c r="D41">
        <v>119</v>
      </c>
      <c r="E41" s="4">
        <v>46175</v>
      </c>
      <c r="F41" s="4">
        <v>46183</v>
      </c>
      <c r="G41" s="4">
        <v>46181</v>
      </c>
      <c r="H41">
        <v>104</v>
      </c>
      <c r="I41" t="s">
        <v>109</v>
      </c>
      <c r="J41">
        <v>0</v>
      </c>
      <c r="K41" t="s">
        <v>1563</v>
      </c>
      <c r="L41" t="str">
        <f t="shared" si="0"/>
        <v>Y</v>
      </c>
      <c r="M41" t="str">
        <f t="shared" si="1"/>
        <v>N</v>
      </c>
      <c r="N41" t="str">
        <f t="shared" si="2"/>
        <v>N</v>
      </c>
      <c r="O41">
        <f t="shared" si="3"/>
        <v>6</v>
      </c>
      <c r="P41" s="6">
        <f t="shared" si="4"/>
        <v>0.87394957983193278</v>
      </c>
      <c r="Q41" s="6">
        <f t="shared" si="5"/>
        <v>0</v>
      </c>
      <c r="R41">
        <f t="shared" si="6"/>
        <v>0</v>
      </c>
      <c r="S41">
        <f t="shared" si="7"/>
        <v>0</v>
      </c>
      <c r="T41">
        <f t="shared" si="8"/>
        <v>0</v>
      </c>
    </row>
    <row r="42" spans="1:20">
      <c r="A42" t="s">
        <v>110</v>
      </c>
      <c r="B42" t="s">
        <v>43</v>
      </c>
      <c r="C42" t="s">
        <v>23</v>
      </c>
      <c r="D42">
        <v>428</v>
      </c>
      <c r="E42" s="4">
        <v>46105</v>
      </c>
      <c r="F42" s="4">
        <v>46118</v>
      </c>
      <c r="G42" s="4">
        <v>46116</v>
      </c>
      <c r="H42">
        <v>420</v>
      </c>
      <c r="I42" t="s">
        <v>111</v>
      </c>
      <c r="J42">
        <v>4</v>
      </c>
      <c r="K42" t="s">
        <v>1563</v>
      </c>
      <c r="L42" t="str">
        <f t="shared" si="0"/>
        <v>Y</v>
      </c>
      <c r="M42" t="str">
        <f t="shared" si="1"/>
        <v>Y</v>
      </c>
      <c r="N42" t="str">
        <f t="shared" si="2"/>
        <v>Y</v>
      </c>
      <c r="O42">
        <f t="shared" si="3"/>
        <v>11</v>
      </c>
      <c r="P42" s="6">
        <f t="shared" si="4"/>
        <v>0.98130841121495327</v>
      </c>
      <c r="Q42" s="6">
        <f t="shared" si="5"/>
        <v>9.5238095238095247E-3</v>
      </c>
      <c r="R42">
        <f t="shared" si="6"/>
        <v>1</v>
      </c>
      <c r="S42">
        <f t="shared" si="7"/>
        <v>0</v>
      </c>
      <c r="T42">
        <f t="shared" si="8"/>
        <v>0</v>
      </c>
    </row>
    <row r="43" spans="1:20">
      <c r="A43" t="s">
        <v>112</v>
      </c>
      <c r="B43" t="s">
        <v>32</v>
      </c>
      <c r="C43" t="s">
        <v>12</v>
      </c>
      <c r="D43">
        <v>468</v>
      </c>
      <c r="E43" s="4">
        <v>46098</v>
      </c>
      <c r="F43" s="4">
        <v>46107</v>
      </c>
      <c r="G43" s="4">
        <v>46106</v>
      </c>
      <c r="H43">
        <v>468</v>
      </c>
      <c r="I43" t="s">
        <v>113</v>
      </c>
      <c r="J43">
        <v>4</v>
      </c>
      <c r="K43" t="s">
        <v>1563</v>
      </c>
      <c r="L43" t="str">
        <f t="shared" si="0"/>
        <v>Y</v>
      </c>
      <c r="M43" t="str">
        <f t="shared" si="1"/>
        <v>Y</v>
      </c>
      <c r="N43" t="str">
        <f t="shared" si="2"/>
        <v>Y</v>
      </c>
      <c r="O43">
        <f t="shared" si="3"/>
        <v>8</v>
      </c>
      <c r="P43" s="6">
        <f t="shared" si="4"/>
        <v>1</v>
      </c>
      <c r="Q43" s="6">
        <f t="shared" si="5"/>
        <v>8.5470085470085479E-3</v>
      </c>
      <c r="R43">
        <f t="shared" si="6"/>
        <v>1</v>
      </c>
      <c r="S43">
        <f t="shared" si="7"/>
        <v>0</v>
      </c>
      <c r="T43">
        <f t="shared" si="8"/>
        <v>0</v>
      </c>
    </row>
    <row r="44" spans="1:20">
      <c r="A44" t="s">
        <v>114</v>
      </c>
      <c r="B44" t="s">
        <v>54</v>
      </c>
      <c r="C44" t="s">
        <v>12</v>
      </c>
      <c r="D44">
        <v>590</v>
      </c>
      <c r="E44" s="4">
        <v>46064</v>
      </c>
      <c r="F44" s="4">
        <v>46079</v>
      </c>
      <c r="G44" s="4">
        <v>46076</v>
      </c>
      <c r="H44">
        <v>601</v>
      </c>
      <c r="I44" t="s">
        <v>115</v>
      </c>
      <c r="J44">
        <v>14</v>
      </c>
      <c r="K44" t="s">
        <v>1563</v>
      </c>
      <c r="L44" t="str">
        <f t="shared" si="0"/>
        <v>Y</v>
      </c>
      <c r="M44" t="str">
        <f t="shared" si="1"/>
        <v>Y</v>
      </c>
      <c r="N44" t="str">
        <f t="shared" si="2"/>
        <v>Y</v>
      </c>
      <c r="O44">
        <f t="shared" si="3"/>
        <v>12</v>
      </c>
      <c r="P44" s="6">
        <f t="shared" si="4"/>
        <v>1.0186440677966102</v>
      </c>
      <c r="Q44" s="6">
        <f t="shared" si="5"/>
        <v>2.329450915141431E-2</v>
      </c>
      <c r="R44">
        <f t="shared" si="6"/>
        <v>1</v>
      </c>
      <c r="S44">
        <f t="shared" si="7"/>
        <v>0</v>
      </c>
      <c r="T44">
        <f t="shared" si="8"/>
        <v>0</v>
      </c>
    </row>
    <row r="45" spans="1:20">
      <c r="A45" t="s">
        <v>116</v>
      </c>
      <c r="B45" t="s">
        <v>40</v>
      </c>
      <c r="C45" t="s">
        <v>23</v>
      </c>
      <c r="D45">
        <v>588</v>
      </c>
      <c r="E45" s="4">
        <v>46171</v>
      </c>
      <c r="F45" s="4">
        <v>46181</v>
      </c>
      <c r="G45" s="4">
        <v>46188</v>
      </c>
      <c r="H45">
        <v>581</v>
      </c>
      <c r="I45" t="s">
        <v>118</v>
      </c>
      <c r="J45">
        <v>46</v>
      </c>
      <c r="K45" t="s">
        <v>1563</v>
      </c>
      <c r="L45" t="str">
        <f t="shared" si="0"/>
        <v>N</v>
      </c>
      <c r="M45" t="str">
        <f t="shared" si="1"/>
        <v>Y</v>
      </c>
      <c r="N45" t="str">
        <f t="shared" si="2"/>
        <v>N</v>
      </c>
      <c r="O45">
        <f t="shared" si="3"/>
        <v>17</v>
      </c>
      <c r="P45" s="6">
        <f t="shared" si="4"/>
        <v>0.98809523809523814</v>
      </c>
      <c r="Q45" s="6">
        <f t="shared" si="5"/>
        <v>7.9173838209982791E-2</v>
      </c>
      <c r="R45">
        <f t="shared" si="6"/>
        <v>0</v>
      </c>
      <c r="S45">
        <f t="shared" si="7"/>
        <v>7</v>
      </c>
      <c r="T45">
        <f t="shared" si="8"/>
        <v>3500</v>
      </c>
    </row>
    <row r="46" spans="1:20">
      <c r="A46" t="s">
        <v>119</v>
      </c>
      <c r="B46" t="s">
        <v>120</v>
      </c>
      <c r="C46" t="s">
        <v>12</v>
      </c>
      <c r="D46">
        <v>411</v>
      </c>
      <c r="E46" s="4">
        <v>46123</v>
      </c>
      <c r="F46" s="4">
        <v>46134</v>
      </c>
      <c r="G46" s="4">
        <v>46131</v>
      </c>
      <c r="H46">
        <v>415</v>
      </c>
      <c r="I46" t="s">
        <v>121</v>
      </c>
      <c r="J46">
        <v>11</v>
      </c>
      <c r="K46" t="s">
        <v>1563</v>
      </c>
      <c r="L46" t="str">
        <f t="shared" si="0"/>
        <v>Y</v>
      </c>
      <c r="M46" t="str">
        <f t="shared" si="1"/>
        <v>Y</v>
      </c>
      <c r="N46" t="str">
        <f t="shared" si="2"/>
        <v>Y</v>
      </c>
      <c r="O46">
        <f t="shared" si="3"/>
        <v>8</v>
      </c>
      <c r="P46" s="6">
        <f t="shared" si="4"/>
        <v>1.0097323600973236</v>
      </c>
      <c r="Q46" s="6">
        <f t="shared" si="5"/>
        <v>2.6506024096385541E-2</v>
      </c>
      <c r="R46">
        <f t="shared" si="6"/>
        <v>1</v>
      </c>
      <c r="S46">
        <f t="shared" si="7"/>
        <v>0</v>
      </c>
      <c r="T46">
        <f t="shared" si="8"/>
        <v>0</v>
      </c>
    </row>
    <row r="47" spans="1:20">
      <c r="A47" t="s">
        <v>122</v>
      </c>
      <c r="B47" t="s">
        <v>120</v>
      </c>
      <c r="C47" t="s">
        <v>12</v>
      </c>
      <c r="D47">
        <v>543</v>
      </c>
      <c r="E47" s="4">
        <v>46121</v>
      </c>
      <c r="F47" s="4">
        <v>46131</v>
      </c>
      <c r="G47" s="4">
        <v>46128</v>
      </c>
      <c r="H47">
        <v>549</v>
      </c>
      <c r="I47" t="s">
        <v>123</v>
      </c>
      <c r="J47">
        <v>4</v>
      </c>
      <c r="K47" t="s">
        <v>1563</v>
      </c>
      <c r="L47" t="str">
        <f t="shared" si="0"/>
        <v>Y</v>
      </c>
      <c r="M47" t="str">
        <f t="shared" si="1"/>
        <v>Y</v>
      </c>
      <c r="N47" t="str">
        <f t="shared" si="2"/>
        <v>Y</v>
      </c>
      <c r="O47">
        <f t="shared" si="3"/>
        <v>7</v>
      </c>
      <c r="P47" s="6">
        <f t="shared" si="4"/>
        <v>1.011049723756906</v>
      </c>
      <c r="Q47" s="6">
        <f t="shared" si="5"/>
        <v>7.2859744990892532E-3</v>
      </c>
      <c r="R47">
        <f t="shared" si="6"/>
        <v>1</v>
      </c>
      <c r="S47">
        <f t="shared" si="7"/>
        <v>0</v>
      </c>
      <c r="T47">
        <f t="shared" si="8"/>
        <v>0</v>
      </c>
    </row>
    <row r="48" spans="1:20">
      <c r="A48" t="s">
        <v>124</v>
      </c>
      <c r="B48" t="s">
        <v>54</v>
      </c>
      <c r="C48" t="s">
        <v>16</v>
      </c>
      <c r="D48">
        <v>585</v>
      </c>
      <c r="E48" s="4">
        <v>46052</v>
      </c>
      <c r="F48" s="4">
        <v>46059</v>
      </c>
      <c r="G48" s="4">
        <v>46056</v>
      </c>
      <c r="H48">
        <v>480</v>
      </c>
      <c r="I48" t="s">
        <v>125</v>
      </c>
      <c r="J48">
        <v>7</v>
      </c>
      <c r="K48" t="s">
        <v>1563</v>
      </c>
      <c r="L48" t="str">
        <f t="shared" si="0"/>
        <v>Y</v>
      </c>
      <c r="M48" t="str">
        <f t="shared" si="1"/>
        <v>N</v>
      </c>
      <c r="N48" t="str">
        <f t="shared" si="2"/>
        <v>N</v>
      </c>
      <c r="O48">
        <f t="shared" si="3"/>
        <v>4</v>
      </c>
      <c r="P48" s="6">
        <f t="shared" si="4"/>
        <v>0.82051282051282048</v>
      </c>
      <c r="Q48" s="6">
        <f t="shared" si="5"/>
        <v>1.4583333333333334E-2</v>
      </c>
      <c r="R48">
        <f t="shared" si="6"/>
        <v>0</v>
      </c>
      <c r="S48">
        <f t="shared" si="7"/>
        <v>0</v>
      </c>
      <c r="T48">
        <f t="shared" si="8"/>
        <v>0</v>
      </c>
    </row>
    <row r="49" spans="1:20">
      <c r="A49" t="s">
        <v>126</v>
      </c>
      <c r="B49" t="s">
        <v>40</v>
      </c>
      <c r="C49" t="s">
        <v>23</v>
      </c>
      <c r="D49">
        <v>488</v>
      </c>
      <c r="E49" s="4">
        <v>46079</v>
      </c>
      <c r="F49" s="4">
        <v>46093</v>
      </c>
      <c r="G49" s="4">
        <v>46098</v>
      </c>
      <c r="H49">
        <v>479</v>
      </c>
      <c r="I49" t="s">
        <v>47</v>
      </c>
      <c r="J49">
        <v>24</v>
      </c>
      <c r="K49" t="s">
        <v>1563</v>
      </c>
      <c r="L49" t="str">
        <f t="shared" si="0"/>
        <v>N</v>
      </c>
      <c r="M49" t="str">
        <f t="shared" si="1"/>
        <v>Y</v>
      </c>
      <c r="N49" t="str">
        <f t="shared" si="2"/>
        <v>N</v>
      </c>
      <c r="O49">
        <f t="shared" si="3"/>
        <v>19</v>
      </c>
      <c r="P49" s="6">
        <f t="shared" si="4"/>
        <v>0.98155737704918034</v>
      </c>
      <c r="Q49" s="6">
        <f t="shared" si="5"/>
        <v>5.0104384133611693E-2</v>
      </c>
      <c r="R49">
        <f t="shared" si="6"/>
        <v>0</v>
      </c>
      <c r="S49">
        <f t="shared" si="7"/>
        <v>5</v>
      </c>
      <c r="T49">
        <f t="shared" si="8"/>
        <v>2500</v>
      </c>
    </row>
    <row r="50" spans="1:20">
      <c r="A50" t="s">
        <v>128</v>
      </c>
      <c r="B50" t="s">
        <v>54</v>
      </c>
      <c r="C50" t="s">
        <v>12</v>
      </c>
      <c r="D50">
        <v>615</v>
      </c>
      <c r="E50" s="4">
        <v>46174</v>
      </c>
      <c r="F50" s="4">
        <v>46185</v>
      </c>
      <c r="G50" s="4">
        <v>46186</v>
      </c>
      <c r="H50">
        <v>537</v>
      </c>
      <c r="I50" t="s">
        <v>129</v>
      </c>
      <c r="J50">
        <v>0</v>
      </c>
      <c r="K50" t="s">
        <v>1563</v>
      </c>
      <c r="L50" t="str">
        <f t="shared" si="0"/>
        <v>N</v>
      </c>
      <c r="M50" t="str">
        <f t="shared" si="1"/>
        <v>N</v>
      </c>
      <c r="N50" t="str">
        <f t="shared" si="2"/>
        <v>N</v>
      </c>
      <c r="O50">
        <f t="shared" si="3"/>
        <v>12</v>
      </c>
      <c r="P50" s="6">
        <f t="shared" si="4"/>
        <v>0.87317073170731707</v>
      </c>
      <c r="Q50" s="6">
        <f t="shared" si="5"/>
        <v>0</v>
      </c>
      <c r="R50">
        <f t="shared" si="6"/>
        <v>0</v>
      </c>
      <c r="S50">
        <f t="shared" si="7"/>
        <v>1</v>
      </c>
      <c r="T50">
        <f t="shared" si="8"/>
        <v>500</v>
      </c>
    </row>
    <row r="51" spans="1:20">
      <c r="A51" t="s">
        <v>130</v>
      </c>
      <c r="B51" t="s">
        <v>70</v>
      </c>
      <c r="C51" t="s">
        <v>12</v>
      </c>
      <c r="D51">
        <v>93</v>
      </c>
      <c r="E51" s="4">
        <v>46088</v>
      </c>
      <c r="F51" s="4">
        <v>46102</v>
      </c>
      <c r="G51" s="4">
        <v>46099</v>
      </c>
      <c r="H51">
        <v>92</v>
      </c>
      <c r="I51" t="s">
        <v>131</v>
      </c>
      <c r="J51">
        <v>0</v>
      </c>
      <c r="K51" t="s">
        <v>1563</v>
      </c>
      <c r="L51" t="str">
        <f t="shared" si="0"/>
        <v>Y</v>
      </c>
      <c r="M51" t="str">
        <f t="shared" si="1"/>
        <v>Y</v>
      </c>
      <c r="N51" t="str">
        <f t="shared" si="2"/>
        <v>Y</v>
      </c>
      <c r="O51">
        <f t="shared" si="3"/>
        <v>11</v>
      </c>
      <c r="P51" s="6">
        <f t="shared" si="4"/>
        <v>0.989247311827957</v>
      </c>
      <c r="Q51" s="6">
        <f t="shared" si="5"/>
        <v>0</v>
      </c>
      <c r="R51">
        <f t="shared" si="6"/>
        <v>1</v>
      </c>
      <c r="S51">
        <f t="shared" si="7"/>
        <v>0</v>
      </c>
      <c r="T51">
        <f t="shared" si="8"/>
        <v>0</v>
      </c>
    </row>
    <row r="52" spans="1:20">
      <c r="A52" t="s">
        <v>132</v>
      </c>
      <c r="B52" t="s">
        <v>32</v>
      </c>
      <c r="C52" t="s">
        <v>12</v>
      </c>
      <c r="D52">
        <v>720</v>
      </c>
      <c r="E52" s="4">
        <v>46108</v>
      </c>
      <c r="F52" s="4">
        <v>46120</v>
      </c>
      <c r="G52" s="4">
        <v>46117</v>
      </c>
      <c r="H52">
        <v>689</v>
      </c>
      <c r="I52" t="s">
        <v>59</v>
      </c>
      <c r="J52">
        <v>46</v>
      </c>
      <c r="K52" t="s">
        <v>1563</v>
      </c>
      <c r="L52" t="str">
        <f t="shared" si="0"/>
        <v>Y</v>
      </c>
      <c r="M52" t="str">
        <f t="shared" si="1"/>
        <v>N</v>
      </c>
      <c r="N52" t="str">
        <f t="shared" si="2"/>
        <v>N</v>
      </c>
      <c r="O52">
        <f t="shared" si="3"/>
        <v>9</v>
      </c>
      <c r="P52" s="6">
        <f t="shared" si="4"/>
        <v>0.95694444444444449</v>
      </c>
      <c r="Q52" s="6">
        <f t="shared" si="5"/>
        <v>6.6763425253991288E-2</v>
      </c>
      <c r="R52">
        <f t="shared" si="6"/>
        <v>0</v>
      </c>
      <c r="S52">
        <f t="shared" si="7"/>
        <v>0</v>
      </c>
      <c r="T52">
        <f t="shared" si="8"/>
        <v>0</v>
      </c>
    </row>
    <row r="53" spans="1:20">
      <c r="A53" t="s">
        <v>133</v>
      </c>
      <c r="B53" t="s">
        <v>52</v>
      </c>
      <c r="C53" t="s">
        <v>16</v>
      </c>
      <c r="D53">
        <v>782</v>
      </c>
      <c r="E53" s="4">
        <v>46061</v>
      </c>
      <c r="F53" s="4">
        <v>46067</v>
      </c>
      <c r="G53" s="4">
        <v>46076</v>
      </c>
      <c r="H53">
        <v>775</v>
      </c>
      <c r="I53" t="s">
        <v>134</v>
      </c>
      <c r="J53">
        <v>15</v>
      </c>
      <c r="K53" t="s">
        <v>1563</v>
      </c>
      <c r="L53" t="str">
        <f t="shared" si="0"/>
        <v>N</v>
      </c>
      <c r="M53" t="str">
        <f t="shared" si="1"/>
        <v>Y</v>
      </c>
      <c r="N53" t="str">
        <f t="shared" si="2"/>
        <v>N</v>
      </c>
      <c r="O53">
        <f t="shared" si="3"/>
        <v>15</v>
      </c>
      <c r="P53" s="6">
        <f t="shared" si="4"/>
        <v>0.99104859335038364</v>
      </c>
      <c r="Q53" s="6">
        <f t="shared" si="5"/>
        <v>1.935483870967742E-2</v>
      </c>
      <c r="R53">
        <f t="shared" si="6"/>
        <v>0</v>
      </c>
      <c r="S53">
        <f t="shared" si="7"/>
        <v>9</v>
      </c>
      <c r="T53">
        <f t="shared" si="8"/>
        <v>4500</v>
      </c>
    </row>
    <row r="54" spans="1:20">
      <c r="A54" t="s">
        <v>135</v>
      </c>
      <c r="B54" t="s">
        <v>46</v>
      </c>
      <c r="C54" t="s">
        <v>12</v>
      </c>
      <c r="D54">
        <v>483</v>
      </c>
      <c r="E54" s="4">
        <v>46162</v>
      </c>
      <c r="F54" s="4">
        <v>46177</v>
      </c>
      <c r="G54" s="4">
        <v>46184</v>
      </c>
      <c r="H54">
        <v>484</v>
      </c>
      <c r="I54" t="s">
        <v>136</v>
      </c>
      <c r="J54">
        <v>24</v>
      </c>
      <c r="K54" t="s">
        <v>1563</v>
      </c>
      <c r="L54" t="str">
        <f t="shared" si="0"/>
        <v>N</v>
      </c>
      <c r="M54" t="str">
        <f t="shared" si="1"/>
        <v>Y</v>
      </c>
      <c r="N54" t="str">
        <f t="shared" si="2"/>
        <v>N</v>
      </c>
      <c r="O54">
        <f t="shared" si="3"/>
        <v>22</v>
      </c>
      <c r="P54" s="6">
        <f t="shared" si="4"/>
        <v>1.0020703933747412</v>
      </c>
      <c r="Q54" s="6">
        <f t="shared" si="5"/>
        <v>4.9586776859504134E-2</v>
      </c>
      <c r="R54">
        <f t="shared" si="6"/>
        <v>0</v>
      </c>
      <c r="S54">
        <f t="shared" si="7"/>
        <v>7</v>
      </c>
      <c r="T54">
        <f t="shared" si="8"/>
        <v>3500</v>
      </c>
    </row>
    <row r="55" spans="1:20">
      <c r="A55" t="s">
        <v>137</v>
      </c>
      <c r="B55" t="s">
        <v>81</v>
      </c>
      <c r="C55" t="s">
        <v>12</v>
      </c>
      <c r="D55">
        <v>622</v>
      </c>
      <c r="E55" s="4">
        <v>46087</v>
      </c>
      <c r="F55" s="4">
        <v>46101</v>
      </c>
      <c r="G55" s="4">
        <v>46110</v>
      </c>
      <c r="H55">
        <v>504</v>
      </c>
      <c r="I55" t="s">
        <v>84</v>
      </c>
      <c r="J55">
        <v>1</v>
      </c>
      <c r="K55" t="s">
        <v>1563</v>
      </c>
      <c r="L55" t="str">
        <f t="shared" si="0"/>
        <v>N</v>
      </c>
      <c r="M55" t="str">
        <f t="shared" si="1"/>
        <v>N</v>
      </c>
      <c r="N55" t="str">
        <f t="shared" si="2"/>
        <v>N</v>
      </c>
      <c r="O55">
        <f t="shared" si="3"/>
        <v>23</v>
      </c>
      <c r="P55" s="6">
        <f t="shared" si="4"/>
        <v>0.81028938906752412</v>
      </c>
      <c r="Q55" s="6">
        <f t="shared" si="5"/>
        <v>1.984126984126984E-3</v>
      </c>
      <c r="R55">
        <f t="shared" si="6"/>
        <v>0</v>
      </c>
      <c r="S55">
        <f t="shared" si="7"/>
        <v>9</v>
      </c>
      <c r="T55">
        <f t="shared" si="8"/>
        <v>4500</v>
      </c>
    </row>
    <row r="56" spans="1:20">
      <c r="A56" t="s">
        <v>138</v>
      </c>
      <c r="B56" t="s">
        <v>11</v>
      </c>
      <c r="C56" t="s">
        <v>12</v>
      </c>
      <c r="D56">
        <v>371</v>
      </c>
      <c r="E56" s="4">
        <v>46093</v>
      </c>
      <c r="F56" s="4">
        <v>46098</v>
      </c>
      <c r="G56" s="4">
        <v>46095</v>
      </c>
      <c r="H56">
        <v>297</v>
      </c>
      <c r="I56" t="s">
        <v>140</v>
      </c>
      <c r="J56">
        <v>12</v>
      </c>
      <c r="K56" t="s">
        <v>1563</v>
      </c>
      <c r="L56" t="str">
        <f t="shared" si="0"/>
        <v>Y</v>
      </c>
      <c r="M56" t="str">
        <f t="shared" si="1"/>
        <v>N</v>
      </c>
      <c r="N56" t="str">
        <f t="shared" si="2"/>
        <v>N</v>
      </c>
      <c r="O56">
        <f t="shared" si="3"/>
        <v>2</v>
      </c>
      <c r="P56" s="6">
        <f t="shared" si="4"/>
        <v>0.80053908355795145</v>
      </c>
      <c r="Q56" s="6">
        <f t="shared" si="5"/>
        <v>4.0404040404040407E-2</v>
      </c>
      <c r="R56">
        <f t="shared" si="6"/>
        <v>0</v>
      </c>
      <c r="S56">
        <f t="shared" si="7"/>
        <v>0</v>
      </c>
      <c r="T56">
        <f t="shared" si="8"/>
        <v>0</v>
      </c>
    </row>
    <row r="57" spans="1:20">
      <c r="A57" t="s">
        <v>141</v>
      </c>
      <c r="B57" t="s">
        <v>43</v>
      </c>
      <c r="C57" t="s">
        <v>23</v>
      </c>
      <c r="D57">
        <v>990</v>
      </c>
      <c r="E57" s="4">
        <v>46063</v>
      </c>
      <c r="F57" s="4">
        <v>46070</v>
      </c>
      <c r="G57" s="4">
        <v>46068</v>
      </c>
      <c r="H57">
        <v>979</v>
      </c>
      <c r="I57" t="s">
        <v>142</v>
      </c>
      <c r="J57">
        <v>15</v>
      </c>
      <c r="K57" t="s">
        <v>1563</v>
      </c>
      <c r="L57" t="str">
        <f t="shared" si="0"/>
        <v>Y</v>
      </c>
      <c r="M57" t="str">
        <f t="shared" si="1"/>
        <v>Y</v>
      </c>
      <c r="N57" t="str">
        <f t="shared" si="2"/>
        <v>Y</v>
      </c>
      <c r="O57">
        <f t="shared" si="3"/>
        <v>5</v>
      </c>
      <c r="P57" s="6">
        <f t="shared" si="4"/>
        <v>0.98888888888888893</v>
      </c>
      <c r="Q57" s="6">
        <f t="shared" si="5"/>
        <v>1.5321756894790603E-2</v>
      </c>
      <c r="R57">
        <f t="shared" si="6"/>
        <v>1</v>
      </c>
      <c r="S57">
        <f t="shared" si="7"/>
        <v>0</v>
      </c>
      <c r="T57">
        <f t="shared" si="8"/>
        <v>0</v>
      </c>
    </row>
    <row r="58" spans="1:20">
      <c r="A58" t="s">
        <v>143</v>
      </c>
      <c r="B58" t="s">
        <v>35</v>
      </c>
      <c r="C58" t="s">
        <v>12</v>
      </c>
      <c r="D58">
        <v>352</v>
      </c>
      <c r="E58" s="4">
        <v>46054</v>
      </c>
      <c r="F58" s="4">
        <v>46069</v>
      </c>
      <c r="G58" s="4">
        <v>46068</v>
      </c>
      <c r="H58">
        <v>353</v>
      </c>
      <c r="I58" t="s">
        <v>144</v>
      </c>
      <c r="J58">
        <v>21</v>
      </c>
      <c r="K58" t="s">
        <v>1563</v>
      </c>
      <c r="L58" t="str">
        <f t="shared" si="0"/>
        <v>Y</v>
      </c>
      <c r="M58" t="str">
        <f t="shared" si="1"/>
        <v>Y</v>
      </c>
      <c r="N58" t="str">
        <f t="shared" si="2"/>
        <v>Y</v>
      </c>
      <c r="O58">
        <f t="shared" si="3"/>
        <v>14</v>
      </c>
      <c r="P58" s="6">
        <f t="shared" si="4"/>
        <v>1.0028409090909092</v>
      </c>
      <c r="Q58" s="6">
        <f t="shared" si="5"/>
        <v>5.9490084985835696E-2</v>
      </c>
      <c r="R58">
        <f t="shared" si="6"/>
        <v>1</v>
      </c>
      <c r="S58">
        <f t="shared" si="7"/>
        <v>0</v>
      </c>
      <c r="T58">
        <f t="shared" si="8"/>
        <v>0</v>
      </c>
    </row>
    <row r="59" spans="1:20">
      <c r="A59" t="s">
        <v>145</v>
      </c>
      <c r="B59" t="s">
        <v>29</v>
      </c>
      <c r="C59" t="s">
        <v>16</v>
      </c>
      <c r="D59">
        <v>458</v>
      </c>
      <c r="E59" s="4">
        <v>46049</v>
      </c>
      <c r="F59" s="4">
        <v>46062</v>
      </c>
      <c r="G59" s="4">
        <v>46061</v>
      </c>
      <c r="H59">
        <v>452</v>
      </c>
      <c r="I59" t="s">
        <v>146</v>
      </c>
      <c r="J59">
        <v>1</v>
      </c>
      <c r="K59" t="s">
        <v>1563</v>
      </c>
      <c r="L59" t="str">
        <f t="shared" si="0"/>
        <v>Y</v>
      </c>
      <c r="M59" t="str">
        <f t="shared" si="1"/>
        <v>Y</v>
      </c>
      <c r="N59" t="str">
        <f t="shared" si="2"/>
        <v>Y</v>
      </c>
      <c r="O59">
        <f t="shared" si="3"/>
        <v>12</v>
      </c>
      <c r="P59" s="6">
        <f t="shared" si="4"/>
        <v>0.98689956331877726</v>
      </c>
      <c r="Q59" s="6">
        <f t="shared" si="5"/>
        <v>2.2123893805309734E-3</v>
      </c>
      <c r="R59">
        <f t="shared" si="6"/>
        <v>1</v>
      </c>
      <c r="S59">
        <f t="shared" si="7"/>
        <v>0</v>
      </c>
      <c r="T59">
        <f t="shared" si="8"/>
        <v>0</v>
      </c>
    </row>
    <row r="60" spans="1:20">
      <c r="A60" t="s">
        <v>147</v>
      </c>
      <c r="B60" t="s">
        <v>67</v>
      </c>
      <c r="C60" t="s">
        <v>12</v>
      </c>
      <c r="D60">
        <v>172</v>
      </c>
      <c r="E60" s="4">
        <v>46027</v>
      </c>
      <c r="F60" s="4">
        <v>46041</v>
      </c>
      <c r="G60" s="4">
        <v>46041</v>
      </c>
      <c r="H60">
        <v>172</v>
      </c>
      <c r="I60" t="s">
        <v>148</v>
      </c>
      <c r="J60">
        <v>10</v>
      </c>
      <c r="K60" t="s">
        <v>1563</v>
      </c>
      <c r="L60" t="str">
        <f t="shared" si="0"/>
        <v>Y</v>
      </c>
      <c r="M60" t="str">
        <f t="shared" si="1"/>
        <v>Y</v>
      </c>
      <c r="N60" t="str">
        <f t="shared" si="2"/>
        <v>Y</v>
      </c>
      <c r="O60">
        <f t="shared" si="3"/>
        <v>14</v>
      </c>
      <c r="P60" s="6">
        <f t="shared" si="4"/>
        <v>1</v>
      </c>
      <c r="Q60" s="6">
        <f t="shared" si="5"/>
        <v>5.8139534883720929E-2</v>
      </c>
      <c r="R60">
        <f t="shared" si="6"/>
        <v>1</v>
      </c>
      <c r="S60">
        <f t="shared" si="7"/>
        <v>0</v>
      </c>
      <c r="T60">
        <f t="shared" si="8"/>
        <v>0</v>
      </c>
    </row>
    <row r="61" spans="1:20">
      <c r="A61" t="s">
        <v>149</v>
      </c>
      <c r="B61" t="s">
        <v>64</v>
      </c>
      <c r="C61" t="s">
        <v>16</v>
      </c>
      <c r="D61">
        <v>205</v>
      </c>
      <c r="E61" s="4">
        <v>46090</v>
      </c>
      <c r="F61" s="4">
        <v>46103</v>
      </c>
      <c r="G61" s="4">
        <v>46102</v>
      </c>
      <c r="H61">
        <v>189</v>
      </c>
      <c r="I61" t="s">
        <v>150</v>
      </c>
      <c r="J61">
        <v>0</v>
      </c>
      <c r="K61" t="s">
        <v>1563</v>
      </c>
      <c r="L61" t="str">
        <f t="shared" si="0"/>
        <v>Y</v>
      </c>
      <c r="M61" t="str">
        <f t="shared" si="1"/>
        <v>N</v>
      </c>
      <c r="N61" t="str">
        <f t="shared" si="2"/>
        <v>N</v>
      </c>
      <c r="O61">
        <f t="shared" si="3"/>
        <v>12</v>
      </c>
      <c r="P61" s="6">
        <f t="shared" si="4"/>
        <v>0.92195121951219516</v>
      </c>
      <c r="Q61" s="6">
        <f t="shared" si="5"/>
        <v>0</v>
      </c>
      <c r="R61">
        <f t="shared" si="6"/>
        <v>0</v>
      </c>
      <c r="S61">
        <f t="shared" si="7"/>
        <v>0</v>
      </c>
      <c r="T61">
        <f t="shared" si="8"/>
        <v>0</v>
      </c>
    </row>
    <row r="62" spans="1:20">
      <c r="A62" t="s">
        <v>151</v>
      </c>
      <c r="B62" t="s">
        <v>67</v>
      </c>
      <c r="C62" t="s">
        <v>12</v>
      </c>
      <c r="D62">
        <v>184</v>
      </c>
      <c r="E62" s="4">
        <v>46148</v>
      </c>
      <c r="F62" s="4">
        <v>46157</v>
      </c>
      <c r="G62" s="4">
        <v>46164</v>
      </c>
      <c r="H62">
        <v>187</v>
      </c>
      <c r="I62" t="s">
        <v>152</v>
      </c>
      <c r="J62">
        <v>0</v>
      </c>
      <c r="K62" t="s">
        <v>1563</v>
      </c>
      <c r="L62" t="str">
        <f t="shared" si="0"/>
        <v>N</v>
      </c>
      <c r="M62" t="str">
        <f t="shared" si="1"/>
        <v>Y</v>
      </c>
      <c r="N62" t="str">
        <f t="shared" si="2"/>
        <v>N</v>
      </c>
      <c r="O62">
        <f t="shared" si="3"/>
        <v>16</v>
      </c>
      <c r="P62" s="6">
        <f t="shared" si="4"/>
        <v>1.0163043478260869</v>
      </c>
      <c r="Q62" s="6">
        <f t="shared" si="5"/>
        <v>0</v>
      </c>
      <c r="R62">
        <f t="shared" si="6"/>
        <v>0</v>
      </c>
      <c r="S62">
        <f t="shared" si="7"/>
        <v>7</v>
      </c>
      <c r="T62">
        <f t="shared" si="8"/>
        <v>3500</v>
      </c>
    </row>
    <row r="63" spans="1:20">
      <c r="A63" t="s">
        <v>153</v>
      </c>
      <c r="B63" t="s">
        <v>32</v>
      </c>
      <c r="C63" t="s">
        <v>12</v>
      </c>
      <c r="D63">
        <v>969</v>
      </c>
      <c r="E63" s="4">
        <v>46060</v>
      </c>
      <c r="F63" s="4">
        <v>46066</v>
      </c>
      <c r="G63" s="4">
        <v>46064</v>
      </c>
      <c r="H63">
        <v>973</v>
      </c>
      <c r="I63" t="s">
        <v>154</v>
      </c>
      <c r="J63">
        <v>5</v>
      </c>
      <c r="K63" t="s">
        <v>1563</v>
      </c>
      <c r="L63" t="str">
        <f t="shared" si="0"/>
        <v>Y</v>
      </c>
      <c r="M63" t="str">
        <f t="shared" si="1"/>
        <v>Y</v>
      </c>
      <c r="N63" t="str">
        <f t="shared" si="2"/>
        <v>Y</v>
      </c>
      <c r="O63">
        <f t="shared" si="3"/>
        <v>4</v>
      </c>
      <c r="P63" s="6">
        <f t="shared" si="4"/>
        <v>1.0041279669762642</v>
      </c>
      <c r="Q63" s="6">
        <f t="shared" si="5"/>
        <v>5.1387461459403904E-3</v>
      </c>
      <c r="R63">
        <f t="shared" si="6"/>
        <v>1</v>
      </c>
      <c r="S63">
        <f t="shared" si="7"/>
        <v>0</v>
      </c>
      <c r="T63">
        <f t="shared" si="8"/>
        <v>0</v>
      </c>
    </row>
    <row r="64" spans="1:20">
      <c r="A64" t="s">
        <v>155</v>
      </c>
      <c r="B64" t="s">
        <v>29</v>
      </c>
      <c r="C64" t="s">
        <v>12</v>
      </c>
      <c r="D64">
        <v>574</v>
      </c>
      <c r="E64" s="4">
        <v>46111</v>
      </c>
      <c r="F64" s="4">
        <v>46116</v>
      </c>
      <c r="G64" s="4">
        <v>46113</v>
      </c>
      <c r="H64">
        <v>578</v>
      </c>
      <c r="I64" t="s">
        <v>156</v>
      </c>
      <c r="J64">
        <v>7</v>
      </c>
      <c r="K64" t="s">
        <v>1563</v>
      </c>
      <c r="L64" t="str">
        <f t="shared" si="0"/>
        <v>Y</v>
      </c>
      <c r="M64" t="str">
        <f t="shared" si="1"/>
        <v>Y</v>
      </c>
      <c r="N64" t="str">
        <f t="shared" si="2"/>
        <v>Y</v>
      </c>
      <c r="O64">
        <f t="shared" si="3"/>
        <v>2</v>
      </c>
      <c r="P64" s="6">
        <f t="shared" si="4"/>
        <v>1.0069686411149825</v>
      </c>
      <c r="Q64" s="6">
        <f t="shared" si="5"/>
        <v>1.2110726643598616E-2</v>
      </c>
      <c r="R64">
        <f t="shared" si="6"/>
        <v>1</v>
      </c>
      <c r="S64">
        <f t="shared" si="7"/>
        <v>0</v>
      </c>
      <c r="T64">
        <f t="shared" si="8"/>
        <v>0</v>
      </c>
    </row>
    <row r="65" spans="1:20">
      <c r="A65" t="s">
        <v>157</v>
      </c>
      <c r="B65" t="s">
        <v>100</v>
      </c>
      <c r="C65" t="s">
        <v>16</v>
      </c>
      <c r="D65">
        <v>668</v>
      </c>
      <c r="E65" s="4">
        <v>46129</v>
      </c>
      <c r="F65" s="4">
        <v>46141</v>
      </c>
      <c r="G65" s="4">
        <v>46139</v>
      </c>
      <c r="H65">
        <v>677</v>
      </c>
      <c r="I65" t="s">
        <v>158</v>
      </c>
      <c r="J65">
        <v>11</v>
      </c>
      <c r="K65" t="s">
        <v>1563</v>
      </c>
      <c r="L65" t="str">
        <f t="shared" si="0"/>
        <v>Y</v>
      </c>
      <c r="M65" t="str">
        <f t="shared" si="1"/>
        <v>Y</v>
      </c>
      <c r="N65" t="str">
        <f t="shared" si="2"/>
        <v>Y</v>
      </c>
      <c r="O65">
        <f t="shared" si="3"/>
        <v>10</v>
      </c>
      <c r="P65" s="6">
        <f t="shared" si="4"/>
        <v>1.0134730538922156</v>
      </c>
      <c r="Q65" s="6">
        <f t="shared" si="5"/>
        <v>1.6248153618906941E-2</v>
      </c>
      <c r="R65">
        <f t="shared" si="6"/>
        <v>1</v>
      </c>
      <c r="S65">
        <f t="shared" si="7"/>
        <v>0</v>
      </c>
      <c r="T65">
        <f t="shared" si="8"/>
        <v>0</v>
      </c>
    </row>
    <row r="66" spans="1:20">
      <c r="A66" t="s">
        <v>159</v>
      </c>
      <c r="B66" t="s">
        <v>40</v>
      </c>
      <c r="C66" t="s">
        <v>12</v>
      </c>
      <c r="D66">
        <v>308</v>
      </c>
      <c r="E66" s="4">
        <v>46167</v>
      </c>
      <c r="F66" s="4">
        <v>46172</v>
      </c>
      <c r="G66" s="4">
        <v>46169</v>
      </c>
      <c r="H66">
        <v>308</v>
      </c>
      <c r="I66" t="s">
        <v>160</v>
      </c>
      <c r="J66">
        <v>19</v>
      </c>
      <c r="K66" t="s">
        <v>1563</v>
      </c>
      <c r="L66" t="str">
        <f t="shared" ref="L66:L129" si="9">IF(G66="","N/A",IF(G66&lt;=F66,"Y","N"))</f>
        <v>Y</v>
      </c>
      <c r="M66" t="str">
        <f t="shared" ref="M66:M129" si="10">IF(H66="","N/A",IF(H66&gt;=D66*0.98,"Y","N"))</f>
        <v>Y</v>
      </c>
      <c r="N66" t="str">
        <f t="shared" ref="N66:N129" si="11">IF(OR(L66="N/A",M66="N/A"),"N/A",IF(AND(L66="Y",M66="Y"),"Y","N"))</f>
        <v>Y</v>
      </c>
      <c r="O66">
        <f t="shared" ref="O66:O129" si="12">IF(G66="","N/A",G66-E66)</f>
        <v>2</v>
      </c>
      <c r="P66" s="6">
        <f t="shared" ref="P66:P129" si="13">IF(H66="","N/A",H66/D66)</f>
        <v>1</v>
      </c>
      <c r="Q66" s="6">
        <f t="shared" ref="Q66:Q129" si="14">IF(H66="","N/A",IF(H66=0,0,J66/H66))</f>
        <v>6.1688311688311688E-2</v>
      </c>
      <c r="R66">
        <f t="shared" ref="R66:R129" si="15">IF(N66="Y",1,IF(N66="N",0,""))</f>
        <v>1</v>
      </c>
      <c r="S66">
        <f t="shared" ref="S66:S129" si="16">IF(G66="","N/A",MAX(G66-F66,0))</f>
        <v>0</v>
      </c>
      <c r="T66">
        <f t="shared" ref="T66:T129" si="17">IF(S66="N/A",0,S66*500)</f>
        <v>0</v>
      </c>
    </row>
    <row r="67" spans="1:20">
      <c r="A67" t="s">
        <v>161</v>
      </c>
      <c r="B67" t="s">
        <v>29</v>
      </c>
      <c r="C67" t="s">
        <v>16</v>
      </c>
      <c r="D67">
        <v>352</v>
      </c>
      <c r="E67" s="4">
        <v>46083</v>
      </c>
      <c r="F67" s="4">
        <v>46091</v>
      </c>
      <c r="G67" s="4">
        <v>46091</v>
      </c>
      <c r="H67">
        <v>355</v>
      </c>
      <c r="I67" t="s">
        <v>162</v>
      </c>
      <c r="J67">
        <v>1</v>
      </c>
      <c r="K67" t="s">
        <v>1563</v>
      </c>
      <c r="L67" t="str">
        <f t="shared" si="9"/>
        <v>Y</v>
      </c>
      <c r="M67" t="str">
        <f t="shared" si="10"/>
        <v>Y</v>
      </c>
      <c r="N67" t="str">
        <f t="shared" si="11"/>
        <v>Y</v>
      </c>
      <c r="O67">
        <f t="shared" si="12"/>
        <v>8</v>
      </c>
      <c r="P67" s="6">
        <f t="shared" si="13"/>
        <v>1.0085227272727273</v>
      </c>
      <c r="Q67" s="6">
        <f t="shared" si="14"/>
        <v>2.8169014084507044E-3</v>
      </c>
      <c r="R67">
        <f t="shared" si="15"/>
        <v>1</v>
      </c>
      <c r="S67">
        <f t="shared" si="16"/>
        <v>0</v>
      </c>
      <c r="T67">
        <f t="shared" si="17"/>
        <v>0</v>
      </c>
    </row>
    <row r="68" spans="1:20">
      <c r="A68" t="s">
        <v>163</v>
      </c>
      <c r="B68" t="s">
        <v>49</v>
      </c>
      <c r="C68" t="s">
        <v>16</v>
      </c>
      <c r="D68">
        <v>182</v>
      </c>
      <c r="E68" s="4">
        <v>46119</v>
      </c>
      <c r="F68" s="4">
        <v>46134</v>
      </c>
      <c r="G68" s="4">
        <v>46134</v>
      </c>
      <c r="H68">
        <v>184</v>
      </c>
      <c r="I68" t="s">
        <v>164</v>
      </c>
      <c r="J68">
        <v>1</v>
      </c>
      <c r="K68" t="s">
        <v>1563</v>
      </c>
      <c r="L68" t="str">
        <f t="shared" si="9"/>
        <v>Y</v>
      </c>
      <c r="M68" t="str">
        <f t="shared" si="10"/>
        <v>Y</v>
      </c>
      <c r="N68" t="str">
        <f t="shared" si="11"/>
        <v>Y</v>
      </c>
      <c r="O68">
        <f t="shared" si="12"/>
        <v>15</v>
      </c>
      <c r="P68" s="6">
        <f t="shared" si="13"/>
        <v>1.0109890109890109</v>
      </c>
      <c r="Q68" s="6">
        <f t="shared" si="14"/>
        <v>5.434782608695652E-3</v>
      </c>
      <c r="R68">
        <f t="shared" si="15"/>
        <v>1</v>
      </c>
      <c r="S68">
        <f t="shared" si="16"/>
        <v>0</v>
      </c>
      <c r="T68">
        <f t="shared" si="17"/>
        <v>0</v>
      </c>
    </row>
    <row r="69" spans="1:20">
      <c r="A69" t="s">
        <v>165</v>
      </c>
      <c r="B69" t="s">
        <v>52</v>
      </c>
      <c r="C69" t="s">
        <v>12</v>
      </c>
      <c r="D69">
        <v>788</v>
      </c>
      <c r="E69" s="4">
        <v>46085</v>
      </c>
      <c r="F69" s="4">
        <v>46091</v>
      </c>
      <c r="G69" s="4">
        <v>46092</v>
      </c>
      <c r="H69">
        <v>798</v>
      </c>
      <c r="I69" t="s">
        <v>167</v>
      </c>
      <c r="J69">
        <v>11</v>
      </c>
      <c r="K69" t="s">
        <v>1563</v>
      </c>
      <c r="L69" t="str">
        <f t="shared" si="9"/>
        <v>N</v>
      </c>
      <c r="M69" t="str">
        <f t="shared" si="10"/>
        <v>Y</v>
      </c>
      <c r="N69" t="str">
        <f t="shared" si="11"/>
        <v>N</v>
      </c>
      <c r="O69">
        <f t="shared" si="12"/>
        <v>7</v>
      </c>
      <c r="P69" s="6">
        <f t="shared" si="13"/>
        <v>1.0126903553299493</v>
      </c>
      <c r="Q69" s="6">
        <f t="shared" si="14"/>
        <v>1.3784461152882205E-2</v>
      </c>
      <c r="R69">
        <f t="shared" si="15"/>
        <v>0</v>
      </c>
      <c r="S69">
        <f t="shared" si="16"/>
        <v>1</v>
      </c>
      <c r="T69">
        <f t="shared" si="17"/>
        <v>500</v>
      </c>
    </row>
    <row r="70" spans="1:20">
      <c r="A70" t="s">
        <v>168</v>
      </c>
      <c r="B70" t="s">
        <v>26</v>
      </c>
      <c r="C70" t="s">
        <v>16</v>
      </c>
      <c r="D70">
        <v>495</v>
      </c>
      <c r="E70" s="4">
        <v>46161</v>
      </c>
      <c r="F70" s="4">
        <v>46166</v>
      </c>
      <c r="G70" s="4">
        <v>46165</v>
      </c>
      <c r="H70">
        <v>418</v>
      </c>
      <c r="I70" t="s">
        <v>169</v>
      </c>
      <c r="J70">
        <v>1</v>
      </c>
      <c r="K70" t="s">
        <v>1563</v>
      </c>
      <c r="L70" t="str">
        <f t="shared" si="9"/>
        <v>Y</v>
      </c>
      <c r="M70" t="str">
        <f t="shared" si="10"/>
        <v>N</v>
      </c>
      <c r="N70" t="str">
        <f t="shared" si="11"/>
        <v>N</v>
      </c>
      <c r="O70">
        <f t="shared" si="12"/>
        <v>4</v>
      </c>
      <c r="P70" s="6">
        <f t="shared" si="13"/>
        <v>0.84444444444444444</v>
      </c>
      <c r="Q70" s="6">
        <f t="shared" si="14"/>
        <v>2.3923444976076554E-3</v>
      </c>
      <c r="R70">
        <f t="shared" si="15"/>
        <v>0</v>
      </c>
      <c r="S70">
        <f t="shared" si="16"/>
        <v>0</v>
      </c>
      <c r="T70">
        <f t="shared" si="17"/>
        <v>0</v>
      </c>
    </row>
    <row r="71" spans="1:20">
      <c r="A71" t="s">
        <v>170</v>
      </c>
      <c r="B71" t="s">
        <v>26</v>
      </c>
      <c r="C71" t="s">
        <v>12</v>
      </c>
      <c r="D71">
        <v>450</v>
      </c>
      <c r="E71" s="4">
        <v>46042</v>
      </c>
      <c r="F71" s="4">
        <v>46047</v>
      </c>
      <c r="G71" s="4">
        <v>46046</v>
      </c>
      <c r="H71">
        <v>442</v>
      </c>
      <c r="I71" t="s">
        <v>171</v>
      </c>
      <c r="J71">
        <v>8</v>
      </c>
      <c r="K71" t="s">
        <v>1563</v>
      </c>
      <c r="L71" t="str">
        <f t="shared" si="9"/>
        <v>Y</v>
      </c>
      <c r="M71" t="str">
        <f t="shared" si="10"/>
        <v>Y</v>
      </c>
      <c r="N71" t="str">
        <f t="shared" si="11"/>
        <v>Y</v>
      </c>
      <c r="O71">
        <f t="shared" si="12"/>
        <v>4</v>
      </c>
      <c r="P71" s="6">
        <f t="shared" si="13"/>
        <v>0.98222222222222222</v>
      </c>
      <c r="Q71" s="6">
        <f t="shared" si="14"/>
        <v>1.8099547511312219E-2</v>
      </c>
      <c r="R71">
        <f t="shared" si="15"/>
        <v>1</v>
      </c>
      <c r="S71">
        <f t="shared" si="16"/>
        <v>0</v>
      </c>
      <c r="T71">
        <f t="shared" si="17"/>
        <v>0</v>
      </c>
    </row>
    <row r="72" spans="1:20">
      <c r="A72" t="s">
        <v>172</v>
      </c>
      <c r="B72" t="s">
        <v>22</v>
      </c>
      <c r="C72" t="s">
        <v>16</v>
      </c>
      <c r="D72">
        <v>880</v>
      </c>
      <c r="E72" s="4">
        <v>46105</v>
      </c>
      <c r="F72" s="4">
        <v>46110</v>
      </c>
      <c r="G72" s="4">
        <v>46107</v>
      </c>
      <c r="H72">
        <v>875</v>
      </c>
      <c r="I72" t="s">
        <v>173</v>
      </c>
      <c r="J72">
        <v>28</v>
      </c>
      <c r="K72" t="s">
        <v>1563</v>
      </c>
      <c r="L72" t="str">
        <f t="shared" si="9"/>
        <v>Y</v>
      </c>
      <c r="M72" t="str">
        <f t="shared" si="10"/>
        <v>Y</v>
      </c>
      <c r="N72" t="str">
        <f t="shared" si="11"/>
        <v>Y</v>
      </c>
      <c r="O72">
        <f t="shared" si="12"/>
        <v>2</v>
      </c>
      <c r="P72" s="6">
        <f t="shared" si="13"/>
        <v>0.99431818181818177</v>
      </c>
      <c r="Q72" s="6">
        <f t="shared" si="14"/>
        <v>3.2000000000000001E-2</v>
      </c>
      <c r="R72">
        <f t="shared" si="15"/>
        <v>1</v>
      </c>
      <c r="S72">
        <f t="shared" si="16"/>
        <v>0</v>
      </c>
      <c r="T72">
        <f t="shared" si="17"/>
        <v>0</v>
      </c>
    </row>
    <row r="73" spans="1:20">
      <c r="A73" t="s">
        <v>174</v>
      </c>
      <c r="B73" t="s">
        <v>67</v>
      </c>
      <c r="C73" t="s">
        <v>12</v>
      </c>
      <c r="D73">
        <v>506</v>
      </c>
      <c r="E73" s="4">
        <v>46103</v>
      </c>
      <c r="F73" s="4">
        <v>46115</v>
      </c>
      <c r="G73" s="4">
        <v>46115</v>
      </c>
      <c r="H73">
        <v>511</v>
      </c>
      <c r="I73" t="s">
        <v>175</v>
      </c>
      <c r="J73">
        <v>28</v>
      </c>
      <c r="K73" t="s">
        <v>1563</v>
      </c>
      <c r="L73" t="str">
        <f t="shared" si="9"/>
        <v>Y</v>
      </c>
      <c r="M73" t="str">
        <f t="shared" si="10"/>
        <v>Y</v>
      </c>
      <c r="N73" t="str">
        <f t="shared" si="11"/>
        <v>Y</v>
      </c>
      <c r="O73">
        <f t="shared" si="12"/>
        <v>12</v>
      </c>
      <c r="P73" s="6">
        <f t="shared" si="13"/>
        <v>1.0098814229249011</v>
      </c>
      <c r="Q73" s="6">
        <f t="shared" si="14"/>
        <v>5.4794520547945202E-2</v>
      </c>
      <c r="R73">
        <f t="shared" si="15"/>
        <v>1</v>
      </c>
      <c r="S73">
        <f t="shared" si="16"/>
        <v>0</v>
      </c>
      <c r="T73">
        <f t="shared" si="17"/>
        <v>0</v>
      </c>
    </row>
    <row r="74" spans="1:20">
      <c r="A74" t="s">
        <v>176</v>
      </c>
      <c r="B74" t="s">
        <v>177</v>
      </c>
      <c r="C74" t="s">
        <v>12</v>
      </c>
      <c r="D74">
        <v>855</v>
      </c>
      <c r="E74" s="4">
        <v>46107</v>
      </c>
      <c r="F74" s="4">
        <v>46121</v>
      </c>
      <c r="G74" s="4">
        <v>46119</v>
      </c>
      <c r="H74">
        <v>802</v>
      </c>
      <c r="I74" t="s">
        <v>178</v>
      </c>
      <c r="J74">
        <v>12</v>
      </c>
      <c r="K74" t="s">
        <v>1563</v>
      </c>
      <c r="L74" t="str">
        <f t="shared" si="9"/>
        <v>Y</v>
      </c>
      <c r="M74" t="str">
        <f t="shared" si="10"/>
        <v>N</v>
      </c>
      <c r="N74" t="str">
        <f t="shared" si="11"/>
        <v>N</v>
      </c>
      <c r="O74">
        <f t="shared" si="12"/>
        <v>12</v>
      </c>
      <c r="P74" s="6">
        <f t="shared" si="13"/>
        <v>0.93801169590643274</v>
      </c>
      <c r="Q74" s="6">
        <f t="shared" si="14"/>
        <v>1.4962593516209476E-2</v>
      </c>
      <c r="R74">
        <f t="shared" si="15"/>
        <v>0</v>
      </c>
      <c r="S74">
        <f t="shared" si="16"/>
        <v>0</v>
      </c>
      <c r="T74">
        <f t="shared" si="17"/>
        <v>0</v>
      </c>
    </row>
    <row r="75" spans="1:20">
      <c r="A75" t="s">
        <v>179</v>
      </c>
      <c r="B75" t="s">
        <v>32</v>
      </c>
      <c r="C75" t="s">
        <v>16</v>
      </c>
      <c r="D75">
        <v>703</v>
      </c>
      <c r="E75" s="4">
        <v>46083</v>
      </c>
      <c r="F75" s="4">
        <v>46088</v>
      </c>
      <c r="G75" s="4">
        <v>46087</v>
      </c>
      <c r="H75">
        <v>706</v>
      </c>
      <c r="I75" t="s">
        <v>50</v>
      </c>
      <c r="J75">
        <v>38</v>
      </c>
      <c r="K75" t="s">
        <v>1563</v>
      </c>
      <c r="L75" t="str">
        <f t="shared" si="9"/>
        <v>Y</v>
      </c>
      <c r="M75" t="str">
        <f t="shared" si="10"/>
        <v>Y</v>
      </c>
      <c r="N75" t="str">
        <f t="shared" si="11"/>
        <v>Y</v>
      </c>
      <c r="O75">
        <f t="shared" si="12"/>
        <v>4</v>
      </c>
      <c r="P75" s="6">
        <f t="shared" si="13"/>
        <v>1.004267425320057</v>
      </c>
      <c r="Q75" s="6">
        <f t="shared" si="14"/>
        <v>5.3824362606232294E-2</v>
      </c>
      <c r="R75">
        <f t="shared" si="15"/>
        <v>1</v>
      </c>
      <c r="S75">
        <f t="shared" si="16"/>
        <v>0</v>
      </c>
      <c r="T75">
        <f t="shared" si="17"/>
        <v>0</v>
      </c>
    </row>
    <row r="76" spans="1:20">
      <c r="A76" t="s">
        <v>180</v>
      </c>
      <c r="B76" t="s">
        <v>52</v>
      </c>
      <c r="C76" t="s">
        <v>16</v>
      </c>
      <c r="D76">
        <v>261</v>
      </c>
      <c r="E76" s="4">
        <v>46098</v>
      </c>
      <c r="F76" s="4">
        <v>46106</v>
      </c>
      <c r="G76" s="4">
        <v>46105</v>
      </c>
      <c r="H76">
        <v>214</v>
      </c>
      <c r="I76" t="s">
        <v>181</v>
      </c>
      <c r="J76">
        <v>2</v>
      </c>
      <c r="K76" t="s">
        <v>1563</v>
      </c>
      <c r="L76" t="str">
        <f t="shared" si="9"/>
        <v>Y</v>
      </c>
      <c r="M76" t="str">
        <f t="shared" si="10"/>
        <v>N</v>
      </c>
      <c r="N76" t="str">
        <f t="shared" si="11"/>
        <v>N</v>
      </c>
      <c r="O76">
        <f t="shared" si="12"/>
        <v>7</v>
      </c>
      <c r="P76" s="6">
        <f t="shared" si="13"/>
        <v>0.81992337164750961</v>
      </c>
      <c r="Q76" s="6">
        <f t="shared" si="14"/>
        <v>9.3457943925233638E-3</v>
      </c>
      <c r="R76">
        <f t="shared" si="15"/>
        <v>0</v>
      </c>
      <c r="S76">
        <f t="shared" si="16"/>
        <v>0</v>
      </c>
      <c r="T76">
        <f t="shared" si="17"/>
        <v>0</v>
      </c>
    </row>
    <row r="77" spans="1:20">
      <c r="A77" t="s">
        <v>182</v>
      </c>
      <c r="B77" t="s">
        <v>177</v>
      </c>
      <c r="C77" t="s">
        <v>12</v>
      </c>
      <c r="D77">
        <v>500</v>
      </c>
      <c r="E77" s="4">
        <v>46148</v>
      </c>
      <c r="F77" s="4">
        <v>46155</v>
      </c>
      <c r="G77" s="4">
        <v>46154</v>
      </c>
      <c r="H77">
        <v>507</v>
      </c>
      <c r="I77" t="s">
        <v>183</v>
      </c>
      <c r="J77">
        <v>9</v>
      </c>
      <c r="K77" t="s">
        <v>1563</v>
      </c>
      <c r="L77" t="str">
        <f t="shared" si="9"/>
        <v>Y</v>
      </c>
      <c r="M77" t="str">
        <f t="shared" si="10"/>
        <v>Y</v>
      </c>
      <c r="N77" t="str">
        <f t="shared" si="11"/>
        <v>Y</v>
      </c>
      <c r="O77">
        <f t="shared" si="12"/>
        <v>6</v>
      </c>
      <c r="P77" s="6">
        <f t="shared" si="13"/>
        <v>1.014</v>
      </c>
      <c r="Q77" s="6">
        <f t="shared" si="14"/>
        <v>1.7751479289940829E-2</v>
      </c>
      <c r="R77">
        <f t="shared" si="15"/>
        <v>1</v>
      </c>
      <c r="S77">
        <f t="shared" si="16"/>
        <v>0</v>
      </c>
      <c r="T77">
        <f t="shared" si="17"/>
        <v>0</v>
      </c>
    </row>
    <row r="78" spans="1:20">
      <c r="A78" t="s">
        <v>184</v>
      </c>
      <c r="B78" t="s">
        <v>177</v>
      </c>
      <c r="C78" t="s">
        <v>12</v>
      </c>
      <c r="D78">
        <v>529</v>
      </c>
      <c r="E78" s="4">
        <v>46171</v>
      </c>
      <c r="F78" s="4">
        <v>46178</v>
      </c>
      <c r="G78" s="4">
        <v>46175</v>
      </c>
      <c r="H78">
        <v>538</v>
      </c>
      <c r="I78" t="s">
        <v>185</v>
      </c>
      <c r="J78">
        <v>11</v>
      </c>
      <c r="K78" t="s">
        <v>1563</v>
      </c>
      <c r="L78" t="str">
        <f t="shared" si="9"/>
        <v>Y</v>
      </c>
      <c r="M78" t="str">
        <f t="shared" si="10"/>
        <v>Y</v>
      </c>
      <c r="N78" t="str">
        <f t="shared" si="11"/>
        <v>Y</v>
      </c>
      <c r="O78">
        <f t="shared" si="12"/>
        <v>4</v>
      </c>
      <c r="P78" s="6">
        <f t="shared" si="13"/>
        <v>1.0170132325141776</v>
      </c>
      <c r="Q78" s="6">
        <f t="shared" si="14"/>
        <v>2.0446096654275093E-2</v>
      </c>
      <c r="R78">
        <f t="shared" si="15"/>
        <v>1</v>
      </c>
      <c r="S78">
        <f t="shared" si="16"/>
        <v>0</v>
      </c>
      <c r="T78">
        <f t="shared" si="17"/>
        <v>0</v>
      </c>
    </row>
    <row r="79" spans="1:20">
      <c r="A79" t="s">
        <v>186</v>
      </c>
      <c r="B79" t="s">
        <v>100</v>
      </c>
      <c r="C79" t="s">
        <v>12</v>
      </c>
      <c r="D79">
        <v>339</v>
      </c>
      <c r="E79" s="4">
        <v>46167</v>
      </c>
      <c r="F79" s="4">
        <v>46176</v>
      </c>
      <c r="G79" s="4">
        <v>46184</v>
      </c>
      <c r="H79">
        <v>346</v>
      </c>
      <c r="I79" t="s">
        <v>187</v>
      </c>
      <c r="J79">
        <v>1</v>
      </c>
      <c r="K79" t="s">
        <v>1563</v>
      </c>
      <c r="L79" t="str">
        <f t="shared" si="9"/>
        <v>N</v>
      </c>
      <c r="M79" t="str">
        <f t="shared" si="10"/>
        <v>Y</v>
      </c>
      <c r="N79" t="str">
        <f t="shared" si="11"/>
        <v>N</v>
      </c>
      <c r="O79">
        <f t="shared" si="12"/>
        <v>17</v>
      </c>
      <c r="P79" s="6">
        <f t="shared" si="13"/>
        <v>1.0206489675516224</v>
      </c>
      <c r="Q79" s="6">
        <f t="shared" si="14"/>
        <v>2.8901734104046241E-3</v>
      </c>
      <c r="R79">
        <f t="shared" si="15"/>
        <v>0</v>
      </c>
      <c r="S79">
        <f t="shared" si="16"/>
        <v>8</v>
      </c>
      <c r="T79">
        <f t="shared" si="17"/>
        <v>4000</v>
      </c>
    </row>
    <row r="80" spans="1:20">
      <c r="A80" t="s">
        <v>188</v>
      </c>
      <c r="B80" t="s">
        <v>81</v>
      </c>
      <c r="C80" t="s">
        <v>12</v>
      </c>
      <c r="D80">
        <v>356</v>
      </c>
      <c r="E80" s="4">
        <v>46157</v>
      </c>
      <c r="F80" s="4">
        <v>46171</v>
      </c>
      <c r="G80" s="4">
        <v>46171</v>
      </c>
      <c r="H80">
        <v>311</v>
      </c>
      <c r="I80" t="s">
        <v>189</v>
      </c>
      <c r="J80">
        <v>3</v>
      </c>
      <c r="K80" t="s">
        <v>1563</v>
      </c>
      <c r="L80" t="str">
        <f t="shared" si="9"/>
        <v>Y</v>
      </c>
      <c r="M80" t="str">
        <f t="shared" si="10"/>
        <v>N</v>
      </c>
      <c r="N80" t="str">
        <f t="shared" si="11"/>
        <v>N</v>
      </c>
      <c r="O80">
        <f t="shared" si="12"/>
        <v>14</v>
      </c>
      <c r="P80" s="6">
        <f t="shared" si="13"/>
        <v>0.8735955056179775</v>
      </c>
      <c r="Q80" s="6">
        <f t="shared" si="14"/>
        <v>9.6463022508038593E-3</v>
      </c>
      <c r="R80">
        <f t="shared" si="15"/>
        <v>0</v>
      </c>
      <c r="S80">
        <f t="shared" si="16"/>
        <v>0</v>
      </c>
      <c r="T80">
        <f t="shared" si="17"/>
        <v>0</v>
      </c>
    </row>
    <row r="81" spans="1:20">
      <c r="A81" t="s">
        <v>190</v>
      </c>
      <c r="B81" t="s">
        <v>100</v>
      </c>
      <c r="C81" t="s">
        <v>12</v>
      </c>
      <c r="D81">
        <v>493</v>
      </c>
      <c r="E81" s="4">
        <v>46122</v>
      </c>
      <c r="F81" s="4">
        <v>46137</v>
      </c>
      <c r="G81" s="4">
        <v>46135</v>
      </c>
      <c r="H81">
        <v>491</v>
      </c>
      <c r="I81" t="s">
        <v>191</v>
      </c>
      <c r="J81">
        <v>12</v>
      </c>
      <c r="K81" t="s">
        <v>1563</v>
      </c>
      <c r="L81" t="str">
        <f t="shared" si="9"/>
        <v>Y</v>
      </c>
      <c r="M81" t="str">
        <f t="shared" si="10"/>
        <v>Y</v>
      </c>
      <c r="N81" t="str">
        <f t="shared" si="11"/>
        <v>Y</v>
      </c>
      <c r="O81">
        <f t="shared" si="12"/>
        <v>13</v>
      </c>
      <c r="P81" s="6">
        <f t="shared" si="13"/>
        <v>0.99594320486815413</v>
      </c>
      <c r="Q81" s="6">
        <f t="shared" si="14"/>
        <v>2.4439918533604887E-2</v>
      </c>
      <c r="R81">
        <f t="shared" si="15"/>
        <v>1</v>
      </c>
      <c r="S81">
        <f t="shared" si="16"/>
        <v>0</v>
      </c>
      <c r="T81">
        <f t="shared" si="17"/>
        <v>0</v>
      </c>
    </row>
    <row r="82" spans="1:20">
      <c r="A82" t="s">
        <v>192</v>
      </c>
      <c r="B82" t="s">
        <v>43</v>
      </c>
      <c r="C82" t="s">
        <v>12</v>
      </c>
      <c r="D82">
        <v>901</v>
      </c>
      <c r="E82" s="4">
        <v>46087</v>
      </c>
      <c r="F82" s="4">
        <v>46102</v>
      </c>
      <c r="G82" s="4">
        <v>46103</v>
      </c>
      <c r="H82">
        <v>898</v>
      </c>
      <c r="I82" t="s">
        <v>140</v>
      </c>
      <c r="J82">
        <v>42</v>
      </c>
      <c r="K82" t="s">
        <v>1563</v>
      </c>
      <c r="L82" t="str">
        <f t="shared" si="9"/>
        <v>N</v>
      </c>
      <c r="M82" t="str">
        <f t="shared" si="10"/>
        <v>Y</v>
      </c>
      <c r="N82" t="str">
        <f t="shared" si="11"/>
        <v>N</v>
      </c>
      <c r="O82">
        <f t="shared" si="12"/>
        <v>16</v>
      </c>
      <c r="P82" s="6">
        <f t="shared" si="13"/>
        <v>0.99667036625971139</v>
      </c>
      <c r="Q82" s="6">
        <f t="shared" si="14"/>
        <v>4.6770601336302897E-2</v>
      </c>
      <c r="R82">
        <f t="shared" si="15"/>
        <v>0</v>
      </c>
      <c r="S82">
        <f t="shared" si="16"/>
        <v>1</v>
      </c>
      <c r="T82">
        <f t="shared" si="17"/>
        <v>500</v>
      </c>
    </row>
    <row r="83" spans="1:20">
      <c r="A83" t="s">
        <v>194</v>
      </c>
      <c r="B83" t="s">
        <v>64</v>
      </c>
      <c r="C83" t="s">
        <v>12</v>
      </c>
      <c r="D83">
        <v>241</v>
      </c>
      <c r="E83" s="4">
        <v>46160</v>
      </c>
      <c r="F83" s="4">
        <v>46171</v>
      </c>
      <c r="G83" s="4">
        <v>46171</v>
      </c>
      <c r="H83">
        <v>217</v>
      </c>
      <c r="I83" t="s">
        <v>195</v>
      </c>
      <c r="J83">
        <v>11</v>
      </c>
      <c r="K83" t="s">
        <v>1563</v>
      </c>
      <c r="L83" t="str">
        <f t="shared" si="9"/>
        <v>Y</v>
      </c>
      <c r="M83" t="str">
        <f t="shared" si="10"/>
        <v>N</v>
      </c>
      <c r="N83" t="str">
        <f t="shared" si="11"/>
        <v>N</v>
      </c>
      <c r="O83">
        <f t="shared" si="12"/>
        <v>11</v>
      </c>
      <c r="P83" s="6">
        <f t="shared" si="13"/>
        <v>0.90041493775933612</v>
      </c>
      <c r="Q83" s="6">
        <f t="shared" si="14"/>
        <v>5.0691244239631339E-2</v>
      </c>
      <c r="R83">
        <f t="shared" si="15"/>
        <v>0</v>
      </c>
      <c r="S83">
        <f t="shared" si="16"/>
        <v>0</v>
      </c>
      <c r="T83">
        <f t="shared" si="17"/>
        <v>0</v>
      </c>
    </row>
    <row r="84" spans="1:20">
      <c r="A84" t="s">
        <v>196</v>
      </c>
      <c r="B84" t="s">
        <v>70</v>
      </c>
      <c r="C84" t="s">
        <v>12</v>
      </c>
      <c r="D84">
        <v>705</v>
      </c>
      <c r="E84" s="4">
        <v>46145</v>
      </c>
      <c r="F84" s="4">
        <v>46152</v>
      </c>
      <c r="G84" s="4">
        <v>46151</v>
      </c>
      <c r="H84">
        <v>698</v>
      </c>
      <c r="I84" t="s">
        <v>38</v>
      </c>
      <c r="J84">
        <v>3</v>
      </c>
      <c r="K84" t="s">
        <v>1563</v>
      </c>
      <c r="L84" t="str">
        <f t="shared" si="9"/>
        <v>Y</v>
      </c>
      <c r="M84" t="str">
        <f t="shared" si="10"/>
        <v>Y</v>
      </c>
      <c r="N84" t="str">
        <f t="shared" si="11"/>
        <v>Y</v>
      </c>
      <c r="O84">
        <f t="shared" si="12"/>
        <v>6</v>
      </c>
      <c r="P84" s="6">
        <f t="shared" si="13"/>
        <v>0.99007092198581559</v>
      </c>
      <c r="Q84" s="6">
        <f t="shared" si="14"/>
        <v>4.2979942693409743E-3</v>
      </c>
      <c r="R84">
        <f t="shared" si="15"/>
        <v>1</v>
      </c>
      <c r="S84">
        <f t="shared" si="16"/>
        <v>0</v>
      </c>
      <c r="T84">
        <f t="shared" si="17"/>
        <v>0</v>
      </c>
    </row>
    <row r="85" spans="1:20">
      <c r="A85" t="s">
        <v>197</v>
      </c>
      <c r="B85" t="s">
        <v>67</v>
      </c>
      <c r="C85" t="s">
        <v>16</v>
      </c>
      <c r="D85">
        <v>100</v>
      </c>
      <c r="E85" s="4">
        <v>46061</v>
      </c>
      <c r="F85" s="4">
        <v>46066</v>
      </c>
      <c r="G85" s="4">
        <v>46066</v>
      </c>
      <c r="H85">
        <v>99</v>
      </c>
      <c r="I85" t="s">
        <v>107</v>
      </c>
      <c r="J85">
        <v>3</v>
      </c>
      <c r="K85" t="s">
        <v>1563</v>
      </c>
      <c r="L85" t="str">
        <f t="shared" si="9"/>
        <v>Y</v>
      </c>
      <c r="M85" t="str">
        <f t="shared" si="10"/>
        <v>Y</v>
      </c>
      <c r="N85" t="str">
        <f t="shared" si="11"/>
        <v>Y</v>
      </c>
      <c r="O85">
        <f t="shared" si="12"/>
        <v>5</v>
      </c>
      <c r="P85" s="6">
        <f t="shared" si="13"/>
        <v>0.99</v>
      </c>
      <c r="Q85" s="6">
        <f t="shared" si="14"/>
        <v>3.0303030303030304E-2</v>
      </c>
      <c r="R85">
        <f t="shared" si="15"/>
        <v>1</v>
      </c>
      <c r="S85">
        <f t="shared" si="16"/>
        <v>0</v>
      </c>
      <c r="T85">
        <f t="shared" si="17"/>
        <v>0</v>
      </c>
    </row>
    <row r="86" spans="1:20">
      <c r="A86" t="s">
        <v>198</v>
      </c>
      <c r="B86" t="s">
        <v>11</v>
      </c>
      <c r="C86" t="s">
        <v>23</v>
      </c>
      <c r="D86">
        <v>454</v>
      </c>
      <c r="E86" s="4">
        <v>46103</v>
      </c>
      <c r="F86" s="4">
        <v>46114</v>
      </c>
      <c r="G86" s="4">
        <v>46122</v>
      </c>
      <c r="H86">
        <v>455</v>
      </c>
      <c r="I86" t="s">
        <v>199</v>
      </c>
      <c r="J86">
        <v>12</v>
      </c>
      <c r="K86" t="s">
        <v>1563</v>
      </c>
      <c r="L86" t="str">
        <f t="shared" si="9"/>
        <v>N</v>
      </c>
      <c r="M86" t="str">
        <f t="shared" si="10"/>
        <v>Y</v>
      </c>
      <c r="N86" t="str">
        <f t="shared" si="11"/>
        <v>N</v>
      </c>
      <c r="O86">
        <f t="shared" si="12"/>
        <v>19</v>
      </c>
      <c r="P86" s="6">
        <f t="shared" si="13"/>
        <v>1.0022026431718061</v>
      </c>
      <c r="Q86" s="6">
        <f t="shared" si="14"/>
        <v>2.6373626373626374E-2</v>
      </c>
      <c r="R86">
        <f t="shared" si="15"/>
        <v>0</v>
      </c>
      <c r="S86">
        <f t="shared" si="16"/>
        <v>8</v>
      </c>
      <c r="T86">
        <f t="shared" si="17"/>
        <v>4000</v>
      </c>
    </row>
    <row r="87" spans="1:20">
      <c r="A87" t="s">
        <v>200</v>
      </c>
      <c r="B87" t="s">
        <v>67</v>
      </c>
      <c r="C87" t="s">
        <v>23</v>
      </c>
      <c r="D87">
        <v>773</v>
      </c>
      <c r="E87" s="4">
        <v>46174</v>
      </c>
      <c r="F87" s="4">
        <v>46184</v>
      </c>
      <c r="G87" s="4">
        <v>46181</v>
      </c>
      <c r="H87">
        <v>695</v>
      </c>
      <c r="I87" t="s">
        <v>201</v>
      </c>
      <c r="J87">
        <v>11</v>
      </c>
      <c r="K87" t="s">
        <v>1563</v>
      </c>
      <c r="L87" t="str">
        <f t="shared" si="9"/>
        <v>Y</v>
      </c>
      <c r="M87" t="str">
        <f t="shared" si="10"/>
        <v>N</v>
      </c>
      <c r="N87" t="str">
        <f t="shared" si="11"/>
        <v>N</v>
      </c>
      <c r="O87">
        <f t="shared" si="12"/>
        <v>7</v>
      </c>
      <c r="P87" s="6">
        <f t="shared" si="13"/>
        <v>0.89909443725743854</v>
      </c>
      <c r="Q87" s="6">
        <f t="shared" si="14"/>
        <v>1.5827338129496403E-2</v>
      </c>
      <c r="R87">
        <f t="shared" si="15"/>
        <v>0</v>
      </c>
      <c r="S87">
        <f t="shared" si="16"/>
        <v>0</v>
      </c>
      <c r="T87">
        <f t="shared" si="17"/>
        <v>0</v>
      </c>
    </row>
    <row r="88" spans="1:20">
      <c r="A88" t="s">
        <v>202</v>
      </c>
      <c r="B88" t="s">
        <v>81</v>
      </c>
      <c r="C88" t="s">
        <v>12</v>
      </c>
      <c r="D88">
        <v>858</v>
      </c>
      <c r="E88" s="4">
        <v>46052</v>
      </c>
      <c r="F88" s="4">
        <v>46061</v>
      </c>
      <c r="G88" s="4">
        <v>46065</v>
      </c>
      <c r="H88">
        <v>851</v>
      </c>
      <c r="I88" t="s">
        <v>204</v>
      </c>
      <c r="J88">
        <v>9</v>
      </c>
      <c r="K88" t="s">
        <v>1563</v>
      </c>
      <c r="L88" t="str">
        <f t="shared" si="9"/>
        <v>N</v>
      </c>
      <c r="M88" t="str">
        <f t="shared" si="10"/>
        <v>Y</v>
      </c>
      <c r="N88" t="str">
        <f t="shared" si="11"/>
        <v>N</v>
      </c>
      <c r="O88">
        <f t="shared" si="12"/>
        <v>13</v>
      </c>
      <c r="P88" s="6">
        <f t="shared" si="13"/>
        <v>0.99184149184149184</v>
      </c>
      <c r="Q88" s="6">
        <f t="shared" si="14"/>
        <v>1.0575793184488837E-2</v>
      </c>
      <c r="R88">
        <f t="shared" si="15"/>
        <v>0</v>
      </c>
      <c r="S88">
        <f t="shared" si="16"/>
        <v>4</v>
      </c>
      <c r="T88">
        <f t="shared" si="17"/>
        <v>2000</v>
      </c>
    </row>
    <row r="89" spans="1:20">
      <c r="A89" t="s">
        <v>205</v>
      </c>
      <c r="B89" t="s">
        <v>49</v>
      </c>
      <c r="C89" t="s">
        <v>16</v>
      </c>
      <c r="D89">
        <v>243</v>
      </c>
      <c r="E89" s="4">
        <v>46037</v>
      </c>
      <c r="F89" s="4">
        <v>46047</v>
      </c>
      <c r="G89" s="4">
        <v>46045</v>
      </c>
      <c r="H89">
        <v>200</v>
      </c>
      <c r="I89" t="s">
        <v>207</v>
      </c>
      <c r="J89">
        <v>1</v>
      </c>
      <c r="K89" t="s">
        <v>1563</v>
      </c>
      <c r="L89" t="str">
        <f t="shared" si="9"/>
        <v>Y</v>
      </c>
      <c r="M89" t="str">
        <f t="shared" si="10"/>
        <v>N</v>
      </c>
      <c r="N89" t="str">
        <f t="shared" si="11"/>
        <v>N</v>
      </c>
      <c r="O89">
        <f t="shared" si="12"/>
        <v>8</v>
      </c>
      <c r="P89" s="6">
        <f t="shared" si="13"/>
        <v>0.82304526748971196</v>
      </c>
      <c r="Q89" s="6">
        <f t="shared" si="14"/>
        <v>5.0000000000000001E-3</v>
      </c>
      <c r="R89">
        <f t="shared" si="15"/>
        <v>0</v>
      </c>
      <c r="S89">
        <f t="shared" si="16"/>
        <v>0</v>
      </c>
      <c r="T89">
        <f t="shared" si="17"/>
        <v>0</v>
      </c>
    </row>
    <row r="90" spans="1:20">
      <c r="A90" t="s">
        <v>208</v>
      </c>
      <c r="B90" t="s">
        <v>49</v>
      </c>
      <c r="C90" t="s">
        <v>16</v>
      </c>
      <c r="D90">
        <v>385</v>
      </c>
      <c r="E90" s="4">
        <v>46139</v>
      </c>
      <c r="F90" s="4">
        <v>46152</v>
      </c>
      <c r="G90" s="4">
        <v>46153</v>
      </c>
      <c r="H90">
        <v>389</v>
      </c>
      <c r="I90" t="s">
        <v>209</v>
      </c>
      <c r="J90">
        <v>4</v>
      </c>
      <c r="K90" t="s">
        <v>1563</v>
      </c>
      <c r="L90" t="str">
        <f t="shared" si="9"/>
        <v>N</v>
      </c>
      <c r="M90" t="str">
        <f t="shared" si="10"/>
        <v>Y</v>
      </c>
      <c r="N90" t="str">
        <f t="shared" si="11"/>
        <v>N</v>
      </c>
      <c r="O90">
        <f t="shared" si="12"/>
        <v>14</v>
      </c>
      <c r="P90" s="6">
        <f t="shared" si="13"/>
        <v>1.0103896103896104</v>
      </c>
      <c r="Q90" s="6">
        <f t="shared" si="14"/>
        <v>1.0282776349614395E-2</v>
      </c>
      <c r="R90">
        <f t="shared" si="15"/>
        <v>0</v>
      </c>
      <c r="S90">
        <f t="shared" si="16"/>
        <v>1</v>
      </c>
      <c r="T90">
        <f t="shared" si="17"/>
        <v>500</v>
      </c>
    </row>
    <row r="91" spans="1:20">
      <c r="A91" t="s">
        <v>210</v>
      </c>
      <c r="B91" t="s">
        <v>177</v>
      </c>
      <c r="C91" t="s">
        <v>12</v>
      </c>
      <c r="D91">
        <v>867</v>
      </c>
      <c r="E91" s="4">
        <v>46115</v>
      </c>
      <c r="F91" s="4">
        <v>46121</v>
      </c>
      <c r="G91" s="4">
        <v>46118</v>
      </c>
      <c r="H91">
        <v>883</v>
      </c>
      <c r="I91" t="s">
        <v>171</v>
      </c>
      <c r="J91">
        <v>21</v>
      </c>
      <c r="K91" t="s">
        <v>1563</v>
      </c>
      <c r="L91" t="str">
        <f t="shared" si="9"/>
        <v>Y</v>
      </c>
      <c r="M91" t="str">
        <f t="shared" si="10"/>
        <v>Y</v>
      </c>
      <c r="N91" t="str">
        <f t="shared" si="11"/>
        <v>Y</v>
      </c>
      <c r="O91">
        <f t="shared" si="12"/>
        <v>3</v>
      </c>
      <c r="P91" s="6">
        <f t="shared" si="13"/>
        <v>1.0184544405997693</v>
      </c>
      <c r="Q91" s="6">
        <f t="shared" si="14"/>
        <v>2.3782559456398639E-2</v>
      </c>
      <c r="R91">
        <f t="shared" si="15"/>
        <v>1</v>
      </c>
      <c r="S91">
        <f t="shared" si="16"/>
        <v>0</v>
      </c>
      <c r="T91">
        <f t="shared" si="17"/>
        <v>0</v>
      </c>
    </row>
    <row r="92" spans="1:20">
      <c r="A92" t="s">
        <v>211</v>
      </c>
      <c r="B92" t="s">
        <v>35</v>
      </c>
      <c r="C92" t="s">
        <v>12</v>
      </c>
      <c r="D92">
        <v>872</v>
      </c>
      <c r="E92" s="4">
        <v>46101</v>
      </c>
      <c r="F92" s="4">
        <v>46112</v>
      </c>
      <c r="G92" s="4">
        <v>46111</v>
      </c>
      <c r="H92">
        <v>878</v>
      </c>
      <c r="I92" t="s">
        <v>212</v>
      </c>
      <c r="J92">
        <v>28</v>
      </c>
      <c r="K92" t="s">
        <v>1563</v>
      </c>
      <c r="L92" t="str">
        <f t="shared" si="9"/>
        <v>Y</v>
      </c>
      <c r="M92" t="str">
        <f t="shared" si="10"/>
        <v>Y</v>
      </c>
      <c r="N92" t="str">
        <f t="shared" si="11"/>
        <v>Y</v>
      </c>
      <c r="O92">
        <f t="shared" si="12"/>
        <v>10</v>
      </c>
      <c r="P92" s="6">
        <f t="shared" si="13"/>
        <v>1.0068807339449541</v>
      </c>
      <c r="Q92" s="6">
        <f t="shared" si="14"/>
        <v>3.1890660592255128E-2</v>
      </c>
      <c r="R92">
        <f t="shared" si="15"/>
        <v>1</v>
      </c>
      <c r="S92">
        <f t="shared" si="16"/>
        <v>0</v>
      </c>
      <c r="T92">
        <f t="shared" si="17"/>
        <v>0</v>
      </c>
    </row>
    <row r="93" spans="1:20">
      <c r="A93" t="s">
        <v>213</v>
      </c>
      <c r="B93" t="s">
        <v>40</v>
      </c>
      <c r="C93" t="s">
        <v>12</v>
      </c>
      <c r="D93">
        <v>498</v>
      </c>
      <c r="E93" s="4">
        <v>46069</v>
      </c>
      <c r="F93" s="4">
        <v>46077</v>
      </c>
      <c r="G93" s="4"/>
      <c r="I93" t="s">
        <v>214</v>
      </c>
      <c r="K93" t="s">
        <v>1565</v>
      </c>
      <c r="L93" t="str">
        <f t="shared" si="9"/>
        <v>N/A</v>
      </c>
      <c r="M93" t="str">
        <f t="shared" si="10"/>
        <v>N/A</v>
      </c>
      <c r="N93" t="str">
        <f t="shared" si="11"/>
        <v>N/A</v>
      </c>
      <c r="O93" t="str">
        <f t="shared" si="12"/>
        <v>N/A</v>
      </c>
      <c r="P93" s="6" t="str">
        <f t="shared" si="13"/>
        <v>N/A</v>
      </c>
      <c r="Q93" s="6" t="str">
        <f t="shared" si="14"/>
        <v>N/A</v>
      </c>
      <c r="R93" t="str">
        <f t="shared" si="15"/>
        <v/>
      </c>
      <c r="S93" t="str">
        <f t="shared" si="16"/>
        <v>N/A</v>
      </c>
      <c r="T93">
        <f t="shared" si="17"/>
        <v>0</v>
      </c>
    </row>
    <row r="94" spans="1:20">
      <c r="A94" t="s">
        <v>215</v>
      </c>
      <c r="B94" t="s">
        <v>120</v>
      </c>
      <c r="C94" t="s">
        <v>23</v>
      </c>
      <c r="D94">
        <v>899</v>
      </c>
      <c r="E94" s="4">
        <v>46089</v>
      </c>
      <c r="F94" s="4">
        <v>46104</v>
      </c>
      <c r="G94" s="4">
        <v>46102</v>
      </c>
      <c r="H94">
        <v>802</v>
      </c>
      <c r="I94" t="s">
        <v>216</v>
      </c>
      <c r="J94">
        <v>37</v>
      </c>
      <c r="K94" t="s">
        <v>1563</v>
      </c>
      <c r="L94" t="str">
        <f t="shared" si="9"/>
        <v>Y</v>
      </c>
      <c r="M94" t="str">
        <f t="shared" si="10"/>
        <v>N</v>
      </c>
      <c r="N94" t="str">
        <f t="shared" si="11"/>
        <v>N</v>
      </c>
      <c r="O94">
        <f t="shared" si="12"/>
        <v>13</v>
      </c>
      <c r="P94" s="6">
        <f t="shared" si="13"/>
        <v>0.89210233592880983</v>
      </c>
      <c r="Q94" s="6">
        <f t="shared" si="14"/>
        <v>4.6134663341645885E-2</v>
      </c>
      <c r="R94">
        <f t="shared" si="15"/>
        <v>0</v>
      </c>
      <c r="S94">
        <f t="shared" si="16"/>
        <v>0</v>
      </c>
      <c r="T94">
        <f t="shared" si="17"/>
        <v>0</v>
      </c>
    </row>
    <row r="95" spans="1:20">
      <c r="A95" t="s">
        <v>217</v>
      </c>
      <c r="B95" t="s">
        <v>40</v>
      </c>
      <c r="C95" t="s">
        <v>23</v>
      </c>
      <c r="D95">
        <v>605</v>
      </c>
      <c r="E95" s="4">
        <v>46161</v>
      </c>
      <c r="F95" s="4">
        <v>46172</v>
      </c>
      <c r="G95" s="4">
        <v>46172</v>
      </c>
      <c r="H95">
        <v>595</v>
      </c>
      <c r="I95" t="s">
        <v>219</v>
      </c>
      <c r="J95">
        <v>16</v>
      </c>
      <c r="K95" t="s">
        <v>1563</v>
      </c>
      <c r="L95" t="str">
        <f t="shared" si="9"/>
        <v>Y</v>
      </c>
      <c r="M95" t="str">
        <f t="shared" si="10"/>
        <v>Y</v>
      </c>
      <c r="N95" t="str">
        <f t="shared" si="11"/>
        <v>Y</v>
      </c>
      <c r="O95">
        <f t="shared" si="12"/>
        <v>11</v>
      </c>
      <c r="P95" s="6">
        <f t="shared" si="13"/>
        <v>0.98347107438016534</v>
      </c>
      <c r="Q95" s="6">
        <f t="shared" si="14"/>
        <v>2.689075630252101E-2</v>
      </c>
      <c r="R95">
        <f t="shared" si="15"/>
        <v>1</v>
      </c>
      <c r="S95">
        <f t="shared" si="16"/>
        <v>0</v>
      </c>
      <c r="T95">
        <f t="shared" si="17"/>
        <v>0</v>
      </c>
    </row>
    <row r="96" spans="1:20">
      <c r="A96" t="s">
        <v>220</v>
      </c>
      <c r="B96" t="s">
        <v>177</v>
      </c>
      <c r="C96" t="s">
        <v>12</v>
      </c>
      <c r="D96">
        <v>225</v>
      </c>
      <c r="E96" s="4">
        <v>46032</v>
      </c>
      <c r="F96" s="4">
        <v>46046</v>
      </c>
      <c r="G96" s="4">
        <v>46055</v>
      </c>
      <c r="H96">
        <v>226</v>
      </c>
      <c r="I96" t="s">
        <v>221</v>
      </c>
      <c r="J96">
        <v>4</v>
      </c>
      <c r="K96" t="s">
        <v>1563</v>
      </c>
      <c r="L96" t="str">
        <f t="shared" si="9"/>
        <v>N</v>
      </c>
      <c r="M96" t="str">
        <f t="shared" si="10"/>
        <v>Y</v>
      </c>
      <c r="N96" t="str">
        <f t="shared" si="11"/>
        <v>N</v>
      </c>
      <c r="O96">
        <f t="shared" si="12"/>
        <v>23</v>
      </c>
      <c r="P96" s="6">
        <f t="shared" si="13"/>
        <v>1.0044444444444445</v>
      </c>
      <c r="Q96" s="6">
        <f t="shared" si="14"/>
        <v>1.7699115044247787E-2</v>
      </c>
      <c r="R96">
        <f t="shared" si="15"/>
        <v>0</v>
      </c>
      <c r="S96">
        <f t="shared" si="16"/>
        <v>9</v>
      </c>
      <c r="T96">
        <f t="shared" si="17"/>
        <v>4500</v>
      </c>
    </row>
    <row r="97" spans="1:20">
      <c r="A97" t="s">
        <v>222</v>
      </c>
      <c r="B97" t="s">
        <v>81</v>
      </c>
      <c r="C97" t="s">
        <v>16</v>
      </c>
      <c r="D97">
        <v>904</v>
      </c>
      <c r="E97" s="4">
        <v>46133</v>
      </c>
      <c r="F97" s="4">
        <v>46139</v>
      </c>
      <c r="G97" s="4">
        <v>46140</v>
      </c>
      <c r="H97">
        <v>916</v>
      </c>
      <c r="I97" t="s">
        <v>223</v>
      </c>
      <c r="J97">
        <v>13</v>
      </c>
      <c r="K97" t="s">
        <v>1563</v>
      </c>
      <c r="L97" t="str">
        <f t="shared" si="9"/>
        <v>N</v>
      </c>
      <c r="M97" t="str">
        <f t="shared" si="10"/>
        <v>Y</v>
      </c>
      <c r="N97" t="str">
        <f t="shared" si="11"/>
        <v>N</v>
      </c>
      <c r="O97">
        <f t="shared" si="12"/>
        <v>7</v>
      </c>
      <c r="P97" s="6">
        <f t="shared" si="13"/>
        <v>1.0132743362831858</v>
      </c>
      <c r="Q97" s="6">
        <f t="shared" si="14"/>
        <v>1.4192139737991267E-2</v>
      </c>
      <c r="R97">
        <f t="shared" si="15"/>
        <v>0</v>
      </c>
      <c r="S97">
        <f t="shared" si="16"/>
        <v>1</v>
      </c>
      <c r="T97">
        <f t="shared" si="17"/>
        <v>500</v>
      </c>
    </row>
    <row r="98" spans="1:20">
      <c r="A98" t="s">
        <v>224</v>
      </c>
      <c r="B98" t="s">
        <v>177</v>
      </c>
      <c r="C98" t="s">
        <v>23</v>
      </c>
      <c r="D98">
        <v>928</v>
      </c>
      <c r="E98" s="4">
        <v>46069</v>
      </c>
      <c r="F98" s="4">
        <v>46078</v>
      </c>
      <c r="G98" s="4">
        <v>46085</v>
      </c>
      <c r="H98">
        <v>935</v>
      </c>
      <c r="I98" t="s">
        <v>225</v>
      </c>
      <c r="J98">
        <v>11</v>
      </c>
      <c r="K98" t="s">
        <v>1563</v>
      </c>
      <c r="L98" t="str">
        <f t="shared" si="9"/>
        <v>N</v>
      </c>
      <c r="M98" t="str">
        <f t="shared" si="10"/>
        <v>Y</v>
      </c>
      <c r="N98" t="str">
        <f t="shared" si="11"/>
        <v>N</v>
      </c>
      <c r="O98">
        <f t="shared" si="12"/>
        <v>16</v>
      </c>
      <c r="P98" s="6">
        <f t="shared" si="13"/>
        <v>1.0075431034482758</v>
      </c>
      <c r="Q98" s="6">
        <f t="shared" si="14"/>
        <v>1.1764705882352941E-2</v>
      </c>
      <c r="R98">
        <f t="shared" si="15"/>
        <v>0</v>
      </c>
      <c r="S98">
        <f t="shared" si="16"/>
        <v>7</v>
      </c>
      <c r="T98">
        <f t="shared" si="17"/>
        <v>3500</v>
      </c>
    </row>
    <row r="99" spans="1:20">
      <c r="A99" t="s">
        <v>226</v>
      </c>
      <c r="B99" t="s">
        <v>100</v>
      </c>
      <c r="C99" t="s">
        <v>12</v>
      </c>
      <c r="D99">
        <v>184</v>
      </c>
      <c r="E99" s="4">
        <v>46047</v>
      </c>
      <c r="F99" s="4">
        <v>46056</v>
      </c>
      <c r="G99" s="4">
        <v>46063</v>
      </c>
      <c r="H99">
        <v>184</v>
      </c>
      <c r="I99" t="s">
        <v>227</v>
      </c>
      <c r="J99">
        <v>4</v>
      </c>
      <c r="K99" t="s">
        <v>1563</v>
      </c>
      <c r="L99" t="str">
        <f t="shared" si="9"/>
        <v>N</v>
      </c>
      <c r="M99" t="str">
        <f t="shared" si="10"/>
        <v>Y</v>
      </c>
      <c r="N99" t="str">
        <f t="shared" si="11"/>
        <v>N</v>
      </c>
      <c r="O99">
        <f t="shared" si="12"/>
        <v>16</v>
      </c>
      <c r="P99" s="6">
        <f t="shared" si="13"/>
        <v>1</v>
      </c>
      <c r="Q99" s="6">
        <f t="shared" si="14"/>
        <v>2.1739130434782608E-2</v>
      </c>
      <c r="R99">
        <f t="shared" si="15"/>
        <v>0</v>
      </c>
      <c r="S99">
        <f t="shared" si="16"/>
        <v>7</v>
      </c>
      <c r="T99">
        <f t="shared" si="17"/>
        <v>3500</v>
      </c>
    </row>
    <row r="100" spans="1:20">
      <c r="A100" t="s">
        <v>228</v>
      </c>
      <c r="B100" t="s">
        <v>52</v>
      </c>
      <c r="C100" t="s">
        <v>12</v>
      </c>
      <c r="D100">
        <v>936</v>
      </c>
      <c r="E100" s="4">
        <v>46057</v>
      </c>
      <c r="F100" s="4">
        <v>46065</v>
      </c>
      <c r="G100" s="4">
        <v>46064</v>
      </c>
      <c r="H100">
        <v>906</v>
      </c>
      <c r="I100" t="s">
        <v>229</v>
      </c>
      <c r="J100">
        <v>15</v>
      </c>
      <c r="K100" t="s">
        <v>1563</v>
      </c>
      <c r="L100" t="str">
        <f t="shared" si="9"/>
        <v>Y</v>
      </c>
      <c r="M100" t="str">
        <f t="shared" si="10"/>
        <v>N</v>
      </c>
      <c r="N100" t="str">
        <f t="shared" si="11"/>
        <v>N</v>
      </c>
      <c r="O100">
        <f t="shared" si="12"/>
        <v>7</v>
      </c>
      <c r="P100" s="6">
        <f t="shared" si="13"/>
        <v>0.96794871794871795</v>
      </c>
      <c r="Q100" s="6">
        <f t="shared" si="14"/>
        <v>1.6556291390728478E-2</v>
      </c>
      <c r="R100">
        <f t="shared" si="15"/>
        <v>0</v>
      </c>
      <c r="S100">
        <f t="shared" si="16"/>
        <v>0</v>
      </c>
      <c r="T100">
        <f t="shared" si="17"/>
        <v>0</v>
      </c>
    </row>
    <row r="101" spans="1:20">
      <c r="A101" t="s">
        <v>230</v>
      </c>
      <c r="B101" t="s">
        <v>46</v>
      </c>
      <c r="C101" t="s">
        <v>12</v>
      </c>
      <c r="D101">
        <v>918</v>
      </c>
      <c r="E101" s="4">
        <v>46165</v>
      </c>
      <c r="F101" s="4">
        <v>46177</v>
      </c>
      <c r="G101" s="4">
        <v>46174</v>
      </c>
      <c r="H101">
        <v>915</v>
      </c>
      <c r="I101" t="s">
        <v>231</v>
      </c>
      <c r="J101">
        <v>43</v>
      </c>
      <c r="K101" t="s">
        <v>1563</v>
      </c>
      <c r="L101" t="str">
        <f t="shared" si="9"/>
        <v>Y</v>
      </c>
      <c r="M101" t="str">
        <f t="shared" si="10"/>
        <v>Y</v>
      </c>
      <c r="N101" t="str">
        <f t="shared" si="11"/>
        <v>Y</v>
      </c>
      <c r="O101">
        <f t="shared" si="12"/>
        <v>9</v>
      </c>
      <c r="P101" s="6">
        <f t="shared" si="13"/>
        <v>0.99673202614379086</v>
      </c>
      <c r="Q101" s="6">
        <f t="shared" si="14"/>
        <v>4.6994535519125684E-2</v>
      </c>
      <c r="R101">
        <f t="shared" si="15"/>
        <v>1</v>
      </c>
      <c r="S101">
        <f t="shared" si="16"/>
        <v>0</v>
      </c>
      <c r="T101">
        <f t="shared" si="17"/>
        <v>0</v>
      </c>
    </row>
    <row r="102" spans="1:20">
      <c r="A102" t="s">
        <v>232</v>
      </c>
      <c r="B102" t="s">
        <v>11</v>
      </c>
      <c r="C102" t="s">
        <v>16</v>
      </c>
      <c r="D102">
        <v>697</v>
      </c>
      <c r="E102" s="4">
        <v>46067</v>
      </c>
      <c r="F102" s="4">
        <v>46078</v>
      </c>
      <c r="G102" s="4">
        <v>46078</v>
      </c>
      <c r="H102">
        <v>687</v>
      </c>
      <c r="I102" t="s">
        <v>233</v>
      </c>
      <c r="J102">
        <v>17</v>
      </c>
      <c r="K102" t="s">
        <v>1563</v>
      </c>
      <c r="L102" t="str">
        <f t="shared" si="9"/>
        <v>Y</v>
      </c>
      <c r="M102" t="str">
        <f t="shared" si="10"/>
        <v>Y</v>
      </c>
      <c r="N102" t="str">
        <f t="shared" si="11"/>
        <v>Y</v>
      </c>
      <c r="O102">
        <f t="shared" si="12"/>
        <v>11</v>
      </c>
      <c r="P102" s="6">
        <f t="shared" si="13"/>
        <v>0.98565279770444758</v>
      </c>
      <c r="Q102" s="6">
        <f t="shared" si="14"/>
        <v>2.4745269286754003E-2</v>
      </c>
      <c r="R102">
        <f t="shared" si="15"/>
        <v>1</v>
      </c>
      <c r="S102">
        <f t="shared" si="16"/>
        <v>0</v>
      </c>
      <c r="T102">
        <f t="shared" si="17"/>
        <v>0</v>
      </c>
    </row>
    <row r="103" spans="1:20">
      <c r="A103" t="s">
        <v>234</v>
      </c>
      <c r="B103" t="s">
        <v>43</v>
      </c>
      <c r="C103" t="s">
        <v>16</v>
      </c>
      <c r="D103">
        <v>825</v>
      </c>
      <c r="E103" s="4">
        <v>46041</v>
      </c>
      <c r="F103" s="4">
        <v>46049</v>
      </c>
      <c r="G103" s="4">
        <v>46047</v>
      </c>
      <c r="H103">
        <v>837</v>
      </c>
      <c r="I103" t="s">
        <v>235</v>
      </c>
      <c r="J103">
        <v>18</v>
      </c>
      <c r="K103" t="s">
        <v>1563</v>
      </c>
      <c r="L103" t="str">
        <f t="shared" si="9"/>
        <v>Y</v>
      </c>
      <c r="M103" t="str">
        <f t="shared" si="10"/>
        <v>Y</v>
      </c>
      <c r="N103" t="str">
        <f t="shared" si="11"/>
        <v>Y</v>
      </c>
      <c r="O103">
        <f t="shared" si="12"/>
        <v>6</v>
      </c>
      <c r="P103" s="6">
        <f t="shared" si="13"/>
        <v>1.0145454545454546</v>
      </c>
      <c r="Q103" s="6">
        <f t="shared" si="14"/>
        <v>2.1505376344086023E-2</v>
      </c>
      <c r="R103">
        <f t="shared" si="15"/>
        <v>1</v>
      </c>
      <c r="S103">
        <f t="shared" si="16"/>
        <v>0</v>
      </c>
      <c r="T103">
        <f t="shared" si="17"/>
        <v>0</v>
      </c>
    </row>
    <row r="104" spans="1:20">
      <c r="A104" t="s">
        <v>236</v>
      </c>
      <c r="B104" t="s">
        <v>54</v>
      </c>
      <c r="C104" t="s">
        <v>12</v>
      </c>
      <c r="D104">
        <v>300</v>
      </c>
      <c r="E104" s="4">
        <v>46133</v>
      </c>
      <c r="F104" s="4">
        <v>46148</v>
      </c>
      <c r="G104" s="4">
        <v>46146</v>
      </c>
      <c r="H104">
        <v>295</v>
      </c>
      <c r="I104" t="s">
        <v>1564</v>
      </c>
      <c r="J104">
        <v>4</v>
      </c>
      <c r="K104" t="s">
        <v>1563</v>
      </c>
      <c r="L104" t="str">
        <f t="shared" si="9"/>
        <v>Y</v>
      </c>
      <c r="M104" t="str">
        <f t="shared" si="10"/>
        <v>Y</v>
      </c>
      <c r="N104" t="str">
        <f t="shared" si="11"/>
        <v>Y</v>
      </c>
      <c r="O104">
        <f t="shared" si="12"/>
        <v>13</v>
      </c>
      <c r="P104" s="6">
        <f t="shared" si="13"/>
        <v>0.98333333333333328</v>
      </c>
      <c r="Q104" s="6">
        <f t="shared" si="14"/>
        <v>1.3559322033898305E-2</v>
      </c>
      <c r="R104">
        <f t="shared" si="15"/>
        <v>1</v>
      </c>
      <c r="S104">
        <f t="shared" si="16"/>
        <v>0</v>
      </c>
      <c r="T104">
        <f t="shared" si="17"/>
        <v>0</v>
      </c>
    </row>
    <row r="105" spans="1:20">
      <c r="A105" t="s">
        <v>237</v>
      </c>
      <c r="B105" t="s">
        <v>19</v>
      </c>
      <c r="C105" t="s">
        <v>16</v>
      </c>
      <c r="D105">
        <v>529</v>
      </c>
      <c r="E105" s="4">
        <v>46147</v>
      </c>
      <c r="F105" s="4">
        <v>46162</v>
      </c>
      <c r="G105" s="4">
        <v>46162</v>
      </c>
      <c r="H105">
        <v>524</v>
      </c>
      <c r="I105" t="s">
        <v>238</v>
      </c>
      <c r="J105">
        <v>25</v>
      </c>
      <c r="K105" t="s">
        <v>1563</v>
      </c>
      <c r="L105" t="str">
        <f t="shared" si="9"/>
        <v>Y</v>
      </c>
      <c r="M105" t="str">
        <f t="shared" si="10"/>
        <v>Y</v>
      </c>
      <c r="N105" t="str">
        <f t="shared" si="11"/>
        <v>Y</v>
      </c>
      <c r="O105">
        <f t="shared" si="12"/>
        <v>15</v>
      </c>
      <c r="P105" s="6">
        <f t="shared" si="13"/>
        <v>0.99054820415879019</v>
      </c>
      <c r="Q105" s="6">
        <f t="shared" si="14"/>
        <v>4.7709923664122141E-2</v>
      </c>
      <c r="R105">
        <f t="shared" si="15"/>
        <v>1</v>
      </c>
      <c r="S105">
        <f t="shared" si="16"/>
        <v>0</v>
      </c>
      <c r="T105">
        <f t="shared" si="17"/>
        <v>0</v>
      </c>
    </row>
    <row r="106" spans="1:20">
      <c r="A106" t="s">
        <v>239</v>
      </c>
      <c r="B106" t="s">
        <v>100</v>
      </c>
      <c r="C106" t="s">
        <v>12</v>
      </c>
      <c r="D106">
        <v>787</v>
      </c>
      <c r="E106" s="4">
        <v>46104</v>
      </c>
      <c r="F106" s="4">
        <v>46117</v>
      </c>
      <c r="G106" s="4">
        <v>46125</v>
      </c>
      <c r="H106">
        <v>782</v>
      </c>
      <c r="I106" t="s">
        <v>240</v>
      </c>
      <c r="J106">
        <v>10</v>
      </c>
      <c r="K106" t="s">
        <v>1563</v>
      </c>
      <c r="L106" t="str">
        <f t="shared" si="9"/>
        <v>N</v>
      </c>
      <c r="M106" t="str">
        <f t="shared" si="10"/>
        <v>Y</v>
      </c>
      <c r="N106" t="str">
        <f t="shared" si="11"/>
        <v>N</v>
      </c>
      <c r="O106">
        <f t="shared" si="12"/>
        <v>21</v>
      </c>
      <c r="P106" s="6">
        <f t="shared" si="13"/>
        <v>0.99364675984752227</v>
      </c>
      <c r="Q106" s="6">
        <f t="shared" si="14"/>
        <v>1.278772378516624E-2</v>
      </c>
      <c r="R106">
        <f t="shared" si="15"/>
        <v>0</v>
      </c>
      <c r="S106">
        <f t="shared" si="16"/>
        <v>8</v>
      </c>
      <c r="T106">
        <f t="shared" si="17"/>
        <v>4000</v>
      </c>
    </row>
    <row r="107" spans="1:20">
      <c r="A107" t="s">
        <v>241</v>
      </c>
      <c r="B107" t="s">
        <v>35</v>
      </c>
      <c r="C107" t="s">
        <v>16</v>
      </c>
      <c r="D107">
        <v>833</v>
      </c>
      <c r="E107" s="4">
        <v>46145</v>
      </c>
      <c r="F107" s="4">
        <v>46152</v>
      </c>
      <c r="G107" s="4">
        <v>46149</v>
      </c>
      <c r="H107">
        <v>847</v>
      </c>
      <c r="I107" t="s">
        <v>242</v>
      </c>
      <c r="J107">
        <v>44</v>
      </c>
      <c r="K107" t="s">
        <v>1563</v>
      </c>
      <c r="L107" t="str">
        <f t="shared" si="9"/>
        <v>Y</v>
      </c>
      <c r="M107" t="str">
        <f t="shared" si="10"/>
        <v>Y</v>
      </c>
      <c r="N107" t="str">
        <f t="shared" si="11"/>
        <v>Y</v>
      </c>
      <c r="O107">
        <f t="shared" si="12"/>
        <v>4</v>
      </c>
      <c r="P107" s="6">
        <f t="shared" si="13"/>
        <v>1.0168067226890756</v>
      </c>
      <c r="Q107" s="6">
        <f t="shared" si="14"/>
        <v>5.1948051948051951E-2</v>
      </c>
      <c r="R107">
        <f t="shared" si="15"/>
        <v>1</v>
      </c>
      <c r="S107">
        <f t="shared" si="16"/>
        <v>0</v>
      </c>
      <c r="T107">
        <f t="shared" si="17"/>
        <v>0</v>
      </c>
    </row>
    <row r="108" spans="1:20">
      <c r="A108" t="s">
        <v>243</v>
      </c>
      <c r="B108" t="s">
        <v>43</v>
      </c>
      <c r="C108" t="s">
        <v>16</v>
      </c>
      <c r="D108">
        <v>845</v>
      </c>
      <c r="E108" s="4">
        <v>46098</v>
      </c>
      <c r="F108" s="4">
        <v>46107</v>
      </c>
      <c r="G108" s="4">
        <v>46107</v>
      </c>
      <c r="H108">
        <v>762</v>
      </c>
      <c r="I108" t="s">
        <v>244</v>
      </c>
      <c r="J108">
        <v>47</v>
      </c>
      <c r="K108" t="s">
        <v>1563</v>
      </c>
      <c r="L108" t="str">
        <f t="shared" si="9"/>
        <v>Y</v>
      </c>
      <c r="M108" t="str">
        <f t="shared" si="10"/>
        <v>N</v>
      </c>
      <c r="N108" t="str">
        <f t="shared" si="11"/>
        <v>N</v>
      </c>
      <c r="O108">
        <f t="shared" si="12"/>
        <v>9</v>
      </c>
      <c r="P108" s="6">
        <f t="shared" si="13"/>
        <v>0.90177514792899405</v>
      </c>
      <c r="Q108" s="6">
        <f t="shared" si="14"/>
        <v>6.1679790026246718E-2</v>
      </c>
      <c r="R108">
        <f t="shared" si="15"/>
        <v>0</v>
      </c>
      <c r="S108">
        <f t="shared" si="16"/>
        <v>0</v>
      </c>
      <c r="T108">
        <f t="shared" si="17"/>
        <v>0</v>
      </c>
    </row>
    <row r="109" spans="1:20">
      <c r="A109" t="s">
        <v>245</v>
      </c>
      <c r="B109" t="s">
        <v>46</v>
      </c>
      <c r="C109" t="s">
        <v>12</v>
      </c>
      <c r="D109">
        <v>662</v>
      </c>
      <c r="E109" s="4">
        <v>46070</v>
      </c>
      <c r="F109" s="4">
        <v>46085</v>
      </c>
      <c r="G109" s="4">
        <v>46084</v>
      </c>
      <c r="H109">
        <v>669</v>
      </c>
      <c r="I109" t="s">
        <v>246</v>
      </c>
      <c r="J109">
        <v>59</v>
      </c>
      <c r="K109" t="s">
        <v>1563</v>
      </c>
      <c r="L109" t="str">
        <f t="shared" si="9"/>
        <v>Y</v>
      </c>
      <c r="M109" t="str">
        <f t="shared" si="10"/>
        <v>Y</v>
      </c>
      <c r="N109" t="str">
        <f t="shared" si="11"/>
        <v>Y</v>
      </c>
      <c r="O109">
        <f t="shared" si="12"/>
        <v>14</v>
      </c>
      <c r="P109" s="6">
        <f t="shared" si="13"/>
        <v>1.0105740181268883</v>
      </c>
      <c r="Q109" s="6">
        <f t="shared" si="14"/>
        <v>8.8191330343796712E-2</v>
      </c>
      <c r="R109">
        <f t="shared" si="15"/>
        <v>1</v>
      </c>
      <c r="S109">
        <f t="shared" si="16"/>
        <v>0</v>
      </c>
      <c r="T109">
        <f t="shared" si="17"/>
        <v>0</v>
      </c>
    </row>
    <row r="110" spans="1:20">
      <c r="A110" t="s">
        <v>247</v>
      </c>
      <c r="B110" t="s">
        <v>26</v>
      </c>
      <c r="C110" t="s">
        <v>23</v>
      </c>
      <c r="D110">
        <v>832</v>
      </c>
      <c r="E110" s="4">
        <v>46045</v>
      </c>
      <c r="F110" s="4">
        <v>46052</v>
      </c>
      <c r="G110" s="4">
        <v>46049</v>
      </c>
      <c r="H110">
        <v>825</v>
      </c>
      <c r="I110" t="s">
        <v>248</v>
      </c>
      <c r="J110">
        <v>25</v>
      </c>
      <c r="K110" t="s">
        <v>1563</v>
      </c>
      <c r="L110" t="str">
        <f t="shared" si="9"/>
        <v>Y</v>
      </c>
      <c r="M110" t="str">
        <f t="shared" si="10"/>
        <v>Y</v>
      </c>
      <c r="N110" t="str">
        <f t="shared" si="11"/>
        <v>Y</v>
      </c>
      <c r="O110">
        <f t="shared" si="12"/>
        <v>4</v>
      </c>
      <c r="P110" s="6">
        <f t="shared" si="13"/>
        <v>0.99158653846153844</v>
      </c>
      <c r="Q110" s="6">
        <f t="shared" si="14"/>
        <v>3.0303030303030304E-2</v>
      </c>
      <c r="R110">
        <f t="shared" si="15"/>
        <v>1</v>
      </c>
      <c r="S110">
        <f t="shared" si="16"/>
        <v>0</v>
      </c>
      <c r="T110">
        <f t="shared" si="17"/>
        <v>0</v>
      </c>
    </row>
    <row r="111" spans="1:20">
      <c r="A111" t="s">
        <v>249</v>
      </c>
      <c r="B111" t="s">
        <v>46</v>
      </c>
      <c r="C111" t="s">
        <v>16</v>
      </c>
      <c r="D111">
        <v>577</v>
      </c>
      <c r="E111" s="4">
        <v>46051</v>
      </c>
      <c r="F111" s="4">
        <v>46065</v>
      </c>
      <c r="G111" s="4">
        <v>46064</v>
      </c>
      <c r="H111">
        <v>582</v>
      </c>
      <c r="I111" t="s">
        <v>250</v>
      </c>
      <c r="J111">
        <v>1</v>
      </c>
      <c r="K111" t="s">
        <v>1563</v>
      </c>
      <c r="L111" t="str">
        <f t="shared" si="9"/>
        <v>Y</v>
      </c>
      <c r="M111" t="str">
        <f t="shared" si="10"/>
        <v>Y</v>
      </c>
      <c r="N111" t="str">
        <f t="shared" si="11"/>
        <v>Y</v>
      </c>
      <c r="O111">
        <f t="shared" si="12"/>
        <v>13</v>
      </c>
      <c r="P111" s="6">
        <f t="shared" si="13"/>
        <v>1.0086655112651646</v>
      </c>
      <c r="Q111" s="6">
        <f t="shared" si="14"/>
        <v>1.718213058419244E-3</v>
      </c>
      <c r="R111">
        <f t="shared" si="15"/>
        <v>1</v>
      </c>
      <c r="S111">
        <f t="shared" si="16"/>
        <v>0</v>
      </c>
      <c r="T111">
        <f t="shared" si="17"/>
        <v>0</v>
      </c>
    </row>
    <row r="112" spans="1:20">
      <c r="A112" t="s">
        <v>251</v>
      </c>
      <c r="B112" t="s">
        <v>22</v>
      </c>
      <c r="C112" t="s">
        <v>16</v>
      </c>
      <c r="D112">
        <v>992</v>
      </c>
      <c r="E112" s="4">
        <v>46126</v>
      </c>
      <c r="F112" s="4">
        <v>46131</v>
      </c>
      <c r="G112" s="4">
        <v>46130</v>
      </c>
      <c r="H112">
        <v>1004</v>
      </c>
      <c r="I112" t="s">
        <v>253</v>
      </c>
      <c r="J112">
        <v>49</v>
      </c>
      <c r="K112" t="s">
        <v>1563</v>
      </c>
      <c r="L112" t="str">
        <f t="shared" si="9"/>
        <v>Y</v>
      </c>
      <c r="M112" t="str">
        <f t="shared" si="10"/>
        <v>Y</v>
      </c>
      <c r="N112" t="str">
        <f t="shared" si="11"/>
        <v>Y</v>
      </c>
      <c r="O112">
        <f t="shared" si="12"/>
        <v>4</v>
      </c>
      <c r="P112" s="6">
        <f t="shared" si="13"/>
        <v>1.0120967741935485</v>
      </c>
      <c r="Q112" s="6">
        <f t="shared" si="14"/>
        <v>4.8804780876494022E-2</v>
      </c>
      <c r="R112">
        <f t="shared" si="15"/>
        <v>1</v>
      </c>
      <c r="S112">
        <f t="shared" si="16"/>
        <v>0</v>
      </c>
      <c r="T112">
        <f t="shared" si="17"/>
        <v>0</v>
      </c>
    </row>
    <row r="113" spans="1:20">
      <c r="A113" t="s">
        <v>254</v>
      </c>
      <c r="B113" t="s">
        <v>35</v>
      </c>
      <c r="C113" t="s">
        <v>16</v>
      </c>
      <c r="D113">
        <v>749</v>
      </c>
      <c r="E113" s="4">
        <v>46029</v>
      </c>
      <c r="F113" s="4">
        <v>46041</v>
      </c>
      <c r="G113" s="4">
        <v>46039</v>
      </c>
      <c r="H113">
        <v>735</v>
      </c>
      <c r="I113" t="s">
        <v>255</v>
      </c>
      <c r="J113">
        <v>1</v>
      </c>
      <c r="K113" t="s">
        <v>1563</v>
      </c>
      <c r="L113" t="str">
        <f t="shared" si="9"/>
        <v>Y</v>
      </c>
      <c r="M113" t="str">
        <f t="shared" si="10"/>
        <v>Y</v>
      </c>
      <c r="N113" t="str">
        <f t="shared" si="11"/>
        <v>Y</v>
      </c>
      <c r="O113">
        <f t="shared" si="12"/>
        <v>10</v>
      </c>
      <c r="P113" s="6">
        <f t="shared" si="13"/>
        <v>0.98130841121495327</v>
      </c>
      <c r="Q113" s="6">
        <f t="shared" si="14"/>
        <v>1.3605442176870747E-3</v>
      </c>
      <c r="R113">
        <f t="shared" si="15"/>
        <v>1</v>
      </c>
      <c r="S113">
        <f t="shared" si="16"/>
        <v>0</v>
      </c>
      <c r="T113">
        <f t="shared" si="17"/>
        <v>0</v>
      </c>
    </row>
    <row r="114" spans="1:20">
      <c r="A114" t="s">
        <v>256</v>
      </c>
      <c r="B114" t="s">
        <v>40</v>
      </c>
      <c r="C114" t="s">
        <v>23</v>
      </c>
      <c r="D114">
        <v>902</v>
      </c>
      <c r="E114" s="4">
        <v>46120</v>
      </c>
      <c r="F114" s="4">
        <v>46127</v>
      </c>
      <c r="G114" s="4">
        <v>46129</v>
      </c>
      <c r="H114">
        <v>896</v>
      </c>
      <c r="I114" t="s">
        <v>201</v>
      </c>
      <c r="J114">
        <v>69</v>
      </c>
      <c r="K114" t="s">
        <v>1563</v>
      </c>
      <c r="L114" t="str">
        <f t="shared" si="9"/>
        <v>N</v>
      </c>
      <c r="M114" t="str">
        <f t="shared" si="10"/>
        <v>Y</v>
      </c>
      <c r="N114" t="str">
        <f t="shared" si="11"/>
        <v>N</v>
      </c>
      <c r="O114">
        <f t="shared" si="12"/>
        <v>9</v>
      </c>
      <c r="P114" s="6">
        <f t="shared" si="13"/>
        <v>0.99334811529933487</v>
      </c>
      <c r="Q114" s="6">
        <f t="shared" si="14"/>
        <v>7.7008928571428575E-2</v>
      </c>
      <c r="R114">
        <f t="shared" si="15"/>
        <v>0</v>
      </c>
      <c r="S114">
        <f t="shared" si="16"/>
        <v>2</v>
      </c>
      <c r="T114">
        <f t="shared" si="17"/>
        <v>1000</v>
      </c>
    </row>
    <row r="115" spans="1:20">
      <c r="A115" t="s">
        <v>257</v>
      </c>
      <c r="B115" t="s">
        <v>67</v>
      </c>
      <c r="C115" t="s">
        <v>12</v>
      </c>
      <c r="D115">
        <v>979</v>
      </c>
      <c r="E115" s="4">
        <v>46170</v>
      </c>
      <c r="F115" s="4">
        <v>46182</v>
      </c>
      <c r="G115" s="4">
        <v>46190</v>
      </c>
      <c r="H115">
        <v>994</v>
      </c>
      <c r="I115" t="s">
        <v>258</v>
      </c>
      <c r="J115">
        <v>29</v>
      </c>
      <c r="K115" t="s">
        <v>1563</v>
      </c>
      <c r="L115" t="str">
        <f t="shared" si="9"/>
        <v>N</v>
      </c>
      <c r="M115" t="str">
        <f t="shared" si="10"/>
        <v>Y</v>
      </c>
      <c r="N115" t="str">
        <f t="shared" si="11"/>
        <v>N</v>
      </c>
      <c r="O115">
        <f t="shared" si="12"/>
        <v>20</v>
      </c>
      <c r="P115" s="6">
        <f t="shared" si="13"/>
        <v>1.0153217568947905</v>
      </c>
      <c r="Q115" s="6">
        <f t="shared" si="14"/>
        <v>2.9175050301810865E-2</v>
      </c>
      <c r="R115">
        <f t="shared" si="15"/>
        <v>0</v>
      </c>
      <c r="S115">
        <f t="shared" si="16"/>
        <v>8</v>
      </c>
      <c r="T115">
        <f t="shared" si="17"/>
        <v>4000</v>
      </c>
    </row>
    <row r="116" spans="1:20">
      <c r="A116" t="s">
        <v>259</v>
      </c>
      <c r="B116" t="s">
        <v>49</v>
      </c>
      <c r="C116" t="s">
        <v>12</v>
      </c>
      <c r="D116">
        <v>747</v>
      </c>
      <c r="E116" s="4">
        <v>46128</v>
      </c>
      <c r="F116" s="4">
        <v>46140</v>
      </c>
      <c r="G116" s="4">
        <v>46144</v>
      </c>
      <c r="H116">
        <v>743</v>
      </c>
      <c r="I116" t="s">
        <v>260</v>
      </c>
      <c r="J116">
        <v>7</v>
      </c>
      <c r="K116" t="s">
        <v>1563</v>
      </c>
      <c r="L116" t="str">
        <f t="shared" si="9"/>
        <v>N</v>
      </c>
      <c r="M116" t="str">
        <f t="shared" si="10"/>
        <v>Y</v>
      </c>
      <c r="N116" t="str">
        <f t="shared" si="11"/>
        <v>N</v>
      </c>
      <c r="O116">
        <f t="shared" si="12"/>
        <v>16</v>
      </c>
      <c r="P116" s="6">
        <f t="shared" si="13"/>
        <v>0.99464524765729589</v>
      </c>
      <c r="Q116" s="6">
        <f t="shared" si="14"/>
        <v>9.4212651413189772E-3</v>
      </c>
      <c r="R116">
        <f t="shared" si="15"/>
        <v>0</v>
      </c>
      <c r="S116">
        <f t="shared" si="16"/>
        <v>4</v>
      </c>
      <c r="T116">
        <f t="shared" si="17"/>
        <v>2000</v>
      </c>
    </row>
    <row r="117" spans="1:20">
      <c r="A117" t="s">
        <v>261</v>
      </c>
      <c r="B117" t="s">
        <v>22</v>
      </c>
      <c r="C117" t="s">
        <v>23</v>
      </c>
      <c r="D117">
        <v>584</v>
      </c>
      <c r="E117" s="4">
        <v>46154</v>
      </c>
      <c r="F117" s="4">
        <v>46164</v>
      </c>
      <c r="G117" s="4">
        <v>46170</v>
      </c>
      <c r="H117">
        <v>578</v>
      </c>
      <c r="I117" t="s">
        <v>262</v>
      </c>
      <c r="J117">
        <v>28</v>
      </c>
      <c r="K117" t="s">
        <v>1563</v>
      </c>
      <c r="L117" t="str">
        <f t="shared" si="9"/>
        <v>N</v>
      </c>
      <c r="M117" t="str">
        <f t="shared" si="10"/>
        <v>Y</v>
      </c>
      <c r="N117" t="str">
        <f t="shared" si="11"/>
        <v>N</v>
      </c>
      <c r="O117">
        <f t="shared" si="12"/>
        <v>16</v>
      </c>
      <c r="P117" s="6">
        <f t="shared" si="13"/>
        <v>0.98972602739726023</v>
      </c>
      <c r="Q117" s="6">
        <f t="shared" si="14"/>
        <v>4.8442906574394463E-2</v>
      </c>
      <c r="R117">
        <f t="shared" si="15"/>
        <v>0</v>
      </c>
      <c r="S117">
        <f t="shared" si="16"/>
        <v>6</v>
      </c>
      <c r="T117">
        <f t="shared" si="17"/>
        <v>3000</v>
      </c>
    </row>
    <row r="118" spans="1:20">
      <c r="A118" t="s">
        <v>263</v>
      </c>
      <c r="B118" t="s">
        <v>19</v>
      </c>
      <c r="C118" t="s">
        <v>12</v>
      </c>
      <c r="D118">
        <v>204</v>
      </c>
      <c r="E118" s="4">
        <v>46131</v>
      </c>
      <c r="F118" s="4">
        <v>46140</v>
      </c>
      <c r="G118" s="4">
        <v>46139</v>
      </c>
      <c r="H118">
        <v>204</v>
      </c>
      <c r="I118" t="s">
        <v>264</v>
      </c>
      <c r="J118">
        <v>2</v>
      </c>
      <c r="K118" t="s">
        <v>1563</v>
      </c>
      <c r="L118" t="str">
        <f t="shared" si="9"/>
        <v>Y</v>
      </c>
      <c r="M118" t="str">
        <f t="shared" si="10"/>
        <v>Y</v>
      </c>
      <c r="N118" t="str">
        <f t="shared" si="11"/>
        <v>Y</v>
      </c>
      <c r="O118">
        <f t="shared" si="12"/>
        <v>8</v>
      </c>
      <c r="P118" s="6">
        <f t="shared" si="13"/>
        <v>1</v>
      </c>
      <c r="Q118" s="6">
        <f t="shared" si="14"/>
        <v>9.8039215686274508E-3</v>
      </c>
      <c r="R118">
        <f t="shared" si="15"/>
        <v>1</v>
      </c>
      <c r="S118">
        <f t="shared" si="16"/>
        <v>0</v>
      </c>
      <c r="T118">
        <f t="shared" si="17"/>
        <v>0</v>
      </c>
    </row>
    <row r="119" spans="1:20">
      <c r="A119" t="s">
        <v>265</v>
      </c>
      <c r="B119" t="s">
        <v>19</v>
      </c>
      <c r="C119" t="s">
        <v>16</v>
      </c>
      <c r="D119">
        <v>167</v>
      </c>
      <c r="E119" s="4">
        <v>46084</v>
      </c>
      <c r="F119" s="4">
        <v>46091</v>
      </c>
      <c r="G119" s="4">
        <v>46088</v>
      </c>
      <c r="H119">
        <v>150</v>
      </c>
      <c r="I119" t="s">
        <v>266</v>
      </c>
      <c r="J119">
        <v>3</v>
      </c>
      <c r="K119" t="s">
        <v>1563</v>
      </c>
      <c r="L119" t="str">
        <f t="shared" si="9"/>
        <v>Y</v>
      </c>
      <c r="M119" t="str">
        <f t="shared" si="10"/>
        <v>N</v>
      </c>
      <c r="N119" t="str">
        <f t="shared" si="11"/>
        <v>N</v>
      </c>
      <c r="O119">
        <f t="shared" si="12"/>
        <v>4</v>
      </c>
      <c r="P119" s="6">
        <f t="shared" si="13"/>
        <v>0.89820359281437123</v>
      </c>
      <c r="Q119" s="6">
        <f t="shared" si="14"/>
        <v>0.02</v>
      </c>
      <c r="R119">
        <f t="shared" si="15"/>
        <v>0</v>
      </c>
      <c r="S119">
        <f t="shared" si="16"/>
        <v>0</v>
      </c>
      <c r="T119">
        <f t="shared" si="17"/>
        <v>0</v>
      </c>
    </row>
    <row r="120" spans="1:20">
      <c r="A120" t="s">
        <v>267</v>
      </c>
      <c r="B120" t="s">
        <v>54</v>
      </c>
      <c r="C120" t="s">
        <v>16</v>
      </c>
      <c r="D120">
        <v>555</v>
      </c>
      <c r="E120" s="4">
        <v>46164</v>
      </c>
      <c r="F120" s="4">
        <v>46169</v>
      </c>
      <c r="G120" s="4">
        <v>46167</v>
      </c>
      <c r="H120">
        <v>460</v>
      </c>
      <c r="I120" t="s">
        <v>268</v>
      </c>
      <c r="J120">
        <v>8</v>
      </c>
      <c r="K120" t="s">
        <v>1563</v>
      </c>
      <c r="L120" t="str">
        <f t="shared" si="9"/>
        <v>Y</v>
      </c>
      <c r="M120" t="str">
        <f t="shared" si="10"/>
        <v>N</v>
      </c>
      <c r="N120" t="str">
        <f t="shared" si="11"/>
        <v>N</v>
      </c>
      <c r="O120">
        <f t="shared" si="12"/>
        <v>3</v>
      </c>
      <c r="P120" s="6">
        <f t="shared" si="13"/>
        <v>0.8288288288288288</v>
      </c>
      <c r="Q120" s="6">
        <f t="shared" si="14"/>
        <v>1.7391304347826087E-2</v>
      </c>
      <c r="R120">
        <f t="shared" si="15"/>
        <v>0</v>
      </c>
      <c r="S120">
        <f t="shared" si="16"/>
        <v>0</v>
      </c>
      <c r="T120">
        <f t="shared" si="17"/>
        <v>0</v>
      </c>
    </row>
    <row r="121" spans="1:20">
      <c r="A121" t="s">
        <v>269</v>
      </c>
      <c r="B121" t="s">
        <v>120</v>
      </c>
      <c r="C121" t="s">
        <v>12</v>
      </c>
      <c r="D121">
        <v>346</v>
      </c>
      <c r="E121" s="4">
        <v>46035</v>
      </c>
      <c r="F121" s="4">
        <v>46044</v>
      </c>
      <c r="G121" s="4">
        <v>46041</v>
      </c>
      <c r="H121">
        <v>289</v>
      </c>
      <c r="I121" t="s">
        <v>270</v>
      </c>
      <c r="J121">
        <v>8</v>
      </c>
      <c r="K121" t="s">
        <v>1563</v>
      </c>
      <c r="L121" t="str">
        <f t="shared" si="9"/>
        <v>Y</v>
      </c>
      <c r="M121" t="str">
        <f t="shared" si="10"/>
        <v>N</v>
      </c>
      <c r="N121" t="str">
        <f t="shared" si="11"/>
        <v>N</v>
      </c>
      <c r="O121">
        <f t="shared" si="12"/>
        <v>6</v>
      </c>
      <c r="P121" s="6">
        <f t="shared" si="13"/>
        <v>0.83526011560693647</v>
      </c>
      <c r="Q121" s="6">
        <f t="shared" si="14"/>
        <v>2.768166089965398E-2</v>
      </c>
      <c r="R121">
        <f t="shared" si="15"/>
        <v>0</v>
      </c>
      <c r="S121">
        <f t="shared" si="16"/>
        <v>0</v>
      </c>
      <c r="T121">
        <f t="shared" si="17"/>
        <v>0</v>
      </c>
    </row>
    <row r="122" spans="1:20">
      <c r="A122" t="s">
        <v>271</v>
      </c>
      <c r="B122" t="s">
        <v>177</v>
      </c>
      <c r="C122" t="s">
        <v>16</v>
      </c>
      <c r="D122">
        <v>317</v>
      </c>
      <c r="E122" s="4">
        <v>46134</v>
      </c>
      <c r="F122" s="4">
        <v>46145</v>
      </c>
      <c r="G122" s="4">
        <v>46143</v>
      </c>
      <c r="H122">
        <v>312</v>
      </c>
      <c r="I122" t="s">
        <v>272</v>
      </c>
      <c r="J122">
        <v>5</v>
      </c>
      <c r="K122" t="s">
        <v>1563</v>
      </c>
      <c r="L122" t="str">
        <f t="shared" si="9"/>
        <v>Y</v>
      </c>
      <c r="M122" t="str">
        <f t="shared" si="10"/>
        <v>Y</v>
      </c>
      <c r="N122" t="str">
        <f t="shared" si="11"/>
        <v>Y</v>
      </c>
      <c r="O122">
        <f t="shared" si="12"/>
        <v>9</v>
      </c>
      <c r="P122" s="6">
        <f t="shared" si="13"/>
        <v>0.98422712933753942</v>
      </c>
      <c r="Q122" s="6">
        <f t="shared" si="14"/>
        <v>1.6025641025641024E-2</v>
      </c>
      <c r="R122">
        <f t="shared" si="15"/>
        <v>1</v>
      </c>
      <c r="S122">
        <f t="shared" si="16"/>
        <v>0</v>
      </c>
      <c r="T122">
        <f t="shared" si="17"/>
        <v>0</v>
      </c>
    </row>
    <row r="123" spans="1:20">
      <c r="A123" t="s">
        <v>273</v>
      </c>
      <c r="B123" t="s">
        <v>29</v>
      </c>
      <c r="C123" t="s">
        <v>12</v>
      </c>
      <c r="D123">
        <v>101</v>
      </c>
      <c r="E123" s="4">
        <v>46105</v>
      </c>
      <c r="F123" s="4">
        <v>46110</v>
      </c>
      <c r="G123" s="4">
        <v>46107</v>
      </c>
      <c r="H123">
        <v>100</v>
      </c>
      <c r="I123" t="s">
        <v>167</v>
      </c>
      <c r="J123">
        <v>0</v>
      </c>
      <c r="K123" t="s">
        <v>1563</v>
      </c>
      <c r="L123" t="str">
        <f t="shared" si="9"/>
        <v>Y</v>
      </c>
      <c r="M123" t="str">
        <f t="shared" si="10"/>
        <v>Y</v>
      </c>
      <c r="N123" t="str">
        <f t="shared" si="11"/>
        <v>Y</v>
      </c>
      <c r="O123">
        <f t="shared" si="12"/>
        <v>2</v>
      </c>
      <c r="P123" s="6">
        <f t="shared" si="13"/>
        <v>0.99009900990099009</v>
      </c>
      <c r="Q123" s="6">
        <f t="shared" si="14"/>
        <v>0</v>
      </c>
      <c r="R123">
        <f t="shared" si="15"/>
        <v>1</v>
      </c>
      <c r="S123">
        <f t="shared" si="16"/>
        <v>0</v>
      </c>
      <c r="T123">
        <f t="shared" si="17"/>
        <v>0</v>
      </c>
    </row>
    <row r="124" spans="1:20">
      <c r="A124" t="s">
        <v>274</v>
      </c>
      <c r="B124" t="s">
        <v>81</v>
      </c>
      <c r="C124" t="s">
        <v>23</v>
      </c>
      <c r="D124">
        <v>689</v>
      </c>
      <c r="E124" s="4">
        <v>46048</v>
      </c>
      <c r="F124" s="4">
        <v>46056</v>
      </c>
      <c r="G124" s="4">
        <v>46053</v>
      </c>
      <c r="H124">
        <v>553</v>
      </c>
      <c r="I124" t="s">
        <v>275</v>
      </c>
      <c r="J124">
        <v>6</v>
      </c>
      <c r="K124" t="s">
        <v>1563</v>
      </c>
      <c r="L124" t="str">
        <f t="shared" si="9"/>
        <v>Y</v>
      </c>
      <c r="M124" t="str">
        <f t="shared" si="10"/>
        <v>N</v>
      </c>
      <c r="N124" t="str">
        <f t="shared" si="11"/>
        <v>N</v>
      </c>
      <c r="O124">
        <f t="shared" si="12"/>
        <v>5</v>
      </c>
      <c r="P124" s="6">
        <f t="shared" si="13"/>
        <v>0.8026124818577649</v>
      </c>
      <c r="Q124" s="6">
        <f t="shared" si="14"/>
        <v>1.0849909584086799E-2</v>
      </c>
      <c r="R124">
        <f t="shared" si="15"/>
        <v>0</v>
      </c>
      <c r="S124">
        <f t="shared" si="16"/>
        <v>0</v>
      </c>
      <c r="T124">
        <f t="shared" si="17"/>
        <v>0</v>
      </c>
    </row>
    <row r="125" spans="1:20">
      <c r="A125" t="s">
        <v>276</v>
      </c>
      <c r="B125" t="s">
        <v>11</v>
      </c>
      <c r="C125" t="s">
        <v>16</v>
      </c>
      <c r="D125">
        <v>880</v>
      </c>
      <c r="E125" s="4">
        <v>46115</v>
      </c>
      <c r="F125" s="4">
        <v>46123</v>
      </c>
      <c r="G125" s="4">
        <v>46122</v>
      </c>
      <c r="H125">
        <v>876</v>
      </c>
      <c r="I125" t="s">
        <v>277</v>
      </c>
      <c r="J125">
        <v>25</v>
      </c>
      <c r="K125" t="s">
        <v>1563</v>
      </c>
      <c r="L125" t="str">
        <f t="shared" si="9"/>
        <v>Y</v>
      </c>
      <c r="M125" t="str">
        <f t="shared" si="10"/>
        <v>Y</v>
      </c>
      <c r="N125" t="str">
        <f t="shared" si="11"/>
        <v>Y</v>
      </c>
      <c r="O125">
        <f t="shared" si="12"/>
        <v>7</v>
      </c>
      <c r="P125" s="6">
        <f t="shared" si="13"/>
        <v>0.99545454545454548</v>
      </c>
      <c r="Q125" s="6">
        <f t="shared" si="14"/>
        <v>2.8538812785388126E-2</v>
      </c>
      <c r="R125">
        <f t="shared" si="15"/>
        <v>1</v>
      </c>
      <c r="S125">
        <f t="shared" si="16"/>
        <v>0</v>
      </c>
      <c r="T125">
        <f t="shared" si="17"/>
        <v>0</v>
      </c>
    </row>
    <row r="126" spans="1:20">
      <c r="A126" t="s">
        <v>278</v>
      </c>
      <c r="B126" t="s">
        <v>46</v>
      </c>
      <c r="C126" t="s">
        <v>16</v>
      </c>
      <c r="D126">
        <v>485</v>
      </c>
      <c r="E126" s="4">
        <v>46131</v>
      </c>
      <c r="F126" s="4">
        <v>46141</v>
      </c>
      <c r="G126" s="4">
        <v>46141</v>
      </c>
      <c r="H126">
        <v>482</v>
      </c>
      <c r="I126" t="s">
        <v>279</v>
      </c>
      <c r="J126">
        <v>2</v>
      </c>
      <c r="K126" t="s">
        <v>1563</v>
      </c>
      <c r="L126" t="str">
        <f t="shared" si="9"/>
        <v>Y</v>
      </c>
      <c r="M126" t="str">
        <f t="shared" si="10"/>
        <v>Y</v>
      </c>
      <c r="N126" t="str">
        <f t="shared" si="11"/>
        <v>Y</v>
      </c>
      <c r="O126">
        <f t="shared" si="12"/>
        <v>10</v>
      </c>
      <c r="P126" s="6">
        <f t="shared" si="13"/>
        <v>0.99381443298969074</v>
      </c>
      <c r="Q126" s="6">
        <f t="shared" si="14"/>
        <v>4.1493775933609959E-3</v>
      </c>
      <c r="R126">
        <f t="shared" si="15"/>
        <v>1</v>
      </c>
      <c r="S126">
        <f t="shared" si="16"/>
        <v>0</v>
      </c>
      <c r="T126">
        <f t="shared" si="17"/>
        <v>0</v>
      </c>
    </row>
    <row r="127" spans="1:20">
      <c r="A127" t="s">
        <v>280</v>
      </c>
      <c r="B127" t="s">
        <v>120</v>
      </c>
      <c r="C127" t="s">
        <v>12</v>
      </c>
      <c r="D127">
        <v>555</v>
      </c>
      <c r="E127" s="4">
        <v>46084</v>
      </c>
      <c r="F127" s="4">
        <v>46092</v>
      </c>
      <c r="G127" s="4">
        <v>46091</v>
      </c>
      <c r="H127">
        <v>560</v>
      </c>
      <c r="I127" t="s">
        <v>281</v>
      </c>
      <c r="J127">
        <v>21</v>
      </c>
      <c r="K127" t="s">
        <v>1563</v>
      </c>
      <c r="L127" t="str">
        <f t="shared" si="9"/>
        <v>Y</v>
      </c>
      <c r="M127" t="str">
        <f t="shared" si="10"/>
        <v>Y</v>
      </c>
      <c r="N127" t="str">
        <f t="shared" si="11"/>
        <v>Y</v>
      </c>
      <c r="O127">
        <f t="shared" si="12"/>
        <v>7</v>
      </c>
      <c r="P127" s="6">
        <f t="shared" si="13"/>
        <v>1.0090090090090089</v>
      </c>
      <c r="Q127" s="6">
        <f t="shared" si="14"/>
        <v>3.7499999999999999E-2</v>
      </c>
      <c r="R127">
        <f t="shared" si="15"/>
        <v>1</v>
      </c>
      <c r="S127">
        <f t="shared" si="16"/>
        <v>0</v>
      </c>
      <c r="T127">
        <f t="shared" si="17"/>
        <v>0</v>
      </c>
    </row>
    <row r="128" spans="1:20">
      <c r="A128" t="s">
        <v>282</v>
      </c>
      <c r="B128" t="s">
        <v>81</v>
      </c>
      <c r="C128" t="s">
        <v>16</v>
      </c>
      <c r="D128">
        <v>219</v>
      </c>
      <c r="E128" s="4">
        <v>46056</v>
      </c>
      <c r="F128" s="4">
        <v>46068</v>
      </c>
      <c r="G128" s="4">
        <v>46066</v>
      </c>
      <c r="H128">
        <v>216</v>
      </c>
      <c r="I128" t="s">
        <v>283</v>
      </c>
      <c r="J128">
        <v>0</v>
      </c>
      <c r="K128" t="s">
        <v>1563</v>
      </c>
      <c r="L128" t="str">
        <f t="shared" si="9"/>
        <v>Y</v>
      </c>
      <c r="M128" t="str">
        <f t="shared" si="10"/>
        <v>Y</v>
      </c>
      <c r="N128" t="str">
        <f t="shared" si="11"/>
        <v>Y</v>
      </c>
      <c r="O128">
        <f t="shared" si="12"/>
        <v>10</v>
      </c>
      <c r="P128" s="6">
        <f t="shared" si="13"/>
        <v>0.98630136986301364</v>
      </c>
      <c r="Q128" s="6">
        <f t="shared" si="14"/>
        <v>0</v>
      </c>
      <c r="R128">
        <f t="shared" si="15"/>
        <v>1</v>
      </c>
      <c r="S128">
        <f t="shared" si="16"/>
        <v>0</v>
      </c>
      <c r="T128">
        <f t="shared" si="17"/>
        <v>0</v>
      </c>
    </row>
    <row r="129" spans="1:20">
      <c r="A129" t="s">
        <v>284</v>
      </c>
      <c r="B129" t="s">
        <v>26</v>
      </c>
      <c r="C129" t="s">
        <v>23</v>
      </c>
      <c r="D129">
        <v>94</v>
      </c>
      <c r="E129" s="4">
        <v>46131</v>
      </c>
      <c r="F129" s="4">
        <v>46139</v>
      </c>
      <c r="G129" s="4">
        <v>46138</v>
      </c>
      <c r="H129">
        <v>93</v>
      </c>
      <c r="I129" t="s">
        <v>285</v>
      </c>
      <c r="J129">
        <v>2</v>
      </c>
      <c r="K129" t="s">
        <v>1563</v>
      </c>
      <c r="L129" t="str">
        <f t="shared" si="9"/>
        <v>Y</v>
      </c>
      <c r="M129" t="str">
        <f t="shared" si="10"/>
        <v>Y</v>
      </c>
      <c r="N129" t="str">
        <f t="shared" si="11"/>
        <v>Y</v>
      </c>
      <c r="O129">
        <f t="shared" si="12"/>
        <v>7</v>
      </c>
      <c r="P129" s="6">
        <f t="shared" si="13"/>
        <v>0.98936170212765961</v>
      </c>
      <c r="Q129" s="6">
        <f t="shared" si="14"/>
        <v>2.1505376344086023E-2</v>
      </c>
      <c r="R129">
        <f t="shared" si="15"/>
        <v>1</v>
      </c>
      <c r="S129">
        <f t="shared" si="16"/>
        <v>0</v>
      </c>
      <c r="T129">
        <f t="shared" si="17"/>
        <v>0</v>
      </c>
    </row>
    <row r="130" spans="1:20">
      <c r="A130" t="s">
        <v>286</v>
      </c>
      <c r="B130" t="s">
        <v>46</v>
      </c>
      <c r="C130" t="s">
        <v>12</v>
      </c>
      <c r="D130">
        <v>224</v>
      </c>
      <c r="E130" s="4">
        <v>46070</v>
      </c>
      <c r="F130" s="4">
        <v>46083</v>
      </c>
      <c r="G130" s="4">
        <v>46080</v>
      </c>
      <c r="H130">
        <v>227</v>
      </c>
      <c r="I130" t="s">
        <v>281</v>
      </c>
      <c r="J130">
        <v>11</v>
      </c>
      <c r="K130" t="s">
        <v>1563</v>
      </c>
      <c r="L130" t="str">
        <f t="shared" ref="L130:L193" si="18">IF(G130="","N/A",IF(G130&lt;=F130,"Y","N"))</f>
        <v>Y</v>
      </c>
      <c r="M130" t="str">
        <f t="shared" ref="M130:M193" si="19">IF(H130="","N/A",IF(H130&gt;=D130*0.98,"Y","N"))</f>
        <v>Y</v>
      </c>
      <c r="N130" t="str">
        <f t="shared" ref="N130:N193" si="20">IF(OR(L130="N/A",M130="N/A"),"N/A",IF(AND(L130="Y",M130="Y"),"Y","N"))</f>
        <v>Y</v>
      </c>
      <c r="O130">
        <f t="shared" ref="O130:O193" si="21">IF(G130="","N/A",G130-E130)</f>
        <v>10</v>
      </c>
      <c r="P130" s="6">
        <f t="shared" ref="P130:P193" si="22">IF(H130="","N/A",H130/D130)</f>
        <v>1.0133928571428572</v>
      </c>
      <c r="Q130" s="6">
        <f t="shared" ref="Q130:Q193" si="23">IF(H130="","N/A",IF(H130=0,0,J130/H130))</f>
        <v>4.8458149779735685E-2</v>
      </c>
      <c r="R130">
        <f t="shared" ref="R130:R193" si="24">IF(N130="Y",1,IF(N130="N",0,""))</f>
        <v>1</v>
      </c>
      <c r="S130">
        <f t="shared" ref="S130:S193" si="25">IF(G130="","N/A",MAX(G130-F130,0))</f>
        <v>0</v>
      </c>
      <c r="T130">
        <f t="shared" ref="T130:T193" si="26">IF(S130="N/A",0,S130*500)</f>
        <v>0</v>
      </c>
    </row>
    <row r="131" spans="1:20">
      <c r="A131" t="s">
        <v>287</v>
      </c>
      <c r="B131" t="s">
        <v>70</v>
      </c>
      <c r="C131" t="s">
        <v>23</v>
      </c>
      <c r="D131">
        <v>178</v>
      </c>
      <c r="E131" s="4">
        <v>46054</v>
      </c>
      <c r="F131" s="4">
        <v>46066</v>
      </c>
      <c r="G131" s="4">
        <v>46068</v>
      </c>
      <c r="H131">
        <v>181</v>
      </c>
      <c r="I131" t="s">
        <v>33</v>
      </c>
      <c r="J131">
        <v>3</v>
      </c>
      <c r="K131" t="s">
        <v>1563</v>
      </c>
      <c r="L131" t="str">
        <f t="shared" si="18"/>
        <v>N</v>
      </c>
      <c r="M131" t="str">
        <f t="shared" si="19"/>
        <v>Y</v>
      </c>
      <c r="N131" t="str">
        <f t="shared" si="20"/>
        <v>N</v>
      </c>
      <c r="O131">
        <f t="shared" si="21"/>
        <v>14</v>
      </c>
      <c r="P131" s="6">
        <f t="shared" si="22"/>
        <v>1.0168539325842696</v>
      </c>
      <c r="Q131" s="6">
        <f t="shared" si="23"/>
        <v>1.6574585635359115E-2</v>
      </c>
      <c r="R131">
        <f t="shared" si="24"/>
        <v>0</v>
      </c>
      <c r="S131">
        <f t="shared" si="25"/>
        <v>2</v>
      </c>
      <c r="T131">
        <f t="shared" si="26"/>
        <v>1000</v>
      </c>
    </row>
    <row r="132" spans="1:20">
      <c r="A132" t="s">
        <v>288</v>
      </c>
      <c r="B132" t="s">
        <v>49</v>
      </c>
      <c r="C132" t="s">
        <v>16</v>
      </c>
      <c r="D132">
        <v>660</v>
      </c>
      <c r="E132" s="4">
        <v>46120</v>
      </c>
      <c r="F132" s="4">
        <v>46125</v>
      </c>
      <c r="G132" s="4">
        <v>46125</v>
      </c>
      <c r="H132">
        <v>671</v>
      </c>
      <c r="I132" t="s">
        <v>272</v>
      </c>
      <c r="J132">
        <v>11</v>
      </c>
      <c r="K132" t="s">
        <v>1563</v>
      </c>
      <c r="L132" t="str">
        <f t="shared" si="18"/>
        <v>Y</v>
      </c>
      <c r="M132" t="str">
        <f t="shared" si="19"/>
        <v>Y</v>
      </c>
      <c r="N132" t="str">
        <f t="shared" si="20"/>
        <v>Y</v>
      </c>
      <c r="O132">
        <f t="shared" si="21"/>
        <v>5</v>
      </c>
      <c r="P132" s="6">
        <f t="shared" si="22"/>
        <v>1.0166666666666666</v>
      </c>
      <c r="Q132" s="6">
        <f t="shared" si="23"/>
        <v>1.6393442622950821E-2</v>
      </c>
      <c r="R132">
        <f t="shared" si="24"/>
        <v>1</v>
      </c>
      <c r="S132">
        <f t="shared" si="25"/>
        <v>0</v>
      </c>
      <c r="T132">
        <f t="shared" si="26"/>
        <v>0</v>
      </c>
    </row>
    <row r="133" spans="1:20">
      <c r="A133" t="s">
        <v>290</v>
      </c>
      <c r="B133" t="s">
        <v>52</v>
      </c>
      <c r="C133" t="s">
        <v>23</v>
      </c>
      <c r="D133">
        <v>930</v>
      </c>
      <c r="E133" s="4">
        <v>46054</v>
      </c>
      <c r="F133" s="4">
        <v>46062</v>
      </c>
      <c r="G133" s="4">
        <v>46062</v>
      </c>
      <c r="H133">
        <v>922</v>
      </c>
      <c r="I133" t="s">
        <v>291</v>
      </c>
      <c r="J133">
        <v>8</v>
      </c>
      <c r="K133" t="s">
        <v>1563</v>
      </c>
      <c r="L133" t="str">
        <f t="shared" si="18"/>
        <v>Y</v>
      </c>
      <c r="M133" t="str">
        <f t="shared" si="19"/>
        <v>Y</v>
      </c>
      <c r="N133" t="str">
        <f t="shared" si="20"/>
        <v>Y</v>
      </c>
      <c r="O133">
        <f t="shared" si="21"/>
        <v>8</v>
      </c>
      <c r="P133" s="6">
        <f t="shared" si="22"/>
        <v>0.99139784946236564</v>
      </c>
      <c r="Q133" s="6">
        <f t="shared" si="23"/>
        <v>8.6767895878524948E-3</v>
      </c>
      <c r="R133">
        <f t="shared" si="24"/>
        <v>1</v>
      </c>
      <c r="S133">
        <f t="shared" si="25"/>
        <v>0</v>
      </c>
      <c r="T133">
        <f t="shared" si="26"/>
        <v>0</v>
      </c>
    </row>
    <row r="134" spans="1:20">
      <c r="A134" t="s">
        <v>292</v>
      </c>
      <c r="B134" t="s">
        <v>177</v>
      </c>
      <c r="C134" t="s">
        <v>23</v>
      </c>
      <c r="D134">
        <v>254</v>
      </c>
      <c r="E134" s="4">
        <v>46153</v>
      </c>
      <c r="F134" s="4">
        <v>46168</v>
      </c>
      <c r="G134" s="4">
        <v>46166</v>
      </c>
      <c r="H134">
        <v>204</v>
      </c>
      <c r="I134" t="s">
        <v>118</v>
      </c>
      <c r="J134">
        <v>1</v>
      </c>
      <c r="K134" t="s">
        <v>1563</v>
      </c>
      <c r="L134" t="str">
        <f t="shared" si="18"/>
        <v>Y</v>
      </c>
      <c r="M134" t="str">
        <f t="shared" si="19"/>
        <v>N</v>
      </c>
      <c r="N134" t="str">
        <f t="shared" si="20"/>
        <v>N</v>
      </c>
      <c r="O134">
        <f t="shared" si="21"/>
        <v>13</v>
      </c>
      <c r="P134" s="6">
        <f t="shared" si="22"/>
        <v>0.80314960629921262</v>
      </c>
      <c r="Q134" s="6">
        <f t="shared" si="23"/>
        <v>4.9019607843137254E-3</v>
      </c>
      <c r="R134">
        <f t="shared" si="24"/>
        <v>0</v>
      </c>
      <c r="S134">
        <f t="shared" si="25"/>
        <v>0</v>
      </c>
      <c r="T134">
        <f t="shared" si="26"/>
        <v>0</v>
      </c>
    </row>
    <row r="135" spans="1:20">
      <c r="A135" t="s">
        <v>293</v>
      </c>
      <c r="B135" t="s">
        <v>100</v>
      </c>
      <c r="C135" t="s">
        <v>16</v>
      </c>
      <c r="D135">
        <v>251</v>
      </c>
      <c r="E135" s="4">
        <v>46080</v>
      </c>
      <c r="F135" s="4">
        <v>46085</v>
      </c>
      <c r="G135" s="4">
        <v>46092</v>
      </c>
      <c r="H135">
        <v>251</v>
      </c>
      <c r="I135" t="s">
        <v>294</v>
      </c>
      <c r="J135">
        <v>6</v>
      </c>
      <c r="K135" t="s">
        <v>1563</v>
      </c>
      <c r="L135" t="str">
        <f t="shared" si="18"/>
        <v>N</v>
      </c>
      <c r="M135" t="str">
        <f t="shared" si="19"/>
        <v>Y</v>
      </c>
      <c r="N135" t="str">
        <f t="shared" si="20"/>
        <v>N</v>
      </c>
      <c r="O135">
        <f t="shared" si="21"/>
        <v>12</v>
      </c>
      <c r="P135" s="6">
        <f t="shared" si="22"/>
        <v>1</v>
      </c>
      <c r="Q135" s="6">
        <f t="shared" si="23"/>
        <v>2.3904382470119521E-2</v>
      </c>
      <c r="R135">
        <f t="shared" si="24"/>
        <v>0</v>
      </c>
      <c r="S135">
        <f t="shared" si="25"/>
        <v>7</v>
      </c>
      <c r="T135">
        <f t="shared" si="26"/>
        <v>3500</v>
      </c>
    </row>
    <row r="136" spans="1:20">
      <c r="A136" t="s">
        <v>295</v>
      </c>
      <c r="B136" t="s">
        <v>70</v>
      </c>
      <c r="C136" t="s">
        <v>23</v>
      </c>
      <c r="D136">
        <v>813</v>
      </c>
      <c r="E136" s="4">
        <v>46105</v>
      </c>
      <c r="F136" s="4">
        <v>46115</v>
      </c>
      <c r="G136" s="4">
        <v>46120</v>
      </c>
      <c r="H136">
        <v>806</v>
      </c>
      <c r="I136" t="s">
        <v>296</v>
      </c>
      <c r="J136">
        <v>14</v>
      </c>
      <c r="K136" t="s">
        <v>1563</v>
      </c>
      <c r="L136" t="str">
        <f t="shared" si="18"/>
        <v>N</v>
      </c>
      <c r="M136" t="str">
        <f t="shared" si="19"/>
        <v>Y</v>
      </c>
      <c r="N136" t="str">
        <f t="shared" si="20"/>
        <v>N</v>
      </c>
      <c r="O136">
        <f t="shared" si="21"/>
        <v>15</v>
      </c>
      <c r="P136" s="6">
        <f t="shared" si="22"/>
        <v>0.991389913899139</v>
      </c>
      <c r="Q136" s="6">
        <f t="shared" si="23"/>
        <v>1.7369727047146403E-2</v>
      </c>
      <c r="R136">
        <f t="shared" si="24"/>
        <v>0</v>
      </c>
      <c r="S136">
        <f t="shared" si="25"/>
        <v>5</v>
      </c>
      <c r="T136">
        <f t="shared" si="26"/>
        <v>2500</v>
      </c>
    </row>
    <row r="137" spans="1:20">
      <c r="A137" t="s">
        <v>297</v>
      </c>
      <c r="B137" t="s">
        <v>54</v>
      </c>
      <c r="C137" t="s">
        <v>16</v>
      </c>
      <c r="D137">
        <v>310</v>
      </c>
      <c r="E137" s="4">
        <v>46086</v>
      </c>
      <c r="F137" s="4">
        <v>46100</v>
      </c>
      <c r="G137" s="4">
        <v>46098</v>
      </c>
      <c r="H137">
        <v>307</v>
      </c>
      <c r="I137" t="s">
        <v>298</v>
      </c>
      <c r="J137">
        <v>0</v>
      </c>
      <c r="K137" t="s">
        <v>1563</v>
      </c>
      <c r="L137" t="str">
        <f t="shared" si="18"/>
        <v>Y</v>
      </c>
      <c r="M137" t="str">
        <f t="shared" si="19"/>
        <v>Y</v>
      </c>
      <c r="N137" t="str">
        <f t="shared" si="20"/>
        <v>Y</v>
      </c>
      <c r="O137">
        <f t="shared" si="21"/>
        <v>12</v>
      </c>
      <c r="P137" s="6">
        <f t="shared" si="22"/>
        <v>0.99032258064516132</v>
      </c>
      <c r="Q137" s="6">
        <f t="shared" si="23"/>
        <v>0</v>
      </c>
      <c r="R137">
        <f t="shared" si="24"/>
        <v>1</v>
      </c>
      <c r="S137">
        <f t="shared" si="25"/>
        <v>0</v>
      </c>
      <c r="T137">
        <f t="shared" si="26"/>
        <v>0</v>
      </c>
    </row>
    <row r="138" spans="1:20">
      <c r="A138" t="s">
        <v>299</v>
      </c>
      <c r="B138" t="s">
        <v>52</v>
      </c>
      <c r="C138" t="s">
        <v>16</v>
      </c>
      <c r="D138">
        <v>677</v>
      </c>
      <c r="E138" s="4">
        <v>46119</v>
      </c>
      <c r="F138" s="4">
        <v>46132</v>
      </c>
      <c r="G138" s="4">
        <v>46131</v>
      </c>
      <c r="H138">
        <v>574</v>
      </c>
      <c r="I138" t="s">
        <v>255</v>
      </c>
      <c r="J138">
        <v>9</v>
      </c>
      <c r="K138" t="s">
        <v>1563</v>
      </c>
      <c r="L138" t="str">
        <f t="shared" si="18"/>
        <v>Y</v>
      </c>
      <c r="M138" t="str">
        <f t="shared" si="19"/>
        <v>N</v>
      </c>
      <c r="N138" t="str">
        <f t="shared" si="20"/>
        <v>N</v>
      </c>
      <c r="O138">
        <f t="shared" si="21"/>
        <v>12</v>
      </c>
      <c r="P138" s="6">
        <f t="shared" si="22"/>
        <v>0.84785819793205319</v>
      </c>
      <c r="Q138" s="6">
        <f t="shared" si="23"/>
        <v>1.5679442508710801E-2</v>
      </c>
      <c r="R138">
        <f t="shared" si="24"/>
        <v>0</v>
      </c>
      <c r="S138">
        <f t="shared" si="25"/>
        <v>0</v>
      </c>
      <c r="T138">
        <f t="shared" si="26"/>
        <v>0</v>
      </c>
    </row>
    <row r="139" spans="1:20">
      <c r="A139" t="s">
        <v>300</v>
      </c>
      <c r="B139" t="s">
        <v>100</v>
      </c>
      <c r="C139" t="s">
        <v>16</v>
      </c>
      <c r="D139">
        <v>238</v>
      </c>
      <c r="E139" s="4">
        <v>46108</v>
      </c>
      <c r="F139" s="4">
        <v>46115</v>
      </c>
      <c r="G139" s="4">
        <v>46118</v>
      </c>
      <c r="H139">
        <v>234</v>
      </c>
      <c r="I139" t="s">
        <v>301</v>
      </c>
      <c r="J139">
        <v>1</v>
      </c>
      <c r="K139" t="s">
        <v>1563</v>
      </c>
      <c r="L139" t="str">
        <f t="shared" si="18"/>
        <v>N</v>
      </c>
      <c r="M139" t="str">
        <f t="shared" si="19"/>
        <v>Y</v>
      </c>
      <c r="N139" t="str">
        <f t="shared" si="20"/>
        <v>N</v>
      </c>
      <c r="O139">
        <f t="shared" si="21"/>
        <v>10</v>
      </c>
      <c r="P139" s="6">
        <f t="shared" si="22"/>
        <v>0.98319327731092432</v>
      </c>
      <c r="Q139" s="6">
        <f t="shared" si="23"/>
        <v>4.2735042735042739E-3</v>
      </c>
      <c r="R139">
        <f t="shared" si="24"/>
        <v>0</v>
      </c>
      <c r="S139">
        <f t="shared" si="25"/>
        <v>3</v>
      </c>
      <c r="T139">
        <f t="shared" si="26"/>
        <v>1500</v>
      </c>
    </row>
    <row r="140" spans="1:20">
      <c r="A140" t="s">
        <v>302</v>
      </c>
      <c r="B140" t="s">
        <v>54</v>
      </c>
      <c r="C140" t="s">
        <v>23</v>
      </c>
      <c r="D140">
        <v>264</v>
      </c>
      <c r="E140" s="4">
        <v>46051</v>
      </c>
      <c r="F140" s="4">
        <v>46062</v>
      </c>
      <c r="G140" s="4">
        <v>46069</v>
      </c>
      <c r="H140">
        <v>261</v>
      </c>
      <c r="I140" t="s">
        <v>103</v>
      </c>
      <c r="J140">
        <v>4</v>
      </c>
      <c r="K140" t="s">
        <v>1563</v>
      </c>
      <c r="L140" t="str">
        <f t="shared" si="18"/>
        <v>N</v>
      </c>
      <c r="M140" t="str">
        <f t="shared" si="19"/>
        <v>Y</v>
      </c>
      <c r="N140" t="str">
        <f t="shared" si="20"/>
        <v>N</v>
      </c>
      <c r="O140">
        <f t="shared" si="21"/>
        <v>18</v>
      </c>
      <c r="P140" s="6">
        <f t="shared" si="22"/>
        <v>0.98863636363636365</v>
      </c>
      <c r="Q140" s="6">
        <f t="shared" si="23"/>
        <v>1.532567049808429E-2</v>
      </c>
      <c r="R140">
        <f t="shared" si="24"/>
        <v>0</v>
      </c>
      <c r="S140">
        <f t="shared" si="25"/>
        <v>7</v>
      </c>
      <c r="T140">
        <f t="shared" si="26"/>
        <v>3500</v>
      </c>
    </row>
    <row r="141" spans="1:20">
      <c r="A141" t="s">
        <v>304</v>
      </c>
      <c r="B141" t="s">
        <v>22</v>
      </c>
      <c r="C141" t="s">
        <v>12</v>
      </c>
      <c r="D141">
        <v>912</v>
      </c>
      <c r="E141" s="4">
        <v>46175</v>
      </c>
      <c r="F141" s="4">
        <v>46188</v>
      </c>
      <c r="G141" s="4">
        <v>46194</v>
      </c>
      <c r="H141">
        <v>895</v>
      </c>
      <c r="I141" t="s">
        <v>305</v>
      </c>
      <c r="J141">
        <v>7</v>
      </c>
      <c r="K141" t="s">
        <v>1563</v>
      </c>
      <c r="L141" t="str">
        <f t="shared" si="18"/>
        <v>N</v>
      </c>
      <c r="M141" t="str">
        <f t="shared" si="19"/>
        <v>Y</v>
      </c>
      <c r="N141" t="str">
        <f t="shared" si="20"/>
        <v>N</v>
      </c>
      <c r="O141">
        <f t="shared" si="21"/>
        <v>19</v>
      </c>
      <c r="P141" s="6">
        <f t="shared" si="22"/>
        <v>0.98135964912280704</v>
      </c>
      <c r="Q141" s="6">
        <f t="shared" si="23"/>
        <v>7.82122905027933E-3</v>
      </c>
      <c r="R141">
        <f t="shared" si="24"/>
        <v>0</v>
      </c>
      <c r="S141">
        <f t="shared" si="25"/>
        <v>6</v>
      </c>
      <c r="T141">
        <f t="shared" si="26"/>
        <v>3000</v>
      </c>
    </row>
    <row r="142" spans="1:20">
      <c r="A142" t="s">
        <v>306</v>
      </c>
      <c r="B142" t="s">
        <v>70</v>
      </c>
      <c r="C142" t="s">
        <v>12</v>
      </c>
      <c r="D142">
        <v>798</v>
      </c>
      <c r="E142" s="4">
        <v>46139</v>
      </c>
      <c r="F142" s="4">
        <v>46152</v>
      </c>
      <c r="G142" s="4">
        <v>46149</v>
      </c>
      <c r="H142">
        <v>795</v>
      </c>
      <c r="I142" t="s">
        <v>307</v>
      </c>
      <c r="J142">
        <v>3</v>
      </c>
      <c r="K142" t="s">
        <v>1563</v>
      </c>
      <c r="L142" t="str">
        <f t="shared" si="18"/>
        <v>Y</v>
      </c>
      <c r="M142" t="str">
        <f t="shared" si="19"/>
        <v>Y</v>
      </c>
      <c r="N142" t="str">
        <f t="shared" si="20"/>
        <v>Y</v>
      </c>
      <c r="O142">
        <f t="shared" si="21"/>
        <v>10</v>
      </c>
      <c r="P142" s="6">
        <f t="shared" si="22"/>
        <v>0.99624060150375937</v>
      </c>
      <c r="Q142" s="6">
        <f t="shared" si="23"/>
        <v>3.7735849056603774E-3</v>
      </c>
      <c r="R142">
        <f t="shared" si="24"/>
        <v>1</v>
      </c>
      <c r="S142">
        <f t="shared" si="25"/>
        <v>0</v>
      </c>
      <c r="T142">
        <f t="shared" si="26"/>
        <v>0</v>
      </c>
    </row>
    <row r="143" spans="1:20">
      <c r="A143" t="s">
        <v>308</v>
      </c>
      <c r="B143" t="s">
        <v>54</v>
      </c>
      <c r="C143" t="s">
        <v>16</v>
      </c>
      <c r="D143">
        <v>249</v>
      </c>
      <c r="E143" s="4">
        <v>46094</v>
      </c>
      <c r="F143" s="4">
        <v>46100</v>
      </c>
      <c r="G143" s="4">
        <v>46100</v>
      </c>
      <c r="H143">
        <v>253</v>
      </c>
      <c r="I143" t="s">
        <v>242</v>
      </c>
      <c r="J143">
        <v>2</v>
      </c>
      <c r="K143" t="s">
        <v>1563</v>
      </c>
      <c r="L143" t="str">
        <f t="shared" si="18"/>
        <v>Y</v>
      </c>
      <c r="M143" t="str">
        <f t="shared" si="19"/>
        <v>Y</v>
      </c>
      <c r="N143" t="str">
        <f t="shared" si="20"/>
        <v>Y</v>
      </c>
      <c r="O143">
        <f t="shared" si="21"/>
        <v>6</v>
      </c>
      <c r="P143" s="6">
        <f t="shared" si="22"/>
        <v>1.0160642570281124</v>
      </c>
      <c r="Q143" s="6">
        <f t="shared" si="23"/>
        <v>7.9051383399209481E-3</v>
      </c>
      <c r="R143">
        <f t="shared" si="24"/>
        <v>1</v>
      </c>
      <c r="S143">
        <f t="shared" si="25"/>
        <v>0</v>
      </c>
      <c r="T143">
        <f t="shared" si="26"/>
        <v>0</v>
      </c>
    </row>
    <row r="144" spans="1:20">
      <c r="A144" t="s">
        <v>309</v>
      </c>
      <c r="B144" t="s">
        <v>26</v>
      </c>
      <c r="C144" t="s">
        <v>12</v>
      </c>
      <c r="D144">
        <v>684</v>
      </c>
      <c r="E144" s="4">
        <v>46144</v>
      </c>
      <c r="F144" s="4">
        <v>46158</v>
      </c>
      <c r="G144" s="4">
        <v>46156</v>
      </c>
      <c r="H144">
        <v>599</v>
      </c>
      <c r="I144" t="s">
        <v>310</v>
      </c>
      <c r="J144">
        <v>12</v>
      </c>
      <c r="K144" t="s">
        <v>1563</v>
      </c>
      <c r="L144" t="str">
        <f t="shared" si="18"/>
        <v>Y</v>
      </c>
      <c r="M144" t="str">
        <f t="shared" si="19"/>
        <v>N</v>
      </c>
      <c r="N144" t="str">
        <f t="shared" si="20"/>
        <v>N</v>
      </c>
      <c r="O144">
        <f t="shared" si="21"/>
        <v>12</v>
      </c>
      <c r="P144" s="6">
        <f t="shared" si="22"/>
        <v>0.8757309941520468</v>
      </c>
      <c r="Q144" s="6">
        <f t="shared" si="23"/>
        <v>2.003338898163606E-2</v>
      </c>
      <c r="R144">
        <f t="shared" si="24"/>
        <v>0</v>
      </c>
      <c r="S144">
        <f t="shared" si="25"/>
        <v>0</v>
      </c>
      <c r="T144">
        <f t="shared" si="26"/>
        <v>0</v>
      </c>
    </row>
    <row r="145" spans="1:20">
      <c r="A145" t="s">
        <v>311</v>
      </c>
      <c r="B145" t="s">
        <v>120</v>
      </c>
      <c r="C145" t="s">
        <v>12</v>
      </c>
      <c r="D145">
        <v>678</v>
      </c>
      <c r="E145" s="4">
        <v>46055</v>
      </c>
      <c r="F145" s="4">
        <v>46064</v>
      </c>
      <c r="G145" s="4">
        <v>46062</v>
      </c>
      <c r="H145">
        <v>599</v>
      </c>
      <c r="I145" t="s">
        <v>312</v>
      </c>
      <c r="J145">
        <v>16</v>
      </c>
      <c r="K145" t="s">
        <v>1563</v>
      </c>
      <c r="L145" t="str">
        <f t="shared" si="18"/>
        <v>Y</v>
      </c>
      <c r="M145" t="str">
        <f t="shared" si="19"/>
        <v>N</v>
      </c>
      <c r="N145" t="str">
        <f t="shared" si="20"/>
        <v>N</v>
      </c>
      <c r="O145">
        <f t="shared" si="21"/>
        <v>7</v>
      </c>
      <c r="P145" s="6">
        <f t="shared" si="22"/>
        <v>0.88348082595870203</v>
      </c>
      <c r="Q145" s="6">
        <f t="shared" si="23"/>
        <v>2.6711185308848081E-2</v>
      </c>
      <c r="R145">
        <f t="shared" si="24"/>
        <v>0</v>
      </c>
      <c r="S145">
        <f t="shared" si="25"/>
        <v>0</v>
      </c>
      <c r="T145">
        <f t="shared" si="26"/>
        <v>0</v>
      </c>
    </row>
    <row r="146" spans="1:20">
      <c r="A146" t="s">
        <v>313</v>
      </c>
      <c r="B146" t="s">
        <v>35</v>
      </c>
      <c r="C146" t="s">
        <v>23</v>
      </c>
      <c r="D146">
        <v>572</v>
      </c>
      <c r="E146" s="4">
        <v>46117</v>
      </c>
      <c r="F146" s="4">
        <v>46131</v>
      </c>
      <c r="G146" s="4">
        <v>46138</v>
      </c>
      <c r="H146">
        <v>483</v>
      </c>
      <c r="I146" t="s">
        <v>314</v>
      </c>
      <c r="J146">
        <v>12</v>
      </c>
      <c r="K146" t="s">
        <v>1563</v>
      </c>
      <c r="L146" t="str">
        <f t="shared" si="18"/>
        <v>N</v>
      </c>
      <c r="M146" t="str">
        <f t="shared" si="19"/>
        <v>N</v>
      </c>
      <c r="N146" t="str">
        <f t="shared" si="20"/>
        <v>N</v>
      </c>
      <c r="O146">
        <f t="shared" si="21"/>
        <v>21</v>
      </c>
      <c r="P146" s="6">
        <f t="shared" si="22"/>
        <v>0.84440559440559437</v>
      </c>
      <c r="Q146" s="6">
        <f t="shared" si="23"/>
        <v>2.4844720496894408E-2</v>
      </c>
      <c r="R146">
        <f t="shared" si="24"/>
        <v>0</v>
      </c>
      <c r="S146">
        <f t="shared" si="25"/>
        <v>7</v>
      </c>
      <c r="T146">
        <f t="shared" si="26"/>
        <v>3500</v>
      </c>
    </row>
    <row r="147" spans="1:20">
      <c r="A147" t="s">
        <v>315</v>
      </c>
      <c r="B147" t="s">
        <v>52</v>
      </c>
      <c r="C147" t="s">
        <v>16</v>
      </c>
      <c r="D147">
        <v>250</v>
      </c>
      <c r="E147" s="4">
        <v>46149</v>
      </c>
      <c r="F147" s="4">
        <v>46159</v>
      </c>
      <c r="G147" s="4">
        <v>46158</v>
      </c>
      <c r="H147">
        <v>247</v>
      </c>
      <c r="I147" t="s">
        <v>316</v>
      </c>
      <c r="J147">
        <v>1</v>
      </c>
      <c r="K147" t="s">
        <v>1563</v>
      </c>
      <c r="L147" t="str">
        <f t="shared" si="18"/>
        <v>Y</v>
      </c>
      <c r="M147" t="str">
        <f t="shared" si="19"/>
        <v>Y</v>
      </c>
      <c r="N147" t="str">
        <f t="shared" si="20"/>
        <v>Y</v>
      </c>
      <c r="O147">
        <f t="shared" si="21"/>
        <v>9</v>
      </c>
      <c r="P147" s="6">
        <f t="shared" si="22"/>
        <v>0.98799999999999999</v>
      </c>
      <c r="Q147" s="6">
        <f t="shared" si="23"/>
        <v>4.048582995951417E-3</v>
      </c>
      <c r="R147">
        <f t="shared" si="24"/>
        <v>1</v>
      </c>
      <c r="S147">
        <f t="shared" si="25"/>
        <v>0</v>
      </c>
      <c r="T147">
        <f t="shared" si="26"/>
        <v>0</v>
      </c>
    </row>
    <row r="148" spans="1:20">
      <c r="A148" t="s">
        <v>317</v>
      </c>
      <c r="B148" t="s">
        <v>52</v>
      </c>
      <c r="C148" t="s">
        <v>16</v>
      </c>
      <c r="D148">
        <v>663</v>
      </c>
      <c r="E148" s="4">
        <v>46147</v>
      </c>
      <c r="F148" s="4">
        <v>46161</v>
      </c>
      <c r="G148" s="4">
        <v>46158</v>
      </c>
      <c r="H148">
        <v>618</v>
      </c>
      <c r="I148" t="s">
        <v>318</v>
      </c>
      <c r="J148">
        <v>5</v>
      </c>
      <c r="K148" t="s">
        <v>1563</v>
      </c>
      <c r="L148" t="str">
        <f t="shared" si="18"/>
        <v>Y</v>
      </c>
      <c r="M148" t="str">
        <f t="shared" si="19"/>
        <v>N</v>
      </c>
      <c r="N148" t="str">
        <f t="shared" si="20"/>
        <v>N</v>
      </c>
      <c r="O148">
        <f t="shared" si="21"/>
        <v>11</v>
      </c>
      <c r="P148" s="6">
        <f t="shared" si="22"/>
        <v>0.9321266968325792</v>
      </c>
      <c r="Q148" s="6">
        <f t="shared" si="23"/>
        <v>8.0906148867313909E-3</v>
      </c>
      <c r="R148">
        <f t="shared" si="24"/>
        <v>0</v>
      </c>
      <c r="S148">
        <f t="shared" si="25"/>
        <v>0</v>
      </c>
      <c r="T148">
        <f t="shared" si="26"/>
        <v>0</v>
      </c>
    </row>
    <row r="149" spans="1:20">
      <c r="A149" t="s">
        <v>319</v>
      </c>
      <c r="B149" t="s">
        <v>32</v>
      </c>
      <c r="C149" t="s">
        <v>16</v>
      </c>
      <c r="D149">
        <v>728</v>
      </c>
      <c r="E149" s="4">
        <v>46141</v>
      </c>
      <c r="F149" s="4">
        <v>46155</v>
      </c>
      <c r="G149" s="4">
        <v>46155</v>
      </c>
      <c r="H149">
        <v>724</v>
      </c>
      <c r="I149" t="s">
        <v>320</v>
      </c>
      <c r="J149">
        <v>34</v>
      </c>
      <c r="K149" t="s">
        <v>1563</v>
      </c>
      <c r="L149" t="str">
        <f t="shared" si="18"/>
        <v>Y</v>
      </c>
      <c r="M149" t="str">
        <f t="shared" si="19"/>
        <v>Y</v>
      </c>
      <c r="N149" t="str">
        <f t="shared" si="20"/>
        <v>Y</v>
      </c>
      <c r="O149">
        <f t="shared" si="21"/>
        <v>14</v>
      </c>
      <c r="P149" s="6">
        <f t="shared" si="22"/>
        <v>0.99450549450549453</v>
      </c>
      <c r="Q149" s="6">
        <f t="shared" si="23"/>
        <v>4.6961325966850827E-2</v>
      </c>
      <c r="R149">
        <f t="shared" si="24"/>
        <v>1</v>
      </c>
      <c r="S149">
        <f t="shared" si="25"/>
        <v>0</v>
      </c>
      <c r="T149">
        <f t="shared" si="26"/>
        <v>0</v>
      </c>
    </row>
    <row r="150" spans="1:20">
      <c r="A150" t="s">
        <v>321</v>
      </c>
      <c r="B150" t="s">
        <v>35</v>
      </c>
      <c r="C150" t="s">
        <v>23</v>
      </c>
      <c r="D150">
        <v>842</v>
      </c>
      <c r="E150" s="4">
        <v>46107</v>
      </c>
      <c r="F150" s="4">
        <v>46113</v>
      </c>
      <c r="G150" s="4">
        <v>46122</v>
      </c>
      <c r="H150">
        <v>836</v>
      </c>
      <c r="I150" t="s">
        <v>323</v>
      </c>
      <c r="J150">
        <v>53</v>
      </c>
      <c r="K150" t="s">
        <v>1563</v>
      </c>
      <c r="L150" t="str">
        <f t="shared" si="18"/>
        <v>N</v>
      </c>
      <c r="M150" t="str">
        <f t="shared" si="19"/>
        <v>Y</v>
      </c>
      <c r="N150" t="str">
        <f t="shared" si="20"/>
        <v>N</v>
      </c>
      <c r="O150">
        <f t="shared" si="21"/>
        <v>15</v>
      </c>
      <c r="P150" s="6">
        <f t="shared" si="22"/>
        <v>0.99287410926365793</v>
      </c>
      <c r="Q150" s="6">
        <f t="shared" si="23"/>
        <v>6.3397129186602869E-2</v>
      </c>
      <c r="R150">
        <f t="shared" si="24"/>
        <v>0</v>
      </c>
      <c r="S150">
        <f t="shared" si="25"/>
        <v>9</v>
      </c>
      <c r="T150">
        <f t="shared" si="26"/>
        <v>4500</v>
      </c>
    </row>
    <row r="151" spans="1:20">
      <c r="A151" t="s">
        <v>324</v>
      </c>
      <c r="B151" t="s">
        <v>177</v>
      </c>
      <c r="C151" t="s">
        <v>16</v>
      </c>
      <c r="D151">
        <v>605</v>
      </c>
      <c r="E151" s="4">
        <v>46156</v>
      </c>
      <c r="F151" s="4">
        <v>46170</v>
      </c>
      <c r="G151" s="4">
        <v>46173</v>
      </c>
      <c r="H151">
        <v>615</v>
      </c>
      <c r="I151" t="s">
        <v>283</v>
      </c>
      <c r="J151">
        <v>17</v>
      </c>
      <c r="K151" t="s">
        <v>1563</v>
      </c>
      <c r="L151" t="str">
        <f t="shared" si="18"/>
        <v>N</v>
      </c>
      <c r="M151" t="str">
        <f t="shared" si="19"/>
        <v>Y</v>
      </c>
      <c r="N151" t="str">
        <f t="shared" si="20"/>
        <v>N</v>
      </c>
      <c r="O151">
        <f t="shared" si="21"/>
        <v>17</v>
      </c>
      <c r="P151" s="6">
        <f t="shared" si="22"/>
        <v>1.0165289256198347</v>
      </c>
      <c r="Q151" s="6">
        <f t="shared" si="23"/>
        <v>2.7642276422764227E-2</v>
      </c>
      <c r="R151">
        <f t="shared" si="24"/>
        <v>0</v>
      </c>
      <c r="S151">
        <f t="shared" si="25"/>
        <v>3</v>
      </c>
      <c r="T151">
        <f t="shared" si="26"/>
        <v>1500</v>
      </c>
    </row>
    <row r="152" spans="1:20">
      <c r="A152" t="s">
        <v>326</v>
      </c>
      <c r="B152" t="s">
        <v>100</v>
      </c>
      <c r="C152" t="s">
        <v>16</v>
      </c>
      <c r="D152">
        <v>316</v>
      </c>
      <c r="E152" s="4">
        <v>46057</v>
      </c>
      <c r="F152" s="4">
        <v>46072</v>
      </c>
      <c r="G152" s="4">
        <v>46070</v>
      </c>
      <c r="H152">
        <v>311</v>
      </c>
      <c r="I152" t="s">
        <v>209</v>
      </c>
      <c r="J152">
        <v>8</v>
      </c>
      <c r="K152" t="s">
        <v>1563</v>
      </c>
      <c r="L152" t="str">
        <f t="shared" si="18"/>
        <v>Y</v>
      </c>
      <c r="M152" t="str">
        <f t="shared" si="19"/>
        <v>Y</v>
      </c>
      <c r="N152" t="str">
        <f t="shared" si="20"/>
        <v>Y</v>
      </c>
      <c r="O152">
        <f t="shared" si="21"/>
        <v>13</v>
      </c>
      <c r="P152" s="6">
        <f t="shared" si="22"/>
        <v>0.98417721518987344</v>
      </c>
      <c r="Q152" s="6">
        <f t="shared" si="23"/>
        <v>2.5723472668810289E-2</v>
      </c>
      <c r="R152">
        <f t="shared" si="24"/>
        <v>1</v>
      </c>
      <c r="S152">
        <f t="shared" si="25"/>
        <v>0</v>
      </c>
      <c r="T152">
        <f t="shared" si="26"/>
        <v>0</v>
      </c>
    </row>
    <row r="153" spans="1:20">
      <c r="A153" t="s">
        <v>328</v>
      </c>
      <c r="B153" t="s">
        <v>35</v>
      </c>
      <c r="C153" t="s">
        <v>12</v>
      </c>
      <c r="D153">
        <v>238</v>
      </c>
      <c r="E153" s="4">
        <v>46115</v>
      </c>
      <c r="F153" s="4">
        <v>46122</v>
      </c>
      <c r="G153" s="4">
        <v>46131</v>
      </c>
      <c r="H153">
        <v>240</v>
      </c>
      <c r="I153" t="s">
        <v>330</v>
      </c>
      <c r="J153">
        <v>5</v>
      </c>
      <c r="K153" t="s">
        <v>1563</v>
      </c>
      <c r="L153" t="str">
        <f t="shared" si="18"/>
        <v>N</v>
      </c>
      <c r="M153" t="str">
        <f t="shared" si="19"/>
        <v>Y</v>
      </c>
      <c r="N153" t="str">
        <f t="shared" si="20"/>
        <v>N</v>
      </c>
      <c r="O153">
        <f t="shared" si="21"/>
        <v>16</v>
      </c>
      <c r="P153" s="6">
        <f t="shared" si="22"/>
        <v>1.0084033613445378</v>
      </c>
      <c r="Q153" s="6">
        <f t="shared" si="23"/>
        <v>2.0833333333333332E-2</v>
      </c>
      <c r="R153">
        <f t="shared" si="24"/>
        <v>0</v>
      </c>
      <c r="S153">
        <f t="shared" si="25"/>
        <v>9</v>
      </c>
      <c r="T153">
        <f t="shared" si="26"/>
        <v>4500</v>
      </c>
    </row>
    <row r="154" spans="1:20">
      <c r="A154" t="s">
        <v>331</v>
      </c>
      <c r="B154" t="s">
        <v>22</v>
      </c>
      <c r="C154" t="s">
        <v>23</v>
      </c>
      <c r="D154">
        <v>585</v>
      </c>
      <c r="E154" s="4">
        <v>46096</v>
      </c>
      <c r="F154" s="4">
        <v>46106</v>
      </c>
      <c r="G154" s="4">
        <v>46104</v>
      </c>
      <c r="H154">
        <v>554</v>
      </c>
      <c r="I154" t="s">
        <v>332</v>
      </c>
      <c r="J154">
        <v>13</v>
      </c>
      <c r="K154" t="s">
        <v>1563</v>
      </c>
      <c r="L154" t="str">
        <f t="shared" si="18"/>
        <v>Y</v>
      </c>
      <c r="M154" t="str">
        <f t="shared" si="19"/>
        <v>N</v>
      </c>
      <c r="N154" t="str">
        <f t="shared" si="20"/>
        <v>N</v>
      </c>
      <c r="O154">
        <f t="shared" si="21"/>
        <v>8</v>
      </c>
      <c r="P154" s="6">
        <f t="shared" si="22"/>
        <v>0.94700854700854697</v>
      </c>
      <c r="Q154" s="6">
        <f t="shared" si="23"/>
        <v>2.3465703971119134E-2</v>
      </c>
      <c r="R154">
        <f t="shared" si="24"/>
        <v>0</v>
      </c>
      <c r="S154">
        <f t="shared" si="25"/>
        <v>0</v>
      </c>
      <c r="T154">
        <f t="shared" si="26"/>
        <v>0</v>
      </c>
    </row>
    <row r="155" spans="1:20">
      <c r="A155" t="s">
        <v>333</v>
      </c>
      <c r="B155" t="s">
        <v>32</v>
      </c>
      <c r="C155" t="s">
        <v>23</v>
      </c>
      <c r="D155">
        <v>162</v>
      </c>
      <c r="E155" s="4">
        <v>46050</v>
      </c>
      <c r="F155" s="4">
        <v>46061</v>
      </c>
      <c r="G155" s="4">
        <v>46058</v>
      </c>
      <c r="H155">
        <v>141</v>
      </c>
      <c r="I155" t="s">
        <v>262</v>
      </c>
      <c r="J155">
        <v>4</v>
      </c>
      <c r="K155" t="s">
        <v>1563</v>
      </c>
      <c r="L155" t="str">
        <f t="shared" si="18"/>
        <v>Y</v>
      </c>
      <c r="M155" t="str">
        <f t="shared" si="19"/>
        <v>N</v>
      </c>
      <c r="N155" t="str">
        <f t="shared" si="20"/>
        <v>N</v>
      </c>
      <c r="O155">
        <f t="shared" si="21"/>
        <v>8</v>
      </c>
      <c r="P155" s="6">
        <f t="shared" si="22"/>
        <v>0.87037037037037035</v>
      </c>
      <c r="Q155" s="6">
        <f t="shared" si="23"/>
        <v>2.8368794326241134E-2</v>
      </c>
      <c r="R155">
        <f t="shared" si="24"/>
        <v>0</v>
      </c>
      <c r="S155">
        <f t="shared" si="25"/>
        <v>0</v>
      </c>
      <c r="T155">
        <f t="shared" si="26"/>
        <v>0</v>
      </c>
    </row>
    <row r="156" spans="1:20">
      <c r="A156" t="s">
        <v>334</v>
      </c>
      <c r="B156" t="s">
        <v>177</v>
      </c>
      <c r="C156" t="s">
        <v>23</v>
      </c>
      <c r="D156">
        <v>999</v>
      </c>
      <c r="E156" s="4">
        <v>46060</v>
      </c>
      <c r="F156" s="4">
        <v>46065</v>
      </c>
      <c r="G156" s="4">
        <v>46063</v>
      </c>
      <c r="H156">
        <v>1005</v>
      </c>
      <c r="I156" t="s">
        <v>219</v>
      </c>
      <c r="J156">
        <v>22</v>
      </c>
      <c r="K156" t="s">
        <v>1563</v>
      </c>
      <c r="L156" t="str">
        <f t="shared" si="18"/>
        <v>Y</v>
      </c>
      <c r="M156" t="str">
        <f t="shared" si="19"/>
        <v>Y</v>
      </c>
      <c r="N156" t="str">
        <f t="shared" si="20"/>
        <v>Y</v>
      </c>
      <c r="O156">
        <f t="shared" si="21"/>
        <v>3</v>
      </c>
      <c r="P156" s="6">
        <f t="shared" si="22"/>
        <v>1.0060060060060061</v>
      </c>
      <c r="Q156" s="6">
        <f t="shared" si="23"/>
        <v>2.1890547263681594E-2</v>
      </c>
      <c r="R156">
        <f t="shared" si="24"/>
        <v>1</v>
      </c>
      <c r="S156">
        <f t="shared" si="25"/>
        <v>0</v>
      </c>
      <c r="T156">
        <f t="shared" si="26"/>
        <v>0</v>
      </c>
    </row>
    <row r="157" spans="1:20">
      <c r="A157" t="s">
        <v>335</v>
      </c>
      <c r="B157" t="s">
        <v>32</v>
      </c>
      <c r="C157" t="s">
        <v>12</v>
      </c>
      <c r="D157">
        <v>594</v>
      </c>
      <c r="E157" s="4">
        <v>46037</v>
      </c>
      <c r="F157" s="4">
        <v>46052</v>
      </c>
      <c r="G157" s="4">
        <v>46052</v>
      </c>
      <c r="H157">
        <v>598</v>
      </c>
      <c r="I157" t="s">
        <v>336</v>
      </c>
      <c r="J157">
        <v>5</v>
      </c>
      <c r="K157" t="s">
        <v>1563</v>
      </c>
      <c r="L157" t="str">
        <f t="shared" si="18"/>
        <v>Y</v>
      </c>
      <c r="M157" t="str">
        <f t="shared" si="19"/>
        <v>Y</v>
      </c>
      <c r="N157" t="str">
        <f t="shared" si="20"/>
        <v>Y</v>
      </c>
      <c r="O157">
        <f t="shared" si="21"/>
        <v>15</v>
      </c>
      <c r="P157" s="6">
        <f t="shared" si="22"/>
        <v>1.0067340067340067</v>
      </c>
      <c r="Q157" s="6">
        <f t="shared" si="23"/>
        <v>8.3612040133779261E-3</v>
      </c>
      <c r="R157">
        <f t="shared" si="24"/>
        <v>1</v>
      </c>
      <c r="S157">
        <f t="shared" si="25"/>
        <v>0</v>
      </c>
      <c r="T157">
        <f t="shared" si="26"/>
        <v>0</v>
      </c>
    </row>
    <row r="158" spans="1:20">
      <c r="A158" t="s">
        <v>337</v>
      </c>
      <c r="B158" t="s">
        <v>46</v>
      </c>
      <c r="C158" t="s">
        <v>12</v>
      </c>
      <c r="D158">
        <v>765</v>
      </c>
      <c r="E158" s="4">
        <v>46114</v>
      </c>
      <c r="F158" s="4">
        <v>46121</v>
      </c>
      <c r="G158" s="4">
        <v>46120</v>
      </c>
      <c r="H158">
        <v>656</v>
      </c>
      <c r="I158" t="s">
        <v>339</v>
      </c>
      <c r="J158">
        <v>51</v>
      </c>
      <c r="K158" t="s">
        <v>1563</v>
      </c>
      <c r="L158" t="str">
        <f t="shared" si="18"/>
        <v>Y</v>
      </c>
      <c r="M158" t="str">
        <f t="shared" si="19"/>
        <v>N</v>
      </c>
      <c r="N158" t="str">
        <f t="shared" si="20"/>
        <v>N</v>
      </c>
      <c r="O158">
        <f t="shared" si="21"/>
        <v>6</v>
      </c>
      <c r="P158" s="6">
        <f t="shared" si="22"/>
        <v>0.857516339869281</v>
      </c>
      <c r="Q158" s="6">
        <f t="shared" si="23"/>
        <v>7.774390243902439E-2</v>
      </c>
      <c r="R158">
        <f t="shared" si="24"/>
        <v>0</v>
      </c>
      <c r="S158">
        <f t="shared" si="25"/>
        <v>0</v>
      </c>
      <c r="T158">
        <f t="shared" si="26"/>
        <v>0</v>
      </c>
    </row>
    <row r="159" spans="1:20">
      <c r="A159" t="s">
        <v>340</v>
      </c>
      <c r="B159" t="s">
        <v>22</v>
      </c>
      <c r="C159" t="s">
        <v>12</v>
      </c>
      <c r="D159">
        <v>387</v>
      </c>
      <c r="E159" s="4">
        <v>46165</v>
      </c>
      <c r="F159" s="4">
        <v>46174</v>
      </c>
      <c r="G159" s="4">
        <v>46179</v>
      </c>
      <c r="H159">
        <v>382</v>
      </c>
      <c r="I159" t="s">
        <v>341</v>
      </c>
      <c r="J159">
        <v>11</v>
      </c>
      <c r="K159" t="s">
        <v>1563</v>
      </c>
      <c r="L159" t="str">
        <f t="shared" si="18"/>
        <v>N</v>
      </c>
      <c r="M159" t="str">
        <f t="shared" si="19"/>
        <v>Y</v>
      </c>
      <c r="N159" t="str">
        <f t="shared" si="20"/>
        <v>N</v>
      </c>
      <c r="O159">
        <f t="shared" si="21"/>
        <v>14</v>
      </c>
      <c r="P159" s="6">
        <f t="shared" si="22"/>
        <v>0.98708010335917318</v>
      </c>
      <c r="Q159" s="6">
        <f t="shared" si="23"/>
        <v>2.8795811518324606E-2</v>
      </c>
      <c r="R159">
        <f t="shared" si="24"/>
        <v>0</v>
      </c>
      <c r="S159">
        <f t="shared" si="25"/>
        <v>5</v>
      </c>
      <c r="T159">
        <f t="shared" si="26"/>
        <v>2500</v>
      </c>
    </row>
    <row r="160" spans="1:20">
      <c r="A160" t="s">
        <v>342</v>
      </c>
      <c r="B160" t="s">
        <v>49</v>
      </c>
      <c r="C160" t="s">
        <v>23</v>
      </c>
      <c r="D160">
        <v>659</v>
      </c>
      <c r="E160" s="4">
        <v>46072</v>
      </c>
      <c r="F160" s="4">
        <v>46079</v>
      </c>
      <c r="G160" s="4">
        <v>46077</v>
      </c>
      <c r="H160">
        <v>666</v>
      </c>
      <c r="I160" t="s">
        <v>343</v>
      </c>
      <c r="J160">
        <v>3</v>
      </c>
      <c r="K160" t="s">
        <v>1563</v>
      </c>
      <c r="L160" t="str">
        <f t="shared" si="18"/>
        <v>Y</v>
      </c>
      <c r="M160" t="str">
        <f t="shared" si="19"/>
        <v>Y</v>
      </c>
      <c r="N160" t="str">
        <f t="shared" si="20"/>
        <v>Y</v>
      </c>
      <c r="O160">
        <f t="shared" si="21"/>
        <v>5</v>
      </c>
      <c r="P160" s="6">
        <f t="shared" si="22"/>
        <v>1.0106221547799696</v>
      </c>
      <c r="Q160" s="6">
        <f t="shared" si="23"/>
        <v>4.5045045045045045E-3</v>
      </c>
      <c r="R160">
        <f t="shared" si="24"/>
        <v>1</v>
      </c>
      <c r="S160">
        <f t="shared" si="25"/>
        <v>0</v>
      </c>
      <c r="T160">
        <f t="shared" si="26"/>
        <v>0</v>
      </c>
    </row>
    <row r="161" spans="1:20">
      <c r="A161" t="s">
        <v>344</v>
      </c>
      <c r="B161" t="s">
        <v>35</v>
      </c>
      <c r="C161" t="s">
        <v>23</v>
      </c>
      <c r="D161">
        <v>957</v>
      </c>
      <c r="E161" s="4">
        <v>46153</v>
      </c>
      <c r="F161" s="4">
        <v>46161</v>
      </c>
      <c r="G161" s="4">
        <v>46160</v>
      </c>
      <c r="H161">
        <v>971</v>
      </c>
      <c r="I161" t="s">
        <v>61</v>
      </c>
      <c r="J161">
        <v>56</v>
      </c>
      <c r="K161" t="s">
        <v>1563</v>
      </c>
      <c r="L161" t="str">
        <f t="shared" si="18"/>
        <v>Y</v>
      </c>
      <c r="M161" t="str">
        <f t="shared" si="19"/>
        <v>Y</v>
      </c>
      <c r="N161" t="str">
        <f t="shared" si="20"/>
        <v>Y</v>
      </c>
      <c r="O161">
        <f t="shared" si="21"/>
        <v>7</v>
      </c>
      <c r="P161" s="6">
        <f t="shared" si="22"/>
        <v>1.0146290491118077</v>
      </c>
      <c r="Q161" s="6">
        <f t="shared" si="23"/>
        <v>5.7672502574665295E-2</v>
      </c>
      <c r="R161">
        <f t="shared" si="24"/>
        <v>1</v>
      </c>
      <c r="S161">
        <f t="shared" si="25"/>
        <v>0</v>
      </c>
      <c r="T161">
        <f t="shared" si="26"/>
        <v>0</v>
      </c>
    </row>
    <row r="162" spans="1:20">
      <c r="A162" t="s">
        <v>345</v>
      </c>
      <c r="B162" t="s">
        <v>29</v>
      </c>
      <c r="C162" t="s">
        <v>12</v>
      </c>
      <c r="D162">
        <v>882</v>
      </c>
      <c r="E162" s="4">
        <v>46121</v>
      </c>
      <c r="F162" s="4">
        <v>46126</v>
      </c>
      <c r="G162" s="4">
        <v>46131</v>
      </c>
      <c r="H162">
        <v>884</v>
      </c>
      <c r="I162" t="s">
        <v>339</v>
      </c>
      <c r="J162">
        <v>4</v>
      </c>
      <c r="K162" t="s">
        <v>1563</v>
      </c>
      <c r="L162" t="str">
        <f t="shared" si="18"/>
        <v>N</v>
      </c>
      <c r="M162" t="str">
        <f t="shared" si="19"/>
        <v>Y</v>
      </c>
      <c r="N162" t="str">
        <f t="shared" si="20"/>
        <v>N</v>
      </c>
      <c r="O162">
        <f t="shared" si="21"/>
        <v>10</v>
      </c>
      <c r="P162" s="6">
        <f t="shared" si="22"/>
        <v>1.0022675736961451</v>
      </c>
      <c r="Q162" s="6">
        <f t="shared" si="23"/>
        <v>4.5248868778280547E-3</v>
      </c>
      <c r="R162">
        <f t="shared" si="24"/>
        <v>0</v>
      </c>
      <c r="S162">
        <f t="shared" si="25"/>
        <v>5</v>
      </c>
      <c r="T162">
        <f t="shared" si="26"/>
        <v>2500</v>
      </c>
    </row>
    <row r="163" spans="1:20">
      <c r="A163" t="s">
        <v>346</v>
      </c>
      <c r="B163" t="s">
        <v>40</v>
      </c>
      <c r="C163" t="s">
        <v>23</v>
      </c>
      <c r="D163">
        <v>494</v>
      </c>
      <c r="E163" s="4">
        <v>46061</v>
      </c>
      <c r="F163" s="4">
        <v>46069</v>
      </c>
      <c r="G163" s="4">
        <v>46068</v>
      </c>
      <c r="H163">
        <v>486</v>
      </c>
      <c r="I163" t="s">
        <v>347</v>
      </c>
      <c r="J163">
        <v>13</v>
      </c>
      <c r="K163" t="s">
        <v>1563</v>
      </c>
      <c r="L163" t="str">
        <f t="shared" si="18"/>
        <v>Y</v>
      </c>
      <c r="M163" t="str">
        <f t="shared" si="19"/>
        <v>Y</v>
      </c>
      <c r="N163" t="str">
        <f t="shared" si="20"/>
        <v>Y</v>
      </c>
      <c r="O163">
        <f t="shared" si="21"/>
        <v>7</v>
      </c>
      <c r="P163" s="6">
        <f t="shared" si="22"/>
        <v>0.98380566801619429</v>
      </c>
      <c r="Q163" s="6">
        <f t="shared" si="23"/>
        <v>2.6748971193415638E-2</v>
      </c>
      <c r="R163">
        <f t="shared" si="24"/>
        <v>1</v>
      </c>
      <c r="S163">
        <f t="shared" si="25"/>
        <v>0</v>
      </c>
      <c r="T163">
        <f t="shared" si="26"/>
        <v>0</v>
      </c>
    </row>
    <row r="164" spans="1:20">
      <c r="A164" t="s">
        <v>348</v>
      </c>
      <c r="B164" t="s">
        <v>120</v>
      </c>
      <c r="C164" t="s">
        <v>12</v>
      </c>
      <c r="D164">
        <v>556</v>
      </c>
      <c r="E164" s="4">
        <v>46055</v>
      </c>
      <c r="F164" s="4">
        <v>46060</v>
      </c>
      <c r="G164" s="4">
        <v>46069</v>
      </c>
      <c r="H164">
        <v>551</v>
      </c>
      <c r="I164" t="s">
        <v>349</v>
      </c>
      <c r="J164">
        <v>14</v>
      </c>
      <c r="K164" t="s">
        <v>1563</v>
      </c>
      <c r="L164" t="str">
        <f t="shared" si="18"/>
        <v>N</v>
      </c>
      <c r="M164" t="str">
        <f t="shared" si="19"/>
        <v>Y</v>
      </c>
      <c r="N164" t="str">
        <f t="shared" si="20"/>
        <v>N</v>
      </c>
      <c r="O164">
        <f t="shared" si="21"/>
        <v>14</v>
      </c>
      <c r="P164" s="6">
        <f t="shared" si="22"/>
        <v>0.99100719424460426</v>
      </c>
      <c r="Q164" s="6">
        <f t="shared" si="23"/>
        <v>2.5408348457350273E-2</v>
      </c>
      <c r="R164">
        <f t="shared" si="24"/>
        <v>0</v>
      </c>
      <c r="S164">
        <f t="shared" si="25"/>
        <v>9</v>
      </c>
      <c r="T164">
        <f t="shared" si="26"/>
        <v>4500</v>
      </c>
    </row>
    <row r="165" spans="1:20">
      <c r="A165" t="s">
        <v>350</v>
      </c>
      <c r="B165" t="s">
        <v>81</v>
      </c>
      <c r="C165" t="s">
        <v>12</v>
      </c>
      <c r="D165">
        <v>524</v>
      </c>
      <c r="E165" s="4">
        <v>46154</v>
      </c>
      <c r="F165" s="4">
        <v>46167</v>
      </c>
      <c r="G165" s="4">
        <v>46169</v>
      </c>
      <c r="H165">
        <v>522</v>
      </c>
      <c r="I165" t="s">
        <v>352</v>
      </c>
      <c r="J165">
        <v>1</v>
      </c>
      <c r="K165" t="s">
        <v>1563</v>
      </c>
      <c r="L165" t="str">
        <f t="shared" si="18"/>
        <v>N</v>
      </c>
      <c r="M165" t="str">
        <f t="shared" si="19"/>
        <v>Y</v>
      </c>
      <c r="N165" t="str">
        <f t="shared" si="20"/>
        <v>N</v>
      </c>
      <c r="O165">
        <f t="shared" si="21"/>
        <v>15</v>
      </c>
      <c r="P165" s="6">
        <f t="shared" si="22"/>
        <v>0.99618320610687028</v>
      </c>
      <c r="Q165" s="6">
        <f t="shared" si="23"/>
        <v>1.9157088122605363E-3</v>
      </c>
      <c r="R165">
        <f t="shared" si="24"/>
        <v>0</v>
      </c>
      <c r="S165">
        <f t="shared" si="25"/>
        <v>2</v>
      </c>
      <c r="T165">
        <f t="shared" si="26"/>
        <v>1000</v>
      </c>
    </row>
    <row r="166" spans="1:20">
      <c r="A166" t="s">
        <v>353</v>
      </c>
      <c r="B166" t="s">
        <v>49</v>
      </c>
      <c r="C166" t="s">
        <v>12</v>
      </c>
      <c r="D166">
        <v>471</v>
      </c>
      <c r="E166" s="4">
        <v>46090</v>
      </c>
      <c r="F166" s="4">
        <v>46099</v>
      </c>
      <c r="G166" s="4">
        <v>46099</v>
      </c>
      <c r="H166">
        <v>472</v>
      </c>
      <c r="I166" t="s">
        <v>354</v>
      </c>
      <c r="J166">
        <v>1</v>
      </c>
      <c r="K166" t="s">
        <v>1563</v>
      </c>
      <c r="L166" t="str">
        <f t="shared" si="18"/>
        <v>Y</v>
      </c>
      <c r="M166" t="str">
        <f t="shared" si="19"/>
        <v>Y</v>
      </c>
      <c r="N166" t="str">
        <f t="shared" si="20"/>
        <v>Y</v>
      </c>
      <c r="O166">
        <f t="shared" si="21"/>
        <v>9</v>
      </c>
      <c r="P166" s="6">
        <f t="shared" si="22"/>
        <v>1.0021231422505308</v>
      </c>
      <c r="Q166" s="6">
        <f t="shared" si="23"/>
        <v>2.1186440677966102E-3</v>
      </c>
      <c r="R166">
        <f t="shared" si="24"/>
        <v>1</v>
      </c>
      <c r="S166">
        <f t="shared" si="25"/>
        <v>0</v>
      </c>
      <c r="T166">
        <f t="shared" si="26"/>
        <v>0</v>
      </c>
    </row>
    <row r="167" spans="1:20">
      <c r="A167" t="s">
        <v>355</v>
      </c>
      <c r="B167" t="s">
        <v>43</v>
      </c>
      <c r="C167" t="s">
        <v>12</v>
      </c>
      <c r="D167">
        <v>961</v>
      </c>
      <c r="E167" s="4">
        <v>46063</v>
      </c>
      <c r="F167" s="4">
        <v>46078</v>
      </c>
      <c r="G167" s="4">
        <v>46078</v>
      </c>
      <c r="H167">
        <v>954</v>
      </c>
      <c r="I167" t="s">
        <v>356</v>
      </c>
      <c r="J167">
        <v>66</v>
      </c>
      <c r="K167" t="s">
        <v>1563</v>
      </c>
      <c r="L167" t="str">
        <f t="shared" si="18"/>
        <v>Y</v>
      </c>
      <c r="M167" t="str">
        <f t="shared" si="19"/>
        <v>Y</v>
      </c>
      <c r="N167" t="str">
        <f t="shared" si="20"/>
        <v>Y</v>
      </c>
      <c r="O167">
        <f t="shared" si="21"/>
        <v>15</v>
      </c>
      <c r="P167" s="6">
        <f t="shared" si="22"/>
        <v>0.99271592091571281</v>
      </c>
      <c r="Q167" s="6">
        <f t="shared" si="23"/>
        <v>6.9182389937106917E-2</v>
      </c>
      <c r="R167">
        <f t="shared" si="24"/>
        <v>1</v>
      </c>
      <c r="S167">
        <f t="shared" si="25"/>
        <v>0</v>
      </c>
      <c r="T167">
        <f t="shared" si="26"/>
        <v>0</v>
      </c>
    </row>
    <row r="168" spans="1:20">
      <c r="A168" t="s">
        <v>357</v>
      </c>
      <c r="B168" t="s">
        <v>81</v>
      </c>
      <c r="C168" t="s">
        <v>16</v>
      </c>
      <c r="D168">
        <v>994</v>
      </c>
      <c r="E168" s="4">
        <v>46107</v>
      </c>
      <c r="F168" s="4">
        <v>46114</v>
      </c>
      <c r="G168" s="4">
        <v>46117</v>
      </c>
      <c r="H168">
        <v>936</v>
      </c>
      <c r="I168" t="s">
        <v>17</v>
      </c>
      <c r="J168">
        <v>14</v>
      </c>
      <c r="K168" t="s">
        <v>1563</v>
      </c>
      <c r="L168" t="str">
        <f t="shared" si="18"/>
        <v>N</v>
      </c>
      <c r="M168" t="str">
        <f t="shared" si="19"/>
        <v>N</v>
      </c>
      <c r="N168" t="str">
        <f t="shared" si="20"/>
        <v>N</v>
      </c>
      <c r="O168">
        <f t="shared" si="21"/>
        <v>10</v>
      </c>
      <c r="P168" s="6">
        <f t="shared" si="22"/>
        <v>0.94164989939637822</v>
      </c>
      <c r="Q168" s="6">
        <f t="shared" si="23"/>
        <v>1.4957264957264958E-2</v>
      </c>
      <c r="R168">
        <f t="shared" si="24"/>
        <v>0</v>
      </c>
      <c r="S168">
        <f t="shared" si="25"/>
        <v>3</v>
      </c>
      <c r="T168">
        <f t="shared" si="26"/>
        <v>1500</v>
      </c>
    </row>
    <row r="169" spans="1:20">
      <c r="A169" t="s">
        <v>358</v>
      </c>
      <c r="B169" t="s">
        <v>70</v>
      </c>
      <c r="C169" t="s">
        <v>12</v>
      </c>
      <c r="D169">
        <v>309</v>
      </c>
      <c r="E169" s="4">
        <v>46175</v>
      </c>
      <c r="F169" s="4">
        <v>46187</v>
      </c>
      <c r="G169" s="4">
        <v>46186</v>
      </c>
      <c r="H169">
        <v>307</v>
      </c>
      <c r="I169" t="s">
        <v>341</v>
      </c>
      <c r="J169">
        <v>3</v>
      </c>
      <c r="K169" t="s">
        <v>1563</v>
      </c>
      <c r="L169" t="str">
        <f t="shared" si="18"/>
        <v>Y</v>
      </c>
      <c r="M169" t="str">
        <f t="shared" si="19"/>
        <v>Y</v>
      </c>
      <c r="N169" t="str">
        <f t="shared" si="20"/>
        <v>Y</v>
      </c>
      <c r="O169">
        <f t="shared" si="21"/>
        <v>11</v>
      </c>
      <c r="P169" s="6">
        <f t="shared" si="22"/>
        <v>0.99352750809061485</v>
      </c>
      <c r="Q169" s="6">
        <f t="shared" si="23"/>
        <v>9.7719869706840382E-3</v>
      </c>
      <c r="R169">
        <f t="shared" si="24"/>
        <v>1</v>
      </c>
      <c r="S169">
        <f t="shared" si="25"/>
        <v>0</v>
      </c>
      <c r="T169">
        <f t="shared" si="26"/>
        <v>0</v>
      </c>
    </row>
    <row r="170" spans="1:20">
      <c r="A170" t="s">
        <v>359</v>
      </c>
      <c r="B170" t="s">
        <v>64</v>
      </c>
      <c r="C170" t="s">
        <v>12</v>
      </c>
      <c r="D170">
        <v>995</v>
      </c>
      <c r="E170" s="4">
        <v>46160</v>
      </c>
      <c r="F170" s="4">
        <v>46175</v>
      </c>
      <c r="G170" s="4">
        <v>46177</v>
      </c>
      <c r="H170">
        <v>835</v>
      </c>
      <c r="I170" t="s">
        <v>148</v>
      </c>
      <c r="J170">
        <v>4</v>
      </c>
      <c r="K170" t="s">
        <v>1563</v>
      </c>
      <c r="L170" t="str">
        <f t="shared" si="18"/>
        <v>N</v>
      </c>
      <c r="M170" t="str">
        <f t="shared" si="19"/>
        <v>N</v>
      </c>
      <c r="N170" t="str">
        <f t="shared" si="20"/>
        <v>N</v>
      </c>
      <c r="O170">
        <f t="shared" si="21"/>
        <v>17</v>
      </c>
      <c r="P170" s="6">
        <f t="shared" si="22"/>
        <v>0.83919597989949746</v>
      </c>
      <c r="Q170" s="6">
        <f t="shared" si="23"/>
        <v>4.7904191616766467E-3</v>
      </c>
      <c r="R170">
        <f t="shared" si="24"/>
        <v>0</v>
      </c>
      <c r="S170">
        <f t="shared" si="25"/>
        <v>2</v>
      </c>
      <c r="T170">
        <f t="shared" si="26"/>
        <v>1000</v>
      </c>
    </row>
    <row r="171" spans="1:20">
      <c r="A171" t="s">
        <v>360</v>
      </c>
      <c r="B171" t="s">
        <v>120</v>
      </c>
      <c r="C171" t="s">
        <v>23</v>
      </c>
      <c r="D171">
        <v>531</v>
      </c>
      <c r="E171" s="4">
        <v>46171</v>
      </c>
      <c r="F171" s="4">
        <v>46179</v>
      </c>
      <c r="G171" s="4">
        <v>46178</v>
      </c>
      <c r="H171">
        <v>485</v>
      </c>
      <c r="I171" t="s">
        <v>361</v>
      </c>
      <c r="J171">
        <v>25</v>
      </c>
      <c r="K171" t="s">
        <v>1563</v>
      </c>
      <c r="L171" t="str">
        <f t="shared" si="18"/>
        <v>Y</v>
      </c>
      <c r="M171" t="str">
        <f t="shared" si="19"/>
        <v>N</v>
      </c>
      <c r="N171" t="str">
        <f t="shared" si="20"/>
        <v>N</v>
      </c>
      <c r="O171">
        <f t="shared" si="21"/>
        <v>7</v>
      </c>
      <c r="P171" s="6">
        <f t="shared" si="22"/>
        <v>0.91337099811676081</v>
      </c>
      <c r="Q171" s="6">
        <f t="shared" si="23"/>
        <v>5.1546391752577317E-2</v>
      </c>
      <c r="R171">
        <f t="shared" si="24"/>
        <v>0</v>
      </c>
      <c r="S171">
        <f t="shared" si="25"/>
        <v>0</v>
      </c>
      <c r="T171">
        <f t="shared" si="26"/>
        <v>0</v>
      </c>
    </row>
    <row r="172" spans="1:20">
      <c r="A172" t="s">
        <v>362</v>
      </c>
      <c r="B172" t="s">
        <v>49</v>
      </c>
      <c r="C172" t="s">
        <v>23</v>
      </c>
      <c r="D172">
        <v>201</v>
      </c>
      <c r="E172" s="4">
        <v>46175</v>
      </c>
      <c r="F172" s="4">
        <v>46190</v>
      </c>
      <c r="G172" s="4">
        <v>46198</v>
      </c>
      <c r="H172">
        <v>200</v>
      </c>
      <c r="I172" t="s">
        <v>364</v>
      </c>
      <c r="J172">
        <v>1</v>
      </c>
      <c r="K172" t="s">
        <v>1563</v>
      </c>
      <c r="L172" t="str">
        <f t="shared" si="18"/>
        <v>N</v>
      </c>
      <c r="M172" t="str">
        <f t="shared" si="19"/>
        <v>Y</v>
      </c>
      <c r="N172" t="str">
        <f t="shared" si="20"/>
        <v>N</v>
      </c>
      <c r="O172">
        <f t="shared" si="21"/>
        <v>23</v>
      </c>
      <c r="P172" s="6">
        <f t="shared" si="22"/>
        <v>0.99502487562189057</v>
      </c>
      <c r="Q172" s="6">
        <f t="shared" si="23"/>
        <v>5.0000000000000001E-3</v>
      </c>
      <c r="R172">
        <f t="shared" si="24"/>
        <v>0</v>
      </c>
      <c r="S172">
        <f t="shared" si="25"/>
        <v>8</v>
      </c>
      <c r="T172">
        <f t="shared" si="26"/>
        <v>4000</v>
      </c>
    </row>
    <row r="173" spans="1:20">
      <c r="A173" t="s">
        <v>365</v>
      </c>
      <c r="B173" t="s">
        <v>40</v>
      </c>
      <c r="C173" t="s">
        <v>16</v>
      </c>
      <c r="D173">
        <v>246</v>
      </c>
      <c r="E173" s="4">
        <v>46121</v>
      </c>
      <c r="F173" s="4">
        <v>46128</v>
      </c>
      <c r="G173" s="4">
        <v>46126</v>
      </c>
      <c r="H173">
        <v>250</v>
      </c>
      <c r="I173" t="s">
        <v>366</v>
      </c>
      <c r="J173">
        <v>19</v>
      </c>
      <c r="K173" t="s">
        <v>1563</v>
      </c>
      <c r="L173" t="str">
        <f t="shared" si="18"/>
        <v>Y</v>
      </c>
      <c r="M173" t="str">
        <f t="shared" si="19"/>
        <v>Y</v>
      </c>
      <c r="N173" t="str">
        <f t="shared" si="20"/>
        <v>Y</v>
      </c>
      <c r="O173">
        <f t="shared" si="21"/>
        <v>5</v>
      </c>
      <c r="P173" s="6">
        <f t="shared" si="22"/>
        <v>1.0162601626016261</v>
      </c>
      <c r="Q173" s="6">
        <f t="shared" si="23"/>
        <v>7.5999999999999998E-2</v>
      </c>
      <c r="R173">
        <f t="shared" si="24"/>
        <v>1</v>
      </c>
      <c r="S173">
        <f t="shared" si="25"/>
        <v>0</v>
      </c>
      <c r="T173">
        <f t="shared" si="26"/>
        <v>0</v>
      </c>
    </row>
    <row r="174" spans="1:20">
      <c r="A174" t="s">
        <v>367</v>
      </c>
      <c r="B174" t="s">
        <v>29</v>
      </c>
      <c r="C174" t="s">
        <v>12</v>
      </c>
      <c r="D174">
        <v>212</v>
      </c>
      <c r="E174" s="4">
        <v>46103</v>
      </c>
      <c r="F174" s="4">
        <v>46108</v>
      </c>
      <c r="G174" s="4">
        <v>46105</v>
      </c>
      <c r="H174">
        <v>206</v>
      </c>
      <c r="I174" t="s">
        <v>368</v>
      </c>
      <c r="J174">
        <v>1</v>
      </c>
      <c r="K174" t="s">
        <v>1563</v>
      </c>
      <c r="L174" t="str">
        <f t="shared" si="18"/>
        <v>Y</v>
      </c>
      <c r="M174" t="str">
        <f t="shared" si="19"/>
        <v>N</v>
      </c>
      <c r="N174" t="str">
        <f t="shared" si="20"/>
        <v>N</v>
      </c>
      <c r="O174">
        <f t="shared" si="21"/>
        <v>2</v>
      </c>
      <c r="P174" s="6">
        <f t="shared" si="22"/>
        <v>0.97169811320754718</v>
      </c>
      <c r="Q174" s="6">
        <f t="shared" si="23"/>
        <v>4.8543689320388345E-3</v>
      </c>
      <c r="R174">
        <f t="shared" si="24"/>
        <v>0</v>
      </c>
      <c r="S174">
        <f t="shared" si="25"/>
        <v>0</v>
      </c>
      <c r="T174">
        <f t="shared" si="26"/>
        <v>0</v>
      </c>
    </row>
    <row r="175" spans="1:20">
      <c r="A175" t="s">
        <v>369</v>
      </c>
      <c r="B175" t="s">
        <v>67</v>
      </c>
      <c r="C175" t="s">
        <v>12</v>
      </c>
      <c r="D175">
        <v>87</v>
      </c>
      <c r="E175" s="4">
        <v>46037</v>
      </c>
      <c r="F175" s="4">
        <v>46046</v>
      </c>
      <c r="G175" s="4">
        <v>46054</v>
      </c>
      <c r="H175">
        <v>86</v>
      </c>
      <c r="I175" t="s">
        <v>121</v>
      </c>
      <c r="J175">
        <v>2</v>
      </c>
      <c r="K175" t="s">
        <v>1563</v>
      </c>
      <c r="L175" t="str">
        <f t="shared" si="18"/>
        <v>N</v>
      </c>
      <c r="M175" t="str">
        <f t="shared" si="19"/>
        <v>Y</v>
      </c>
      <c r="N175" t="str">
        <f t="shared" si="20"/>
        <v>N</v>
      </c>
      <c r="O175">
        <f t="shared" si="21"/>
        <v>17</v>
      </c>
      <c r="P175" s="6">
        <f t="shared" si="22"/>
        <v>0.9885057471264368</v>
      </c>
      <c r="Q175" s="6">
        <f t="shared" si="23"/>
        <v>2.3255813953488372E-2</v>
      </c>
      <c r="R175">
        <f t="shared" si="24"/>
        <v>0</v>
      </c>
      <c r="S175">
        <f t="shared" si="25"/>
        <v>8</v>
      </c>
      <c r="T175">
        <f t="shared" si="26"/>
        <v>4000</v>
      </c>
    </row>
    <row r="176" spans="1:20">
      <c r="A176" t="s">
        <v>370</v>
      </c>
      <c r="B176" t="s">
        <v>64</v>
      </c>
      <c r="C176" t="s">
        <v>23</v>
      </c>
      <c r="D176">
        <v>226</v>
      </c>
      <c r="E176" s="4">
        <v>46095</v>
      </c>
      <c r="F176" s="4">
        <v>46101</v>
      </c>
      <c r="G176" s="4">
        <v>46106</v>
      </c>
      <c r="H176">
        <v>203</v>
      </c>
      <c r="I176" t="s">
        <v>372</v>
      </c>
      <c r="J176">
        <v>10</v>
      </c>
      <c r="K176" t="s">
        <v>1563</v>
      </c>
      <c r="L176" t="str">
        <f t="shared" si="18"/>
        <v>N</v>
      </c>
      <c r="M176" t="str">
        <f t="shared" si="19"/>
        <v>N</v>
      </c>
      <c r="N176" t="str">
        <f t="shared" si="20"/>
        <v>N</v>
      </c>
      <c r="O176">
        <f t="shared" si="21"/>
        <v>11</v>
      </c>
      <c r="P176" s="6">
        <f t="shared" si="22"/>
        <v>0.89823008849557517</v>
      </c>
      <c r="Q176" s="6">
        <f t="shared" si="23"/>
        <v>4.9261083743842367E-2</v>
      </c>
      <c r="R176">
        <f t="shared" si="24"/>
        <v>0</v>
      </c>
      <c r="S176">
        <f t="shared" si="25"/>
        <v>5</v>
      </c>
      <c r="T176">
        <f t="shared" si="26"/>
        <v>2500</v>
      </c>
    </row>
    <row r="177" spans="1:20">
      <c r="A177" t="s">
        <v>373</v>
      </c>
      <c r="B177" t="s">
        <v>67</v>
      </c>
      <c r="C177" t="s">
        <v>16</v>
      </c>
      <c r="D177">
        <v>974</v>
      </c>
      <c r="E177" s="4">
        <v>46048</v>
      </c>
      <c r="F177" s="4">
        <v>46062</v>
      </c>
      <c r="G177" s="4">
        <v>46059</v>
      </c>
      <c r="H177">
        <v>852</v>
      </c>
      <c r="I177" t="s">
        <v>164</v>
      </c>
      <c r="J177">
        <v>35</v>
      </c>
      <c r="K177" t="s">
        <v>1563</v>
      </c>
      <c r="L177" t="str">
        <f t="shared" si="18"/>
        <v>Y</v>
      </c>
      <c r="M177" t="str">
        <f t="shared" si="19"/>
        <v>N</v>
      </c>
      <c r="N177" t="str">
        <f t="shared" si="20"/>
        <v>N</v>
      </c>
      <c r="O177">
        <f t="shared" si="21"/>
        <v>11</v>
      </c>
      <c r="P177" s="6">
        <f t="shared" si="22"/>
        <v>0.87474332648870634</v>
      </c>
      <c r="Q177" s="6">
        <f t="shared" si="23"/>
        <v>4.1079812206572773E-2</v>
      </c>
      <c r="R177">
        <f t="shared" si="24"/>
        <v>0</v>
      </c>
      <c r="S177">
        <f t="shared" si="25"/>
        <v>0</v>
      </c>
      <c r="T177">
        <f t="shared" si="26"/>
        <v>0</v>
      </c>
    </row>
    <row r="178" spans="1:20">
      <c r="A178" t="s">
        <v>374</v>
      </c>
      <c r="B178" t="s">
        <v>120</v>
      </c>
      <c r="C178" t="s">
        <v>12</v>
      </c>
      <c r="D178">
        <v>350</v>
      </c>
      <c r="E178" s="4">
        <v>46050</v>
      </c>
      <c r="F178" s="4">
        <v>46056</v>
      </c>
      <c r="G178" s="4">
        <v>46055</v>
      </c>
      <c r="H178">
        <v>346</v>
      </c>
      <c r="I178" t="s">
        <v>376</v>
      </c>
      <c r="J178">
        <v>19</v>
      </c>
      <c r="K178" t="s">
        <v>1563</v>
      </c>
      <c r="L178" t="str">
        <f t="shared" si="18"/>
        <v>Y</v>
      </c>
      <c r="M178" t="str">
        <f t="shared" si="19"/>
        <v>Y</v>
      </c>
      <c r="N178" t="str">
        <f t="shared" si="20"/>
        <v>Y</v>
      </c>
      <c r="O178">
        <f t="shared" si="21"/>
        <v>5</v>
      </c>
      <c r="P178" s="6">
        <f t="shared" si="22"/>
        <v>0.98857142857142855</v>
      </c>
      <c r="Q178" s="6">
        <f t="shared" si="23"/>
        <v>5.4913294797687862E-2</v>
      </c>
      <c r="R178">
        <f t="shared" si="24"/>
        <v>1</v>
      </c>
      <c r="S178">
        <f t="shared" si="25"/>
        <v>0</v>
      </c>
      <c r="T178">
        <f t="shared" si="26"/>
        <v>0</v>
      </c>
    </row>
    <row r="179" spans="1:20">
      <c r="A179" t="s">
        <v>377</v>
      </c>
      <c r="B179" t="s">
        <v>52</v>
      </c>
      <c r="C179" t="s">
        <v>12</v>
      </c>
      <c r="D179">
        <v>621</v>
      </c>
      <c r="E179" s="4">
        <v>46152</v>
      </c>
      <c r="F179" s="4">
        <v>46159</v>
      </c>
      <c r="G179" s="4">
        <v>46162</v>
      </c>
      <c r="H179">
        <v>524</v>
      </c>
      <c r="I179" t="s">
        <v>379</v>
      </c>
      <c r="J179">
        <v>1</v>
      </c>
      <c r="K179" t="s">
        <v>1563</v>
      </c>
      <c r="L179" t="str">
        <f t="shared" si="18"/>
        <v>N</v>
      </c>
      <c r="M179" t="str">
        <f t="shared" si="19"/>
        <v>N</v>
      </c>
      <c r="N179" t="str">
        <f t="shared" si="20"/>
        <v>N</v>
      </c>
      <c r="O179">
        <f t="shared" si="21"/>
        <v>10</v>
      </c>
      <c r="P179" s="6">
        <f t="shared" si="22"/>
        <v>0.8438003220611916</v>
      </c>
      <c r="Q179" s="6">
        <f t="shared" si="23"/>
        <v>1.9083969465648854E-3</v>
      </c>
      <c r="R179">
        <f t="shared" si="24"/>
        <v>0</v>
      </c>
      <c r="S179">
        <f t="shared" si="25"/>
        <v>3</v>
      </c>
      <c r="T179">
        <f t="shared" si="26"/>
        <v>1500</v>
      </c>
    </row>
    <row r="180" spans="1:20">
      <c r="A180" t="s">
        <v>380</v>
      </c>
      <c r="B180" t="s">
        <v>100</v>
      </c>
      <c r="C180" t="s">
        <v>16</v>
      </c>
      <c r="D180">
        <v>974</v>
      </c>
      <c r="E180" s="4">
        <v>46114</v>
      </c>
      <c r="F180" s="4">
        <v>46122</v>
      </c>
      <c r="G180" s="4">
        <v>46122</v>
      </c>
      <c r="H180">
        <v>960</v>
      </c>
      <c r="I180" t="s">
        <v>381</v>
      </c>
      <c r="J180">
        <v>13</v>
      </c>
      <c r="K180" t="s">
        <v>1563</v>
      </c>
      <c r="L180" t="str">
        <f t="shared" si="18"/>
        <v>Y</v>
      </c>
      <c r="M180" t="str">
        <f t="shared" si="19"/>
        <v>Y</v>
      </c>
      <c r="N180" t="str">
        <f t="shared" si="20"/>
        <v>Y</v>
      </c>
      <c r="O180">
        <f t="shared" si="21"/>
        <v>8</v>
      </c>
      <c r="P180" s="6">
        <f t="shared" si="22"/>
        <v>0.98562628336755642</v>
      </c>
      <c r="Q180" s="6">
        <f t="shared" si="23"/>
        <v>1.3541666666666667E-2</v>
      </c>
      <c r="R180">
        <f t="shared" si="24"/>
        <v>1</v>
      </c>
      <c r="S180">
        <f t="shared" si="25"/>
        <v>0</v>
      </c>
      <c r="T180">
        <f t="shared" si="26"/>
        <v>0</v>
      </c>
    </row>
    <row r="181" spans="1:20">
      <c r="A181" t="s">
        <v>382</v>
      </c>
      <c r="B181" t="s">
        <v>70</v>
      </c>
      <c r="C181" t="s">
        <v>16</v>
      </c>
      <c r="D181">
        <v>190</v>
      </c>
      <c r="E181" s="4">
        <v>46146</v>
      </c>
      <c r="F181" s="4">
        <v>46153</v>
      </c>
      <c r="G181" s="4">
        <v>46157</v>
      </c>
      <c r="H181">
        <v>186</v>
      </c>
      <c r="I181" t="s">
        <v>383</v>
      </c>
      <c r="J181">
        <v>1</v>
      </c>
      <c r="K181" t="s">
        <v>1563</v>
      </c>
      <c r="L181" t="str">
        <f t="shared" si="18"/>
        <v>N</v>
      </c>
      <c r="M181" t="str">
        <f t="shared" si="19"/>
        <v>N</v>
      </c>
      <c r="N181" t="str">
        <f t="shared" si="20"/>
        <v>N</v>
      </c>
      <c r="O181">
        <f t="shared" si="21"/>
        <v>11</v>
      </c>
      <c r="P181" s="6">
        <f t="shared" si="22"/>
        <v>0.97894736842105268</v>
      </c>
      <c r="Q181" s="6">
        <f t="shared" si="23"/>
        <v>5.3763440860215058E-3</v>
      </c>
      <c r="R181">
        <f t="shared" si="24"/>
        <v>0</v>
      </c>
      <c r="S181">
        <f t="shared" si="25"/>
        <v>4</v>
      </c>
      <c r="T181">
        <f t="shared" si="26"/>
        <v>2000</v>
      </c>
    </row>
    <row r="182" spans="1:20">
      <c r="A182" t="s">
        <v>384</v>
      </c>
      <c r="B182" t="s">
        <v>67</v>
      </c>
      <c r="C182" t="s">
        <v>12</v>
      </c>
      <c r="D182">
        <v>375</v>
      </c>
      <c r="E182" s="4">
        <v>46134</v>
      </c>
      <c r="F182" s="4">
        <v>46147</v>
      </c>
      <c r="G182" s="4">
        <v>46153</v>
      </c>
      <c r="H182">
        <v>372</v>
      </c>
      <c r="I182" t="s">
        <v>385</v>
      </c>
      <c r="J182">
        <v>1</v>
      </c>
      <c r="K182" t="s">
        <v>1563</v>
      </c>
      <c r="L182" t="str">
        <f t="shared" si="18"/>
        <v>N</v>
      </c>
      <c r="M182" t="str">
        <f t="shared" si="19"/>
        <v>Y</v>
      </c>
      <c r="N182" t="str">
        <f t="shared" si="20"/>
        <v>N</v>
      </c>
      <c r="O182">
        <f t="shared" si="21"/>
        <v>19</v>
      </c>
      <c r="P182" s="6">
        <f t="shared" si="22"/>
        <v>0.99199999999999999</v>
      </c>
      <c r="Q182" s="6">
        <f t="shared" si="23"/>
        <v>2.6881720430107529E-3</v>
      </c>
      <c r="R182">
        <f t="shared" si="24"/>
        <v>0</v>
      </c>
      <c r="S182">
        <f t="shared" si="25"/>
        <v>6</v>
      </c>
      <c r="T182">
        <f t="shared" si="26"/>
        <v>3000</v>
      </c>
    </row>
    <row r="183" spans="1:20">
      <c r="A183" t="s">
        <v>386</v>
      </c>
      <c r="B183" t="s">
        <v>70</v>
      </c>
      <c r="C183" t="s">
        <v>12</v>
      </c>
      <c r="D183">
        <v>133</v>
      </c>
      <c r="E183" s="4">
        <v>46054</v>
      </c>
      <c r="F183" s="4">
        <v>46069</v>
      </c>
      <c r="G183" s="4">
        <v>46069</v>
      </c>
      <c r="H183">
        <v>134</v>
      </c>
      <c r="I183" t="s">
        <v>30</v>
      </c>
      <c r="J183">
        <v>1</v>
      </c>
      <c r="K183" t="s">
        <v>1563</v>
      </c>
      <c r="L183" t="str">
        <f t="shared" si="18"/>
        <v>Y</v>
      </c>
      <c r="M183" t="str">
        <f t="shared" si="19"/>
        <v>Y</v>
      </c>
      <c r="N183" t="str">
        <f t="shared" si="20"/>
        <v>Y</v>
      </c>
      <c r="O183">
        <f t="shared" si="21"/>
        <v>15</v>
      </c>
      <c r="P183" s="6">
        <f t="shared" si="22"/>
        <v>1.0075187969924813</v>
      </c>
      <c r="Q183" s="6">
        <f t="shared" si="23"/>
        <v>7.462686567164179E-3</v>
      </c>
      <c r="R183">
        <f t="shared" si="24"/>
        <v>1</v>
      </c>
      <c r="S183">
        <f t="shared" si="25"/>
        <v>0</v>
      </c>
      <c r="T183">
        <f t="shared" si="26"/>
        <v>0</v>
      </c>
    </row>
    <row r="184" spans="1:20">
      <c r="A184" t="s">
        <v>387</v>
      </c>
      <c r="B184" t="s">
        <v>26</v>
      </c>
      <c r="C184" t="s">
        <v>23</v>
      </c>
      <c r="D184">
        <v>705</v>
      </c>
      <c r="E184" s="4">
        <v>46043</v>
      </c>
      <c r="F184" s="4">
        <v>46056</v>
      </c>
      <c r="G184" s="4">
        <v>46056</v>
      </c>
      <c r="H184">
        <v>706</v>
      </c>
      <c r="I184" t="s">
        <v>388</v>
      </c>
      <c r="J184">
        <v>10</v>
      </c>
      <c r="K184" t="s">
        <v>1563</v>
      </c>
      <c r="L184" t="str">
        <f t="shared" si="18"/>
        <v>Y</v>
      </c>
      <c r="M184" t="str">
        <f t="shared" si="19"/>
        <v>Y</v>
      </c>
      <c r="N184" t="str">
        <f t="shared" si="20"/>
        <v>Y</v>
      </c>
      <c r="O184">
        <f t="shared" si="21"/>
        <v>13</v>
      </c>
      <c r="P184" s="6">
        <f t="shared" si="22"/>
        <v>1.0014184397163119</v>
      </c>
      <c r="Q184" s="6">
        <f t="shared" si="23"/>
        <v>1.4164305949008499E-2</v>
      </c>
      <c r="R184">
        <f t="shared" si="24"/>
        <v>1</v>
      </c>
      <c r="S184">
        <f t="shared" si="25"/>
        <v>0</v>
      </c>
      <c r="T184">
        <f t="shared" si="26"/>
        <v>0</v>
      </c>
    </row>
    <row r="185" spans="1:20">
      <c r="A185" t="s">
        <v>389</v>
      </c>
      <c r="B185" t="s">
        <v>26</v>
      </c>
      <c r="C185" t="s">
        <v>12</v>
      </c>
      <c r="D185">
        <v>381</v>
      </c>
      <c r="E185" s="4">
        <v>46143</v>
      </c>
      <c r="F185" s="4">
        <v>46152</v>
      </c>
      <c r="G185" s="4">
        <v>46152</v>
      </c>
      <c r="H185">
        <v>385</v>
      </c>
      <c r="I185" t="s">
        <v>391</v>
      </c>
      <c r="J185">
        <v>10</v>
      </c>
      <c r="K185" t="s">
        <v>1563</v>
      </c>
      <c r="L185" t="str">
        <f t="shared" si="18"/>
        <v>Y</v>
      </c>
      <c r="M185" t="str">
        <f t="shared" si="19"/>
        <v>Y</v>
      </c>
      <c r="N185" t="str">
        <f t="shared" si="20"/>
        <v>Y</v>
      </c>
      <c r="O185">
        <f t="shared" si="21"/>
        <v>9</v>
      </c>
      <c r="P185" s="6">
        <f t="shared" si="22"/>
        <v>1.0104986876640421</v>
      </c>
      <c r="Q185" s="6">
        <f t="shared" si="23"/>
        <v>2.5974025974025976E-2</v>
      </c>
      <c r="R185">
        <f t="shared" si="24"/>
        <v>1</v>
      </c>
      <c r="S185">
        <f t="shared" si="25"/>
        <v>0</v>
      </c>
      <c r="T185">
        <f t="shared" si="26"/>
        <v>0</v>
      </c>
    </row>
    <row r="186" spans="1:20">
      <c r="A186" t="s">
        <v>392</v>
      </c>
      <c r="B186" t="s">
        <v>43</v>
      </c>
      <c r="C186" t="s">
        <v>16</v>
      </c>
      <c r="D186">
        <v>319</v>
      </c>
      <c r="E186" s="4">
        <v>46050</v>
      </c>
      <c r="F186" s="4">
        <v>46061</v>
      </c>
      <c r="G186" s="4">
        <v>46058</v>
      </c>
      <c r="H186">
        <v>314</v>
      </c>
      <c r="I186" t="s">
        <v>393</v>
      </c>
      <c r="J186">
        <v>20</v>
      </c>
      <c r="K186" t="s">
        <v>1563</v>
      </c>
      <c r="L186" t="str">
        <f t="shared" si="18"/>
        <v>Y</v>
      </c>
      <c r="M186" t="str">
        <f t="shared" si="19"/>
        <v>Y</v>
      </c>
      <c r="N186" t="str">
        <f t="shared" si="20"/>
        <v>Y</v>
      </c>
      <c r="O186">
        <f t="shared" si="21"/>
        <v>8</v>
      </c>
      <c r="P186" s="6">
        <f t="shared" si="22"/>
        <v>0.98432601880877746</v>
      </c>
      <c r="Q186" s="6">
        <f t="shared" si="23"/>
        <v>6.3694267515923567E-2</v>
      </c>
      <c r="R186">
        <f t="shared" si="24"/>
        <v>1</v>
      </c>
      <c r="S186">
        <f t="shared" si="25"/>
        <v>0</v>
      </c>
      <c r="T186">
        <f t="shared" si="26"/>
        <v>0</v>
      </c>
    </row>
    <row r="187" spans="1:20">
      <c r="A187" t="s">
        <v>394</v>
      </c>
      <c r="B187" t="s">
        <v>32</v>
      </c>
      <c r="C187" t="s">
        <v>16</v>
      </c>
      <c r="D187">
        <v>864</v>
      </c>
      <c r="E187" s="4">
        <v>46066</v>
      </c>
      <c r="F187" s="4">
        <v>46075</v>
      </c>
      <c r="G187" s="4">
        <v>46072</v>
      </c>
      <c r="H187">
        <v>736</v>
      </c>
      <c r="I187" t="s">
        <v>395</v>
      </c>
      <c r="J187">
        <v>42</v>
      </c>
      <c r="K187" t="s">
        <v>1563</v>
      </c>
      <c r="L187" t="str">
        <f t="shared" si="18"/>
        <v>Y</v>
      </c>
      <c r="M187" t="str">
        <f t="shared" si="19"/>
        <v>N</v>
      </c>
      <c r="N187" t="str">
        <f t="shared" si="20"/>
        <v>N</v>
      </c>
      <c r="O187">
        <f t="shared" si="21"/>
        <v>6</v>
      </c>
      <c r="P187" s="6">
        <f t="shared" si="22"/>
        <v>0.85185185185185186</v>
      </c>
      <c r="Q187" s="6">
        <f t="shared" si="23"/>
        <v>5.7065217391304345E-2</v>
      </c>
      <c r="R187">
        <f t="shared" si="24"/>
        <v>0</v>
      </c>
      <c r="S187">
        <f t="shared" si="25"/>
        <v>0</v>
      </c>
      <c r="T187">
        <f t="shared" si="26"/>
        <v>0</v>
      </c>
    </row>
    <row r="188" spans="1:20">
      <c r="A188" t="s">
        <v>396</v>
      </c>
      <c r="B188" t="s">
        <v>43</v>
      </c>
      <c r="C188" t="s">
        <v>16</v>
      </c>
      <c r="D188">
        <v>878</v>
      </c>
      <c r="E188" s="4">
        <v>46100</v>
      </c>
      <c r="F188" s="4">
        <v>46115</v>
      </c>
      <c r="G188" s="4">
        <v>46118</v>
      </c>
      <c r="H188">
        <v>889</v>
      </c>
      <c r="I188" t="s">
        <v>316</v>
      </c>
      <c r="J188">
        <v>37</v>
      </c>
      <c r="K188" t="s">
        <v>1563</v>
      </c>
      <c r="L188" t="str">
        <f t="shared" si="18"/>
        <v>N</v>
      </c>
      <c r="M188" t="str">
        <f t="shared" si="19"/>
        <v>Y</v>
      </c>
      <c r="N188" t="str">
        <f t="shared" si="20"/>
        <v>N</v>
      </c>
      <c r="O188">
        <f t="shared" si="21"/>
        <v>18</v>
      </c>
      <c r="P188" s="6">
        <f t="shared" si="22"/>
        <v>1.0125284738041003</v>
      </c>
      <c r="Q188" s="6">
        <f t="shared" si="23"/>
        <v>4.1619797525309338E-2</v>
      </c>
      <c r="R188">
        <f t="shared" si="24"/>
        <v>0</v>
      </c>
      <c r="S188">
        <f t="shared" si="25"/>
        <v>3</v>
      </c>
      <c r="T188">
        <f t="shared" si="26"/>
        <v>1500</v>
      </c>
    </row>
    <row r="189" spans="1:20">
      <c r="A189" t="s">
        <v>397</v>
      </c>
      <c r="B189" t="s">
        <v>100</v>
      </c>
      <c r="C189" t="s">
        <v>16</v>
      </c>
      <c r="D189">
        <v>848</v>
      </c>
      <c r="E189" s="4">
        <v>46054</v>
      </c>
      <c r="F189" s="4">
        <v>46066</v>
      </c>
      <c r="G189" s="4">
        <v>46064</v>
      </c>
      <c r="H189">
        <v>805</v>
      </c>
      <c r="I189" t="s">
        <v>398</v>
      </c>
      <c r="J189">
        <v>8</v>
      </c>
      <c r="K189" t="s">
        <v>1563</v>
      </c>
      <c r="L189" t="str">
        <f t="shared" si="18"/>
        <v>Y</v>
      </c>
      <c r="M189" t="str">
        <f t="shared" si="19"/>
        <v>N</v>
      </c>
      <c r="N189" t="str">
        <f t="shared" si="20"/>
        <v>N</v>
      </c>
      <c r="O189">
        <f t="shared" si="21"/>
        <v>10</v>
      </c>
      <c r="P189" s="6">
        <f t="shared" si="22"/>
        <v>0.9492924528301887</v>
      </c>
      <c r="Q189" s="6">
        <f t="shared" si="23"/>
        <v>9.9378881987577643E-3</v>
      </c>
      <c r="R189">
        <f t="shared" si="24"/>
        <v>0</v>
      </c>
      <c r="S189">
        <f t="shared" si="25"/>
        <v>0</v>
      </c>
      <c r="T189">
        <f t="shared" si="26"/>
        <v>0</v>
      </c>
    </row>
    <row r="190" spans="1:20">
      <c r="A190" t="s">
        <v>399</v>
      </c>
      <c r="B190" t="s">
        <v>64</v>
      </c>
      <c r="C190" t="s">
        <v>12</v>
      </c>
      <c r="D190">
        <v>539</v>
      </c>
      <c r="E190" s="4">
        <v>46100</v>
      </c>
      <c r="F190" s="4">
        <v>46111</v>
      </c>
      <c r="G190" s="4">
        <v>46120</v>
      </c>
      <c r="H190">
        <v>536</v>
      </c>
      <c r="I190" t="s">
        <v>68</v>
      </c>
      <c r="J190">
        <v>5</v>
      </c>
      <c r="K190" t="s">
        <v>1563</v>
      </c>
      <c r="L190" t="str">
        <f t="shared" si="18"/>
        <v>N</v>
      </c>
      <c r="M190" t="str">
        <f t="shared" si="19"/>
        <v>Y</v>
      </c>
      <c r="N190" t="str">
        <f t="shared" si="20"/>
        <v>N</v>
      </c>
      <c r="O190">
        <f t="shared" si="21"/>
        <v>20</v>
      </c>
      <c r="P190" s="6">
        <f t="shared" si="22"/>
        <v>0.99443413729128016</v>
      </c>
      <c r="Q190" s="6">
        <f t="shared" si="23"/>
        <v>9.3283582089552231E-3</v>
      </c>
      <c r="R190">
        <f t="shared" si="24"/>
        <v>0</v>
      </c>
      <c r="S190">
        <f t="shared" si="25"/>
        <v>9</v>
      </c>
      <c r="T190">
        <f t="shared" si="26"/>
        <v>4500</v>
      </c>
    </row>
    <row r="191" spans="1:20">
      <c r="A191" t="s">
        <v>400</v>
      </c>
      <c r="B191" t="s">
        <v>22</v>
      </c>
      <c r="C191" t="s">
        <v>16</v>
      </c>
      <c r="D191">
        <v>695</v>
      </c>
      <c r="E191" s="4">
        <v>46034</v>
      </c>
      <c r="F191" s="4">
        <v>46046</v>
      </c>
      <c r="G191" s="4">
        <v>46050</v>
      </c>
      <c r="H191">
        <v>658</v>
      </c>
      <c r="I191" t="s">
        <v>401</v>
      </c>
      <c r="J191">
        <v>55</v>
      </c>
      <c r="K191" t="s">
        <v>1563</v>
      </c>
      <c r="L191" t="str">
        <f t="shared" si="18"/>
        <v>N</v>
      </c>
      <c r="M191" t="str">
        <f t="shared" si="19"/>
        <v>N</v>
      </c>
      <c r="N191" t="str">
        <f t="shared" si="20"/>
        <v>N</v>
      </c>
      <c r="O191">
        <f t="shared" si="21"/>
        <v>16</v>
      </c>
      <c r="P191" s="6">
        <f t="shared" si="22"/>
        <v>0.94676258992805751</v>
      </c>
      <c r="Q191" s="6">
        <f t="shared" si="23"/>
        <v>8.3586626139817627E-2</v>
      </c>
      <c r="R191">
        <f t="shared" si="24"/>
        <v>0</v>
      </c>
      <c r="S191">
        <f t="shared" si="25"/>
        <v>4</v>
      </c>
      <c r="T191">
        <f t="shared" si="26"/>
        <v>2000</v>
      </c>
    </row>
    <row r="192" spans="1:20">
      <c r="A192" t="s">
        <v>402</v>
      </c>
      <c r="B192" t="s">
        <v>52</v>
      </c>
      <c r="C192" t="s">
        <v>12</v>
      </c>
      <c r="D192">
        <v>745</v>
      </c>
      <c r="E192" s="4">
        <v>46103</v>
      </c>
      <c r="F192" s="4">
        <v>46111</v>
      </c>
      <c r="G192" s="4">
        <v>46109</v>
      </c>
      <c r="H192">
        <v>736</v>
      </c>
      <c r="I192" t="s">
        <v>403</v>
      </c>
      <c r="J192">
        <v>14</v>
      </c>
      <c r="K192" t="s">
        <v>1563</v>
      </c>
      <c r="L192" t="str">
        <f t="shared" si="18"/>
        <v>Y</v>
      </c>
      <c r="M192" t="str">
        <f t="shared" si="19"/>
        <v>Y</v>
      </c>
      <c r="N192" t="str">
        <f t="shared" si="20"/>
        <v>Y</v>
      </c>
      <c r="O192">
        <f t="shared" si="21"/>
        <v>6</v>
      </c>
      <c r="P192" s="6">
        <f t="shared" si="22"/>
        <v>0.98791946308724832</v>
      </c>
      <c r="Q192" s="6">
        <f t="shared" si="23"/>
        <v>1.9021739130434784E-2</v>
      </c>
      <c r="R192">
        <f t="shared" si="24"/>
        <v>1</v>
      </c>
      <c r="S192">
        <f t="shared" si="25"/>
        <v>0</v>
      </c>
      <c r="T192">
        <f t="shared" si="26"/>
        <v>0</v>
      </c>
    </row>
    <row r="193" spans="1:20">
      <c r="A193" t="s">
        <v>404</v>
      </c>
      <c r="B193" t="s">
        <v>52</v>
      </c>
      <c r="C193" t="s">
        <v>16</v>
      </c>
      <c r="D193">
        <v>466</v>
      </c>
      <c r="E193" s="4">
        <v>46097</v>
      </c>
      <c r="F193" s="4">
        <v>46112</v>
      </c>
      <c r="G193" s="4">
        <v>46121</v>
      </c>
      <c r="H193">
        <v>468</v>
      </c>
      <c r="I193" t="s">
        <v>405</v>
      </c>
      <c r="J193">
        <v>7</v>
      </c>
      <c r="K193" t="s">
        <v>1563</v>
      </c>
      <c r="L193" t="str">
        <f t="shared" si="18"/>
        <v>N</v>
      </c>
      <c r="M193" t="str">
        <f t="shared" si="19"/>
        <v>Y</v>
      </c>
      <c r="N193" t="str">
        <f t="shared" si="20"/>
        <v>N</v>
      </c>
      <c r="O193">
        <f t="shared" si="21"/>
        <v>24</v>
      </c>
      <c r="P193" s="6">
        <f t="shared" si="22"/>
        <v>1.0042918454935623</v>
      </c>
      <c r="Q193" s="6">
        <f t="shared" si="23"/>
        <v>1.4957264957264958E-2</v>
      </c>
      <c r="R193">
        <f t="shared" si="24"/>
        <v>0</v>
      </c>
      <c r="S193">
        <f t="shared" si="25"/>
        <v>9</v>
      </c>
      <c r="T193">
        <f t="shared" si="26"/>
        <v>4500</v>
      </c>
    </row>
    <row r="194" spans="1:20">
      <c r="A194" t="s">
        <v>406</v>
      </c>
      <c r="B194" t="s">
        <v>52</v>
      </c>
      <c r="C194" t="s">
        <v>12</v>
      </c>
      <c r="D194">
        <v>483</v>
      </c>
      <c r="E194" s="4">
        <v>46074</v>
      </c>
      <c r="F194" s="4">
        <v>46081</v>
      </c>
      <c r="G194" s="4">
        <v>46081</v>
      </c>
      <c r="H194">
        <v>490</v>
      </c>
      <c r="I194" t="s">
        <v>407</v>
      </c>
      <c r="J194">
        <v>13</v>
      </c>
      <c r="K194" t="s">
        <v>1563</v>
      </c>
      <c r="L194" t="str">
        <f t="shared" ref="L194:L257" si="27">IF(G194="","N/A",IF(G194&lt;=F194,"Y","N"))</f>
        <v>Y</v>
      </c>
      <c r="M194" t="str">
        <f t="shared" ref="M194:M257" si="28">IF(H194="","N/A",IF(H194&gt;=D194*0.98,"Y","N"))</f>
        <v>Y</v>
      </c>
      <c r="N194" t="str">
        <f t="shared" ref="N194:N257" si="29">IF(OR(L194="N/A",M194="N/A"),"N/A",IF(AND(L194="Y",M194="Y"),"Y","N"))</f>
        <v>Y</v>
      </c>
      <c r="O194">
        <f t="shared" ref="O194:O257" si="30">IF(G194="","N/A",G194-E194)</f>
        <v>7</v>
      </c>
      <c r="P194" s="6">
        <f t="shared" ref="P194:P257" si="31">IF(H194="","N/A",H194/D194)</f>
        <v>1.0144927536231885</v>
      </c>
      <c r="Q194" s="6">
        <f t="shared" ref="Q194:Q257" si="32">IF(H194="","N/A",IF(H194=0,0,J194/H194))</f>
        <v>2.6530612244897958E-2</v>
      </c>
      <c r="R194">
        <f t="shared" ref="R194:R257" si="33">IF(N194="Y",1,IF(N194="N",0,""))</f>
        <v>1</v>
      </c>
      <c r="S194">
        <f t="shared" ref="S194:S257" si="34">IF(G194="","N/A",MAX(G194-F194,0))</f>
        <v>0</v>
      </c>
      <c r="T194">
        <f t="shared" ref="T194:T257" si="35">IF(S194="N/A",0,S194*500)</f>
        <v>0</v>
      </c>
    </row>
    <row r="195" spans="1:20">
      <c r="A195" t="s">
        <v>408</v>
      </c>
      <c r="B195" t="s">
        <v>177</v>
      </c>
      <c r="C195" t="s">
        <v>12</v>
      </c>
      <c r="D195">
        <v>689</v>
      </c>
      <c r="E195" s="4">
        <v>46037</v>
      </c>
      <c r="F195" s="4">
        <v>46047</v>
      </c>
      <c r="G195" s="4">
        <v>46047</v>
      </c>
      <c r="H195">
        <v>692</v>
      </c>
      <c r="I195" t="s">
        <v>409</v>
      </c>
      <c r="J195">
        <v>25</v>
      </c>
      <c r="K195" t="s">
        <v>1563</v>
      </c>
      <c r="L195" t="str">
        <f t="shared" si="27"/>
        <v>Y</v>
      </c>
      <c r="M195" t="str">
        <f t="shared" si="28"/>
        <v>Y</v>
      </c>
      <c r="N195" t="str">
        <f t="shared" si="29"/>
        <v>Y</v>
      </c>
      <c r="O195">
        <f t="shared" si="30"/>
        <v>10</v>
      </c>
      <c r="P195" s="6">
        <f t="shared" si="31"/>
        <v>1.004354136429608</v>
      </c>
      <c r="Q195" s="6">
        <f t="shared" si="32"/>
        <v>3.6127167630057806E-2</v>
      </c>
      <c r="R195">
        <f t="shared" si="33"/>
        <v>1</v>
      </c>
      <c r="S195">
        <f t="shared" si="34"/>
        <v>0</v>
      </c>
      <c r="T195">
        <f t="shared" si="35"/>
        <v>0</v>
      </c>
    </row>
    <row r="196" spans="1:20">
      <c r="A196" t="s">
        <v>410</v>
      </c>
      <c r="B196" t="s">
        <v>49</v>
      </c>
      <c r="C196" t="s">
        <v>16</v>
      </c>
      <c r="D196">
        <v>443</v>
      </c>
      <c r="E196" s="4">
        <v>46072</v>
      </c>
      <c r="F196" s="4">
        <v>46078</v>
      </c>
      <c r="G196" s="4">
        <v>46075</v>
      </c>
      <c r="H196">
        <v>442</v>
      </c>
      <c r="I196" t="s">
        <v>366</v>
      </c>
      <c r="J196">
        <v>6</v>
      </c>
      <c r="K196" t="s">
        <v>1563</v>
      </c>
      <c r="L196" t="str">
        <f t="shared" si="27"/>
        <v>Y</v>
      </c>
      <c r="M196" t="str">
        <f t="shared" si="28"/>
        <v>Y</v>
      </c>
      <c r="N196" t="str">
        <f t="shared" si="29"/>
        <v>Y</v>
      </c>
      <c r="O196">
        <f t="shared" si="30"/>
        <v>3</v>
      </c>
      <c r="P196" s="6">
        <f t="shared" si="31"/>
        <v>0.99774266365688491</v>
      </c>
      <c r="Q196" s="6">
        <f t="shared" si="32"/>
        <v>1.3574660633484163E-2</v>
      </c>
      <c r="R196">
        <f t="shared" si="33"/>
        <v>1</v>
      </c>
      <c r="S196">
        <f t="shared" si="34"/>
        <v>0</v>
      </c>
      <c r="T196">
        <f t="shared" si="35"/>
        <v>0</v>
      </c>
    </row>
    <row r="197" spans="1:20">
      <c r="A197" t="s">
        <v>411</v>
      </c>
      <c r="B197" t="s">
        <v>40</v>
      </c>
      <c r="C197" t="s">
        <v>23</v>
      </c>
      <c r="D197">
        <v>490</v>
      </c>
      <c r="E197" s="4">
        <v>46147</v>
      </c>
      <c r="F197" s="4">
        <v>46152</v>
      </c>
      <c r="G197" s="4">
        <v>46150</v>
      </c>
      <c r="H197">
        <v>496</v>
      </c>
      <c r="I197" t="s">
        <v>412</v>
      </c>
      <c r="J197">
        <v>1</v>
      </c>
      <c r="K197" t="s">
        <v>1563</v>
      </c>
      <c r="L197" t="str">
        <f t="shared" si="27"/>
        <v>Y</v>
      </c>
      <c r="M197" t="str">
        <f t="shared" si="28"/>
        <v>Y</v>
      </c>
      <c r="N197" t="str">
        <f t="shared" si="29"/>
        <v>Y</v>
      </c>
      <c r="O197">
        <f t="shared" si="30"/>
        <v>3</v>
      </c>
      <c r="P197" s="6">
        <f t="shared" si="31"/>
        <v>1.0122448979591836</v>
      </c>
      <c r="Q197" s="6">
        <f t="shared" si="32"/>
        <v>2.0161290322580645E-3</v>
      </c>
      <c r="R197">
        <f t="shared" si="33"/>
        <v>1</v>
      </c>
      <c r="S197">
        <f t="shared" si="34"/>
        <v>0</v>
      </c>
      <c r="T197">
        <f t="shared" si="35"/>
        <v>0</v>
      </c>
    </row>
    <row r="198" spans="1:20">
      <c r="A198" t="s">
        <v>413</v>
      </c>
      <c r="B198" t="s">
        <v>32</v>
      </c>
      <c r="C198" t="s">
        <v>16</v>
      </c>
      <c r="D198">
        <v>759</v>
      </c>
      <c r="E198" s="4">
        <v>46092</v>
      </c>
      <c r="F198" s="4">
        <v>46097</v>
      </c>
      <c r="G198" s="4">
        <v>46094</v>
      </c>
      <c r="H198">
        <v>759</v>
      </c>
      <c r="I198" t="s">
        <v>414</v>
      </c>
      <c r="J198">
        <v>6</v>
      </c>
      <c r="K198" t="s">
        <v>1563</v>
      </c>
      <c r="L198" t="str">
        <f t="shared" si="27"/>
        <v>Y</v>
      </c>
      <c r="M198" t="str">
        <f t="shared" si="28"/>
        <v>Y</v>
      </c>
      <c r="N198" t="str">
        <f t="shared" si="29"/>
        <v>Y</v>
      </c>
      <c r="O198">
        <f t="shared" si="30"/>
        <v>2</v>
      </c>
      <c r="P198" s="6">
        <f t="shared" si="31"/>
        <v>1</v>
      </c>
      <c r="Q198" s="6">
        <f t="shared" si="32"/>
        <v>7.9051383399209481E-3</v>
      </c>
      <c r="R198">
        <f t="shared" si="33"/>
        <v>1</v>
      </c>
      <c r="S198">
        <f t="shared" si="34"/>
        <v>0</v>
      </c>
      <c r="T198">
        <f t="shared" si="35"/>
        <v>0</v>
      </c>
    </row>
    <row r="199" spans="1:20">
      <c r="A199" t="s">
        <v>415</v>
      </c>
      <c r="B199" t="s">
        <v>46</v>
      </c>
      <c r="C199" t="s">
        <v>16</v>
      </c>
      <c r="D199">
        <v>451</v>
      </c>
      <c r="E199" s="4">
        <v>46074</v>
      </c>
      <c r="F199" s="4">
        <v>46081</v>
      </c>
      <c r="G199" s="4">
        <v>46080</v>
      </c>
      <c r="H199">
        <v>454</v>
      </c>
      <c r="I199" t="s">
        <v>50</v>
      </c>
      <c r="J199">
        <v>31</v>
      </c>
      <c r="K199" t="s">
        <v>1563</v>
      </c>
      <c r="L199" t="str">
        <f t="shared" si="27"/>
        <v>Y</v>
      </c>
      <c r="M199" t="str">
        <f t="shared" si="28"/>
        <v>Y</v>
      </c>
      <c r="N199" t="str">
        <f t="shared" si="29"/>
        <v>Y</v>
      </c>
      <c r="O199">
        <f t="shared" si="30"/>
        <v>6</v>
      </c>
      <c r="P199" s="6">
        <f t="shared" si="31"/>
        <v>1.0066518847006651</v>
      </c>
      <c r="Q199" s="6">
        <f t="shared" si="32"/>
        <v>6.8281938325991193E-2</v>
      </c>
      <c r="R199">
        <f t="shared" si="33"/>
        <v>1</v>
      </c>
      <c r="S199">
        <f t="shared" si="34"/>
        <v>0</v>
      </c>
      <c r="T199">
        <f t="shared" si="35"/>
        <v>0</v>
      </c>
    </row>
    <row r="200" spans="1:20">
      <c r="A200" t="s">
        <v>416</v>
      </c>
      <c r="B200" t="s">
        <v>22</v>
      </c>
      <c r="C200" t="s">
        <v>12</v>
      </c>
      <c r="D200">
        <v>529</v>
      </c>
      <c r="E200" s="4">
        <v>46073</v>
      </c>
      <c r="F200" s="4">
        <v>46086</v>
      </c>
      <c r="G200" s="4">
        <v>46088</v>
      </c>
      <c r="H200">
        <v>522</v>
      </c>
      <c r="I200" t="s">
        <v>171</v>
      </c>
      <c r="J200">
        <v>19</v>
      </c>
      <c r="K200" t="s">
        <v>1563</v>
      </c>
      <c r="L200" t="str">
        <f t="shared" si="27"/>
        <v>N</v>
      </c>
      <c r="M200" t="str">
        <f t="shared" si="28"/>
        <v>Y</v>
      </c>
      <c r="N200" t="str">
        <f t="shared" si="29"/>
        <v>N</v>
      </c>
      <c r="O200">
        <f t="shared" si="30"/>
        <v>15</v>
      </c>
      <c r="P200" s="6">
        <f t="shared" si="31"/>
        <v>0.98676748582230622</v>
      </c>
      <c r="Q200" s="6">
        <f t="shared" si="32"/>
        <v>3.6398467432950193E-2</v>
      </c>
      <c r="R200">
        <f t="shared" si="33"/>
        <v>0</v>
      </c>
      <c r="S200">
        <f t="shared" si="34"/>
        <v>2</v>
      </c>
      <c r="T200">
        <f t="shared" si="35"/>
        <v>1000</v>
      </c>
    </row>
    <row r="201" spans="1:20">
      <c r="A201" t="s">
        <v>418</v>
      </c>
      <c r="B201" t="s">
        <v>11</v>
      </c>
      <c r="C201" t="s">
        <v>12</v>
      </c>
      <c r="D201">
        <v>716</v>
      </c>
      <c r="E201" s="4">
        <v>46058</v>
      </c>
      <c r="F201" s="4">
        <v>46065</v>
      </c>
      <c r="G201" s="4">
        <v>46064</v>
      </c>
      <c r="H201">
        <v>718</v>
      </c>
      <c r="I201" t="s">
        <v>419</v>
      </c>
      <c r="J201">
        <v>11</v>
      </c>
      <c r="K201" t="s">
        <v>1563</v>
      </c>
      <c r="L201" t="str">
        <f t="shared" si="27"/>
        <v>Y</v>
      </c>
      <c r="M201" t="str">
        <f t="shared" si="28"/>
        <v>Y</v>
      </c>
      <c r="N201" t="str">
        <f t="shared" si="29"/>
        <v>Y</v>
      </c>
      <c r="O201">
        <f t="shared" si="30"/>
        <v>6</v>
      </c>
      <c r="P201" s="6">
        <f t="shared" si="31"/>
        <v>1.0027932960893855</v>
      </c>
      <c r="Q201" s="6">
        <f t="shared" si="32"/>
        <v>1.532033426183844E-2</v>
      </c>
      <c r="R201">
        <f t="shared" si="33"/>
        <v>1</v>
      </c>
      <c r="S201">
        <f t="shared" si="34"/>
        <v>0</v>
      </c>
      <c r="T201">
        <f t="shared" si="35"/>
        <v>0</v>
      </c>
    </row>
    <row r="202" spans="1:20">
      <c r="A202" t="s">
        <v>420</v>
      </c>
      <c r="B202" t="s">
        <v>120</v>
      </c>
      <c r="C202" t="s">
        <v>12</v>
      </c>
      <c r="D202">
        <v>879</v>
      </c>
      <c r="E202" s="4">
        <v>46148</v>
      </c>
      <c r="F202" s="4">
        <v>46154</v>
      </c>
      <c r="G202" s="4">
        <v>46154</v>
      </c>
      <c r="H202">
        <v>888</v>
      </c>
      <c r="I202" t="s">
        <v>421</v>
      </c>
      <c r="J202">
        <v>6</v>
      </c>
      <c r="K202" t="s">
        <v>1563</v>
      </c>
      <c r="L202" t="str">
        <f t="shared" si="27"/>
        <v>Y</v>
      </c>
      <c r="M202" t="str">
        <f t="shared" si="28"/>
        <v>Y</v>
      </c>
      <c r="N202" t="str">
        <f t="shared" si="29"/>
        <v>Y</v>
      </c>
      <c r="O202">
        <f t="shared" si="30"/>
        <v>6</v>
      </c>
      <c r="P202" s="6">
        <f t="shared" si="31"/>
        <v>1.0102389078498293</v>
      </c>
      <c r="Q202" s="6">
        <f t="shared" si="32"/>
        <v>6.7567567567567571E-3</v>
      </c>
      <c r="R202">
        <f t="shared" si="33"/>
        <v>1</v>
      </c>
      <c r="S202">
        <f t="shared" si="34"/>
        <v>0</v>
      </c>
      <c r="T202">
        <f t="shared" si="35"/>
        <v>0</v>
      </c>
    </row>
    <row r="203" spans="1:20">
      <c r="A203" t="s">
        <v>422</v>
      </c>
      <c r="B203" t="s">
        <v>67</v>
      </c>
      <c r="C203" t="s">
        <v>23</v>
      </c>
      <c r="D203">
        <v>202</v>
      </c>
      <c r="E203" s="4">
        <v>46113</v>
      </c>
      <c r="F203" s="4">
        <v>46126</v>
      </c>
      <c r="G203" s="4">
        <v>46123</v>
      </c>
      <c r="H203">
        <v>201</v>
      </c>
      <c r="I203" t="s">
        <v>423</v>
      </c>
      <c r="J203">
        <v>7</v>
      </c>
      <c r="K203" t="s">
        <v>1563</v>
      </c>
      <c r="L203" t="str">
        <f t="shared" si="27"/>
        <v>Y</v>
      </c>
      <c r="M203" t="str">
        <f t="shared" si="28"/>
        <v>Y</v>
      </c>
      <c r="N203" t="str">
        <f t="shared" si="29"/>
        <v>Y</v>
      </c>
      <c r="O203">
        <f t="shared" si="30"/>
        <v>10</v>
      </c>
      <c r="P203" s="6">
        <f t="shared" si="31"/>
        <v>0.99504950495049505</v>
      </c>
      <c r="Q203" s="6">
        <f t="shared" si="32"/>
        <v>3.482587064676617E-2</v>
      </c>
      <c r="R203">
        <f t="shared" si="33"/>
        <v>1</v>
      </c>
      <c r="S203">
        <f t="shared" si="34"/>
        <v>0</v>
      </c>
      <c r="T203">
        <f t="shared" si="35"/>
        <v>0</v>
      </c>
    </row>
    <row r="204" spans="1:20">
      <c r="A204" t="s">
        <v>424</v>
      </c>
      <c r="B204" t="s">
        <v>40</v>
      </c>
      <c r="C204" t="s">
        <v>12</v>
      </c>
      <c r="D204">
        <v>561</v>
      </c>
      <c r="E204" s="4">
        <v>46164</v>
      </c>
      <c r="F204" s="4">
        <v>46179</v>
      </c>
      <c r="G204" s="4">
        <v>46181</v>
      </c>
      <c r="H204">
        <v>555</v>
      </c>
      <c r="I204" t="s">
        <v>96</v>
      </c>
      <c r="J204">
        <v>49</v>
      </c>
      <c r="K204" t="s">
        <v>1563</v>
      </c>
      <c r="L204" t="str">
        <f t="shared" si="27"/>
        <v>N</v>
      </c>
      <c r="M204" t="str">
        <f t="shared" si="28"/>
        <v>Y</v>
      </c>
      <c r="N204" t="str">
        <f t="shared" si="29"/>
        <v>N</v>
      </c>
      <c r="O204">
        <f t="shared" si="30"/>
        <v>17</v>
      </c>
      <c r="P204" s="6">
        <f t="shared" si="31"/>
        <v>0.98930481283422456</v>
      </c>
      <c r="Q204" s="6">
        <f t="shared" si="32"/>
        <v>8.8288288288288289E-2</v>
      </c>
      <c r="R204">
        <f t="shared" si="33"/>
        <v>0</v>
      </c>
      <c r="S204">
        <f t="shared" si="34"/>
        <v>2</v>
      </c>
      <c r="T204">
        <f t="shared" si="35"/>
        <v>1000</v>
      </c>
    </row>
    <row r="205" spans="1:20">
      <c r="A205" t="s">
        <v>425</v>
      </c>
      <c r="B205" t="s">
        <v>26</v>
      </c>
      <c r="C205" t="s">
        <v>16</v>
      </c>
      <c r="D205">
        <v>994</v>
      </c>
      <c r="E205" s="4">
        <v>46082</v>
      </c>
      <c r="F205" s="4">
        <v>46093</v>
      </c>
      <c r="G205" s="4">
        <v>46091</v>
      </c>
      <c r="H205">
        <v>982</v>
      </c>
      <c r="I205" t="s">
        <v>426</v>
      </c>
      <c r="J205">
        <v>27</v>
      </c>
      <c r="K205" t="s">
        <v>1563</v>
      </c>
      <c r="L205" t="str">
        <f t="shared" si="27"/>
        <v>Y</v>
      </c>
      <c r="M205" t="str">
        <f t="shared" si="28"/>
        <v>Y</v>
      </c>
      <c r="N205" t="str">
        <f t="shared" si="29"/>
        <v>Y</v>
      </c>
      <c r="O205">
        <f t="shared" si="30"/>
        <v>9</v>
      </c>
      <c r="P205" s="6">
        <f t="shared" si="31"/>
        <v>0.98792756539235416</v>
      </c>
      <c r="Q205" s="6">
        <f t="shared" si="32"/>
        <v>2.7494908350305498E-2</v>
      </c>
      <c r="R205">
        <f t="shared" si="33"/>
        <v>1</v>
      </c>
      <c r="S205">
        <f t="shared" si="34"/>
        <v>0</v>
      </c>
      <c r="T205">
        <f t="shared" si="35"/>
        <v>0</v>
      </c>
    </row>
    <row r="206" spans="1:20">
      <c r="A206" t="s">
        <v>427</v>
      </c>
      <c r="B206" t="s">
        <v>120</v>
      </c>
      <c r="C206" t="s">
        <v>16</v>
      </c>
      <c r="D206">
        <v>176</v>
      </c>
      <c r="E206" s="4">
        <v>46142</v>
      </c>
      <c r="F206" s="4">
        <v>46157</v>
      </c>
      <c r="G206" s="4"/>
      <c r="I206" t="s">
        <v>428</v>
      </c>
      <c r="K206" t="s">
        <v>1565</v>
      </c>
      <c r="L206" t="str">
        <f t="shared" si="27"/>
        <v>N/A</v>
      </c>
      <c r="M206" t="str">
        <f t="shared" si="28"/>
        <v>N/A</v>
      </c>
      <c r="N206" t="str">
        <f t="shared" si="29"/>
        <v>N/A</v>
      </c>
      <c r="O206" t="str">
        <f t="shared" si="30"/>
        <v>N/A</v>
      </c>
      <c r="P206" s="6" t="str">
        <f t="shared" si="31"/>
        <v>N/A</v>
      </c>
      <c r="Q206" s="6" t="str">
        <f t="shared" si="32"/>
        <v>N/A</v>
      </c>
      <c r="R206" t="str">
        <f t="shared" si="33"/>
        <v/>
      </c>
      <c r="S206" t="str">
        <f t="shared" si="34"/>
        <v>N/A</v>
      </c>
      <c r="T206">
        <f t="shared" si="35"/>
        <v>0</v>
      </c>
    </row>
    <row r="207" spans="1:20">
      <c r="A207" t="s">
        <v>429</v>
      </c>
      <c r="B207" t="s">
        <v>22</v>
      </c>
      <c r="C207" t="s">
        <v>12</v>
      </c>
      <c r="D207">
        <v>242</v>
      </c>
      <c r="E207" s="4">
        <v>46080</v>
      </c>
      <c r="F207" s="4">
        <v>46090</v>
      </c>
      <c r="G207" s="4">
        <v>46088</v>
      </c>
      <c r="H207">
        <v>242</v>
      </c>
      <c r="I207" t="s">
        <v>260</v>
      </c>
      <c r="J207">
        <v>2</v>
      </c>
      <c r="K207" t="s">
        <v>1563</v>
      </c>
      <c r="L207" t="str">
        <f t="shared" si="27"/>
        <v>Y</v>
      </c>
      <c r="M207" t="str">
        <f t="shared" si="28"/>
        <v>Y</v>
      </c>
      <c r="N207" t="str">
        <f t="shared" si="29"/>
        <v>Y</v>
      </c>
      <c r="O207">
        <f t="shared" si="30"/>
        <v>8</v>
      </c>
      <c r="P207" s="6">
        <f t="shared" si="31"/>
        <v>1</v>
      </c>
      <c r="Q207" s="6">
        <f t="shared" si="32"/>
        <v>8.2644628099173556E-3</v>
      </c>
      <c r="R207">
        <f t="shared" si="33"/>
        <v>1</v>
      </c>
      <c r="S207">
        <f t="shared" si="34"/>
        <v>0</v>
      </c>
      <c r="T207">
        <f t="shared" si="35"/>
        <v>0</v>
      </c>
    </row>
    <row r="208" spans="1:20">
      <c r="A208" t="s">
        <v>431</v>
      </c>
      <c r="B208" t="s">
        <v>100</v>
      </c>
      <c r="C208" t="s">
        <v>16</v>
      </c>
      <c r="D208">
        <v>641</v>
      </c>
      <c r="E208" s="4">
        <v>46073</v>
      </c>
      <c r="F208" s="4">
        <v>46086</v>
      </c>
      <c r="G208" s="4">
        <v>46085</v>
      </c>
      <c r="H208">
        <v>636</v>
      </c>
      <c r="I208" t="s">
        <v>432</v>
      </c>
      <c r="J208">
        <v>4</v>
      </c>
      <c r="K208" t="s">
        <v>1563</v>
      </c>
      <c r="L208" t="str">
        <f t="shared" si="27"/>
        <v>Y</v>
      </c>
      <c r="M208" t="str">
        <f t="shared" si="28"/>
        <v>Y</v>
      </c>
      <c r="N208" t="str">
        <f t="shared" si="29"/>
        <v>Y</v>
      </c>
      <c r="O208">
        <f t="shared" si="30"/>
        <v>12</v>
      </c>
      <c r="P208" s="6">
        <f t="shared" si="31"/>
        <v>0.99219968798751945</v>
      </c>
      <c r="Q208" s="6">
        <f t="shared" si="32"/>
        <v>6.2893081761006293E-3</v>
      </c>
      <c r="R208">
        <f t="shared" si="33"/>
        <v>1</v>
      </c>
      <c r="S208">
        <f t="shared" si="34"/>
        <v>0</v>
      </c>
      <c r="T208">
        <f t="shared" si="35"/>
        <v>0</v>
      </c>
    </row>
    <row r="209" spans="1:20">
      <c r="A209" t="s">
        <v>433</v>
      </c>
      <c r="B209" t="s">
        <v>19</v>
      </c>
      <c r="C209" t="s">
        <v>12</v>
      </c>
      <c r="D209">
        <v>884</v>
      </c>
      <c r="E209" s="4">
        <v>46123</v>
      </c>
      <c r="F209" s="4">
        <v>46131</v>
      </c>
      <c r="G209" s="4">
        <v>46133</v>
      </c>
      <c r="H209">
        <v>871</v>
      </c>
      <c r="I209" t="s">
        <v>434</v>
      </c>
      <c r="J209">
        <v>49</v>
      </c>
      <c r="K209" t="s">
        <v>1563</v>
      </c>
      <c r="L209" t="str">
        <f t="shared" si="27"/>
        <v>N</v>
      </c>
      <c r="M209" t="str">
        <f t="shared" si="28"/>
        <v>Y</v>
      </c>
      <c r="N209" t="str">
        <f t="shared" si="29"/>
        <v>N</v>
      </c>
      <c r="O209">
        <f t="shared" si="30"/>
        <v>10</v>
      </c>
      <c r="P209" s="6">
        <f t="shared" si="31"/>
        <v>0.98529411764705888</v>
      </c>
      <c r="Q209" s="6">
        <f t="shared" si="32"/>
        <v>5.6257175660160738E-2</v>
      </c>
      <c r="R209">
        <f t="shared" si="33"/>
        <v>0</v>
      </c>
      <c r="S209">
        <f t="shared" si="34"/>
        <v>2</v>
      </c>
      <c r="T209">
        <f t="shared" si="35"/>
        <v>1000</v>
      </c>
    </row>
    <row r="210" spans="1:20">
      <c r="A210" t="s">
        <v>435</v>
      </c>
      <c r="B210" t="s">
        <v>46</v>
      </c>
      <c r="C210" t="s">
        <v>23</v>
      </c>
      <c r="D210">
        <v>940</v>
      </c>
      <c r="E210" s="4">
        <v>46069</v>
      </c>
      <c r="F210" s="4">
        <v>46074</v>
      </c>
      <c r="G210" s="4">
        <v>46072</v>
      </c>
      <c r="H210">
        <v>934</v>
      </c>
      <c r="I210" t="s">
        <v>437</v>
      </c>
      <c r="J210">
        <v>43</v>
      </c>
      <c r="K210" t="s">
        <v>1563</v>
      </c>
      <c r="L210" t="str">
        <f t="shared" si="27"/>
        <v>Y</v>
      </c>
      <c r="M210" t="str">
        <f t="shared" si="28"/>
        <v>Y</v>
      </c>
      <c r="N210" t="str">
        <f t="shared" si="29"/>
        <v>Y</v>
      </c>
      <c r="O210">
        <f t="shared" si="30"/>
        <v>3</v>
      </c>
      <c r="P210" s="6">
        <f t="shared" si="31"/>
        <v>0.99361702127659579</v>
      </c>
      <c r="Q210" s="6">
        <f t="shared" si="32"/>
        <v>4.6038543897216275E-2</v>
      </c>
      <c r="R210">
        <f t="shared" si="33"/>
        <v>1</v>
      </c>
      <c r="S210">
        <f t="shared" si="34"/>
        <v>0</v>
      </c>
      <c r="T210">
        <f t="shared" si="35"/>
        <v>0</v>
      </c>
    </row>
    <row r="211" spans="1:20">
      <c r="A211" t="s">
        <v>438</v>
      </c>
      <c r="B211" t="s">
        <v>26</v>
      </c>
      <c r="C211" t="s">
        <v>12</v>
      </c>
      <c r="D211">
        <v>473</v>
      </c>
      <c r="E211" s="4">
        <v>46119</v>
      </c>
      <c r="F211" s="4">
        <v>46128</v>
      </c>
      <c r="G211" s="4">
        <v>46125</v>
      </c>
      <c r="H211">
        <v>467</v>
      </c>
      <c r="I211" t="s">
        <v>214</v>
      </c>
      <c r="J211">
        <v>5</v>
      </c>
      <c r="K211" t="s">
        <v>1563</v>
      </c>
      <c r="L211" t="str">
        <f t="shared" si="27"/>
        <v>Y</v>
      </c>
      <c r="M211" t="str">
        <f t="shared" si="28"/>
        <v>Y</v>
      </c>
      <c r="N211" t="str">
        <f t="shared" si="29"/>
        <v>Y</v>
      </c>
      <c r="O211">
        <f t="shared" si="30"/>
        <v>6</v>
      </c>
      <c r="P211" s="6">
        <f t="shared" si="31"/>
        <v>0.98731501057082449</v>
      </c>
      <c r="Q211" s="6">
        <f t="shared" si="32"/>
        <v>1.0706638115631691E-2</v>
      </c>
      <c r="R211">
        <f t="shared" si="33"/>
        <v>1</v>
      </c>
      <c r="S211">
        <f t="shared" si="34"/>
        <v>0</v>
      </c>
      <c r="T211">
        <f t="shared" si="35"/>
        <v>0</v>
      </c>
    </row>
    <row r="212" spans="1:20">
      <c r="A212" t="s">
        <v>439</v>
      </c>
      <c r="B212" t="s">
        <v>81</v>
      </c>
      <c r="C212" t="s">
        <v>23</v>
      </c>
      <c r="D212">
        <v>177</v>
      </c>
      <c r="E212" s="4">
        <v>46064</v>
      </c>
      <c r="F212" s="4">
        <v>46070</v>
      </c>
      <c r="G212" s="4">
        <v>46069</v>
      </c>
      <c r="H212">
        <v>180</v>
      </c>
      <c r="I212" t="s">
        <v>296</v>
      </c>
      <c r="J212">
        <v>1</v>
      </c>
      <c r="K212" t="s">
        <v>1563</v>
      </c>
      <c r="L212" t="str">
        <f t="shared" si="27"/>
        <v>Y</v>
      </c>
      <c r="M212" t="str">
        <f t="shared" si="28"/>
        <v>Y</v>
      </c>
      <c r="N212" t="str">
        <f t="shared" si="29"/>
        <v>Y</v>
      </c>
      <c r="O212">
        <f t="shared" si="30"/>
        <v>5</v>
      </c>
      <c r="P212" s="6">
        <f t="shared" si="31"/>
        <v>1.0169491525423728</v>
      </c>
      <c r="Q212" s="6">
        <f t="shared" si="32"/>
        <v>5.5555555555555558E-3</v>
      </c>
      <c r="R212">
        <f t="shared" si="33"/>
        <v>1</v>
      </c>
      <c r="S212">
        <f t="shared" si="34"/>
        <v>0</v>
      </c>
      <c r="T212">
        <f t="shared" si="35"/>
        <v>0</v>
      </c>
    </row>
    <row r="213" spans="1:20">
      <c r="A213" t="s">
        <v>440</v>
      </c>
      <c r="B213" t="s">
        <v>120</v>
      </c>
      <c r="C213" t="s">
        <v>12</v>
      </c>
      <c r="D213">
        <v>179</v>
      </c>
      <c r="E213" s="4">
        <v>46115</v>
      </c>
      <c r="F213" s="4">
        <v>46120</v>
      </c>
      <c r="G213" s="4">
        <v>46118</v>
      </c>
      <c r="H213">
        <v>179</v>
      </c>
      <c r="I213" t="s">
        <v>55</v>
      </c>
      <c r="J213">
        <v>9</v>
      </c>
      <c r="K213" t="s">
        <v>1563</v>
      </c>
      <c r="L213" t="str">
        <f t="shared" si="27"/>
        <v>Y</v>
      </c>
      <c r="M213" t="str">
        <f t="shared" si="28"/>
        <v>Y</v>
      </c>
      <c r="N213" t="str">
        <f t="shared" si="29"/>
        <v>Y</v>
      </c>
      <c r="O213">
        <f t="shared" si="30"/>
        <v>3</v>
      </c>
      <c r="P213" s="6">
        <f t="shared" si="31"/>
        <v>1</v>
      </c>
      <c r="Q213" s="6">
        <f t="shared" si="32"/>
        <v>5.027932960893855E-2</v>
      </c>
      <c r="R213">
        <f t="shared" si="33"/>
        <v>1</v>
      </c>
      <c r="S213">
        <f t="shared" si="34"/>
        <v>0</v>
      </c>
      <c r="T213">
        <f t="shared" si="35"/>
        <v>0</v>
      </c>
    </row>
    <row r="214" spans="1:20">
      <c r="A214" t="s">
        <v>441</v>
      </c>
      <c r="B214" t="s">
        <v>19</v>
      </c>
      <c r="C214" t="s">
        <v>12</v>
      </c>
      <c r="D214">
        <v>708</v>
      </c>
      <c r="E214" s="4">
        <v>46148</v>
      </c>
      <c r="F214" s="4">
        <v>46159</v>
      </c>
      <c r="G214" s="4">
        <v>46164</v>
      </c>
      <c r="H214">
        <v>701</v>
      </c>
      <c r="I214" t="s">
        <v>442</v>
      </c>
      <c r="J214">
        <v>29</v>
      </c>
      <c r="K214" t="s">
        <v>1563</v>
      </c>
      <c r="L214" t="str">
        <f t="shared" si="27"/>
        <v>N</v>
      </c>
      <c r="M214" t="str">
        <f t="shared" si="28"/>
        <v>Y</v>
      </c>
      <c r="N214" t="str">
        <f t="shared" si="29"/>
        <v>N</v>
      </c>
      <c r="O214">
        <f t="shared" si="30"/>
        <v>16</v>
      </c>
      <c r="P214" s="6">
        <f t="shared" si="31"/>
        <v>0.99011299435028244</v>
      </c>
      <c r="Q214" s="6">
        <f t="shared" si="32"/>
        <v>4.136947218259629E-2</v>
      </c>
      <c r="R214">
        <f t="shared" si="33"/>
        <v>0</v>
      </c>
      <c r="S214">
        <f t="shared" si="34"/>
        <v>5</v>
      </c>
      <c r="T214">
        <f t="shared" si="35"/>
        <v>2500</v>
      </c>
    </row>
    <row r="215" spans="1:20">
      <c r="A215" t="s">
        <v>443</v>
      </c>
      <c r="B215" t="s">
        <v>177</v>
      </c>
      <c r="C215" t="s">
        <v>12</v>
      </c>
      <c r="D215">
        <v>899</v>
      </c>
      <c r="E215" s="4">
        <v>46031</v>
      </c>
      <c r="F215" s="4">
        <v>46039</v>
      </c>
      <c r="G215" s="4">
        <v>46047</v>
      </c>
      <c r="H215">
        <v>915</v>
      </c>
      <c r="I215" t="s">
        <v>444</v>
      </c>
      <c r="J215">
        <v>26</v>
      </c>
      <c r="K215" t="s">
        <v>1563</v>
      </c>
      <c r="L215" t="str">
        <f t="shared" si="27"/>
        <v>N</v>
      </c>
      <c r="M215" t="str">
        <f t="shared" si="28"/>
        <v>Y</v>
      </c>
      <c r="N215" t="str">
        <f t="shared" si="29"/>
        <v>N</v>
      </c>
      <c r="O215">
        <f t="shared" si="30"/>
        <v>16</v>
      </c>
      <c r="P215" s="6">
        <f t="shared" si="31"/>
        <v>1.0177975528364849</v>
      </c>
      <c r="Q215" s="6">
        <f t="shared" si="32"/>
        <v>2.8415300546448089E-2</v>
      </c>
      <c r="R215">
        <f t="shared" si="33"/>
        <v>0</v>
      </c>
      <c r="S215">
        <f t="shared" si="34"/>
        <v>8</v>
      </c>
      <c r="T215">
        <f t="shared" si="35"/>
        <v>4000</v>
      </c>
    </row>
    <row r="216" spans="1:20">
      <c r="A216" t="s">
        <v>445</v>
      </c>
      <c r="B216" t="s">
        <v>52</v>
      </c>
      <c r="C216" t="s">
        <v>16</v>
      </c>
      <c r="D216">
        <v>744</v>
      </c>
      <c r="E216" s="4">
        <v>46032</v>
      </c>
      <c r="F216" s="4">
        <v>46042</v>
      </c>
      <c r="G216" s="4"/>
      <c r="I216" t="s">
        <v>446</v>
      </c>
      <c r="K216" t="s">
        <v>1565</v>
      </c>
      <c r="L216" t="str">
        <f t="shared" si="27"/>
        <v>N/A</v>
      </c>
      <c r="M216" t="str">
        <f t="shared" si="28"/>
        <v>N/A</v>
      </c>
      <c r="N216" t="str">
        <f t="shared" si="29"/>
        <v>N/A</v>
      </c>
      <c r="O216" t="str">
        <f t="shared" si="30"/>
        <v>N/A</v>
      </c>
      <c r="P216" s="6" t="str">
        <f t="shared" si="31"/>
        <v>N/A</v>
      </c>
      <c r="Q216" s="6" t="str">
        <f t="shared" si="32"/>
        <v>N/A</v>
      </c>
      <c r="R216" t="str">
        <f t="shared" si="33"/>
        <v/>
      </c>
      <c r="S216" t="str">
        <f t="shared" si="34"/>
        <v>N/A</v>
      </c>
      <c r="T216">
        <f t="shared" si="35"/>
        <v>0</v>
      </c>
    </row>
    <row r="217" spans="1:20">
      <c r="A217" t="s">
        <v>447</v>
      </c>
      <c r="B217" t="s">
        <v>19</v>
      </c>
      <c r="C217" t="s">
        <v>16</v>
      </c>
      <c r="D217">
        <v>252</v>
      </c>
      <c r="E217" s="4">
        <v>46126</v>
      </c>
      <c r="F217" s="4">
        <v>46137</v>
      </c>
      <c r="G217" s="4">
        <v>46146</v>
      </c>
      <c r="H217">
        <v>230</v>
      </c>
      <c r="I217" t="s">
        <v>448</v>
      </c>
      <c r="J217">
        <v>10</v>
      </c>
      <c r="K217" t="s">
        <v>1563</v>
      </c>
      <c r="L217" t="str">
        <f t="shared" si="27"/>
        <v>N</v>
      </c>
      <c r="M217" t="str">
        <f t="shared" si="28"/>
        <v>N</v>
      </c>
      <c r="N217" t="str">
        <f t="shared" si="29"/>
        <v>N</v>
      </c>
      <c r="O217">
        <f t="shared" si="30"/>
        <v>20</v>
      </c>
      <c r="P217" s="6">
        <f t="shared" si="31"/>
        <v>0.91269841269841268</v>
      </c>
      <c r="Q217" s="6">
        <f t="shared" si="32"/>
        <v>4.3478260869565216E-2</v>
      </c>
      <c r="R217">
        <f t="shared" si="33"/>
        <v>0</v>
      </c>
      <c r="S217">
        <f t="shared" si="34"/>
        <v>9</v>
      </c>
      <c r="T217">
        <f t="shared" si="35"/>
        <v>4500</v>
      </c>
    </row>
    <row r="218" spans="1:20">
      <c r="A218" t="s">
        <v>449</v>
      </c>
      <c r="B218" t="s">
        <v>32</v>
      </c>
      <c r="C218" t="s">
        <v>16</v>
      </c>
      <c r="D218">
        <v>787</v>
      </c>
      <c r="E218" s="4">
        <v>46082</v>
      </c>
      <c r="F218" s="4">
        <v>46092</v>
      </c>
      <c r="G218" s="4">
        <v>46091</v>
      </c>
      <c r="H218">
        <v>637</v>
      </c>
      <c r="I218" t="s">
        <v>209</v>
      </c>
      <c r="J218">
        <v>35</v>
      </c>
      <c r="K218" t="s">
        <v>1563</v>
      </c>
      <c r="L218" t="str">
        <f t="shared" si="27"/>
        <v>Y</v>
      </c>
      <c r="M218" t="str">
        <f t="shared" si="28"/>
        <v>N</v>
      </c>
      <c r="N218" t="str">
        <f t="shared" si="29"/>
        <v>N</v>
      </c>
      <c r="O218">
        <f t="shared" si="30"/>
        <v>9</v>
      </c>
      <c r="P218" s="6">
        <f t="shared" si="31"/>
        <v>0.80940279542566707</v>
      </c>
      <c r="Q218" s="6">
        <f t="shared" si="32"/>
        <v>5.4945054945054944E-2</v>
      </c>
      <c r="R218">
        <f t="shared" si="33"/>
        <v>0</v>
      </c>
      <c r="S218">
        <f t="shared" si="34"/>
        <v>0</v>
      </c>
      <c r="T218">
        <f t="shared" si="35"/>
        <v>0</v>
      </c>
    </row>
    <row r="219" spans="1:20">
      <c r="A219" t="s">
        <v>450</v>
      </c>
      <c r="B219" t="s">
        <v>67</v>
      </c>
      <c r="C219" t="s">
        <v>23</v>
      </c>
      <c r="D219">
        <v>532</v>
      </c>
      <c r="E219" s="4">
        <v>46032</v>
      </c>
      <c r="F219" s="4">
        <v>46039</v>
      </c>
      <c r="G219" s="4">
        <v>46036</v>
      </c>
      <c r="H219">
        <v>537</v>
      </c>
      <c r="I219" t="s">
        <v>219</v>
      </c>
      <c r="J219">
        <v>23</v>
      </c>
      <c r="K219" t="s">
        <v>1563</v>
      </c>
      <c r="L219" t="str">
        <f t="shared" si="27"/>
        <v>Y</v>
      </c>
      <c r="M219" t="str">
        <f t="shared" si="28"/>
        <v>Y</v>
      </c>
      <c r="N219" t="str">
        <f t="shared" si="29"/>
        <v>Y</v>
      </c>
      <c r="O219">
        <f t="shared" si="30"/>
        <v>4</v>
      </c>
      <c r="P219" s="6">
        <f t="shared" si="31"/>
        <v>1.0093984962406015</v>
      </c>
      <c r="Q219" s="6">
        <f t="shared" si="32"/>
        <v>4.2830540037243951E-2</v>
      </c>
      <c r="R219">
        <f t="shared" si="33"/>
        <v>1</v>
      </c>
      <c r="S219">
        <f t="shared" si="34"/>
        <v>0</v>
      </c>
      <c r="T219">
        <f t="shared" si="35"/>
        <v>0</v>
      </c>
    </row>
    <row r="220" spans="1:20">
      <c r="A220" t="s">
        <v>451</v>
      </c>
      <c r="B220" t="s">
        <v>100</v>
      </c>
      <c r="C220" t="s">
        <v>16</v>
      </c>
      <c r="D220">
        <v>445</v>
      </c>
      <c r="E220" s="4">
        <v>46075</v>
      </c>
      <c r="F220" s="4">
        <v>46086</v>
      </c>
      <c r="G220" s="4">
        <v>46086</v>
      </c>
      <c r="H220">
        <v>441</v>
      </c>
      <c r="I220" t="s">
        <v>452</v>
      </c>
      <c r="J220">
        <v>2</v>
      </c>
      <c r="K220" t="s">
        <v>1563</v>
      </c>
      <c r="L220" t="str">
        <f t="shared" si="27"/>
        <v>Y</v>
      </c>
      <c r="M220" t="str">
        <f t="shared" si="28"/>
        <v>Y</v>
      </c>
      <c r="N220" t="str">
        <f t="shared" si="29"/>
        <v>Y</v>
      </c>
      <c r="O220">
        <f t="shared" si="30"/>
        <v>11</v>
      </c>
      <c r="P220" s="6">
        <f t="shared" si="31"/>
        <v>0.99101123595505614</v>
      </c>
      <c r="Q220" s="6">
        <f t="shared" si="32"/>
        <v>4.5351473922902496E-3</v>
      </c>
      <c r="R220">
        <f t="shared" si="33"/>
        <v>1</v>
      </c>
      <c r="S220">
        <f t="shared" si="34"/>
        <v>0</v>
      </c>
      <c r="T220">
        <f t="shared" si="35"/>
        <v>0</v>
      </c>
    </row>
    <row r="221" spans="1:20">
      <c r="A221" t="s">
        <v>453</v>
      </c>
      <c r="B221" t="s">
        <v>81</v>
      </c>
      <c r="C221" t="s">
        <v>12</v>
      </c>
      <c r="D221">
        <v>927</v>
      </c>
      <c r="E221" s="4">
        <v>46173</v>
      </c>
      <c r="F221" s="4">
        <v>46178</v>
      </c>
      <c r="G221" s="4">
        <v>46185</v>
      </c>
      <c r="H221">
        <v>810</v>
      </c>
      <c r="I221" t="s">
        <v>409</v>
      </c>
      <c r="J221">
        <v>9</v>
      </c>
      <c r="K221" t="s">
        <v>1563</v>
      </c>
      <c r="L221" t="str">
        <f t="shared" si="27"/>
        <v>N</v>
      </c>
      <c r="M221" t="str">
        <f t="shared" si="28"/>
        <v>N</v>
      </c>
      <c r="N221" t="str">
        <f t="shared" si="29"/>
        <v>N</v>
      </c>
      <c r="O221">
        <f t="shared" si="30"/>
        <v>12</v>
      </c>
      <c r="P221" s="6">
        <f t="shared" si="31"/>
        <v>0.87378640776699024</v>
      </c>
      <c r="Q221" s="6">
        <f t="shared" si="32"/>
        <v>1.1111111111111112E-2</v>
      </c>
      <c r="R221">
        <f t="shared" si="33"/>
        <v>0</v>
      </c>
      <c r="S221">
        <f t="shared" si="34"/>
        <v>7</v>
      </c>
      <c r="T221">
        <f t="shared" si="35"/>
        <v>3500</v>
      </c>
    </row>
    <row r="222" spans="1:20">
      <c r="A222" t="s">
        <v>454</v>
      </c>
      <c r="B222" t="s">
        <v>177</v>
      </c>
      <c r="C222" t="s">
        <v>12</v>
      </c>
      <c r="D222">
        <v>967</v>
      </c>
      <c r="E222" s="4">
        <v>46091</v>
      </c>
      <c r="F222" s="4">
        <v>46102</v>
      </c>
      <c r="G222" s="4">
        <v>46102</v>
      </c>
      <c r="H222">
        <v>835</v>
      </c>
      <c r="I222" t="s">
        <v>456</v>
      </c>
      <c r="J222">
        <v>42</v>
      </c>
      <c r="K222" t="s">
        <v>1563</v>
      </c>
      <c r="L222" t="str">
        <f t="shared" si="27"/>
        <v>Y</v>
      </c>
      <c r="M222" t="str">
        <f t="shared" si="28"/>
        <v>N</v>
      </c>
      <c r="N222" t="str">
        <f t="shared" si="29"/>
        <v>N</v>
      </c>
      <c r="O222">
        <f t="shared" si="30"/>
        <v>11</v>
      </c>
      <c r="P222" s="6">
        <f t="shared" si="31"/>
        <v>0.86349534643226478</v>
      </c>
      <c r="Q222" s="6">
        <f t="shared" si="32"/>
        <v>5.0299401197604787E-2</v>
      </c>
      <c r="R222">
        <f t="shared" si="33"/>
        <v>0</v>
      </c>
      <c r="S222">
        <f t="shared" si="34"/>
        <v>0</v>
      </c>
      <c r="T222">
        <f t="shared" si="35"/>
        <v>0</v>
      </c>
    </row>
    <row r="223" spans="1:20">
      <c r="A223" t="s">
        <v>457</v>
      </c>
      <c r="B223" t="s">
        <v>26</v>
      </c>
      <c r="C223" t="s">
        <v>23</v>
      </c>
      <c r="D223">
        <v>476</v>
      </c>
      <c r="E223" s="4">
        <v>46072</v>
      </c>
      <c r="F223" s="4">
        <v>46082</v>
      </c>
      <c r="G223" s="4">
        <v>46083</v>
      </c>
      <c r="H223">
        <v>402</v>
      </c>
      <c r="I223" t="s">
        <v>458</v>
      </c>
      <c r="J223">
        <v>13</v>
      </c>
      <c r="K223" t="s">
        <v>1563</v>
      </c>
      <c r="L223" t="str">
        <f t="shared" si="27"/>
        <v>N</v>
      </c>
      <c r="M223" t="str">
        <f t="shared" si="28"/>
        <v>N</v>
      </c>
      <c r="N223" t="str">
        <f t="shared" si="29"/>
        <v>N</v>
      </c>
      <c r="O223">
        <f t="shared" si="30"/>
        <v>11</v>
      </c>
      <c r="P223" s="6">
        <f t="shared" si="31"/>
        <v>0.84453781512605042</v>
      </c>
      <c r="Q223" s="6">
        <f t="shared" si="32"/>
        <v>3.2338308457711441E-2</v>
      </c>
      <c r="R223">
        <f t="shared" si="33"/>
        <v>0</v>
      </c>
      <c r="S223">
        <f t="shared" si="34"/>
        <v>1</v>
      </c>
      <c r="T223">
        <f t="shared" si="35"/>
        <v>500</v>
      </c>
    </row>
    <row r="224" spans="1:20">
      <c r="A224" t="s">
        <v>459</v>
      </c>
      <c r="B224" t="s">
        <v>43</v>
      </c>
      <c r="C224" t="s">
        <v>23</v>
      </c>
      <c r="D224">
        <v>255</v>
      </c>
      <c r="E224" s="4">
        <v>46114</v>
      </c>
      <c r="F224" s="4">
        <v>46120</v>
      </c>
      <c r="G224" s="4">
        <v>46123</v>
      </c>
      <c r="H224">
        <v>256</v>
      </c>
      <c r="I224" t="s">
        <v>86</v>
      </c>
      <c r="J224">
        <v>16</v>
      </c>
      <c r="K224" t="s">
        <v>1563</v>
      </c>
      <c r="L224" t="str">
        <f t="shared" si="27"/>
        <v>N</v>
      </c>
      <c r="M224" t="str">
        <f t="shared" si="28"/>
        <v>Y</v>
      </c>
      <c r="N224" t="str">
        <f t="shared" si="29"/>
        <v>N</v>
      </c>
      <c r="O224">
        <f t="shared" si="30"/>
        <v>9</v>
      </c>
      <c r="P224" s="6">
        <f t="shared" si="31"/>
        <v>1.003921568627451</v>
      </c>
      <c r="Q224" s="6">
        <f t="shared" si="32"/>
        <v>6.25E-2</v>
      </c>
      <c r="R224">
        <f t="shared" si="33"/>
        <v>0</v>
      </c>
      <c r="S224">
        <f t="shared" si="34"/>
        <v>3</v>
      </c>
      <c r="T224">
        <f t="shared" si="35"/>
        <v>1500</v>
      </c>
    </row>
    <row r="225" spans="1:20">
      <c r="A225" t="s">
        <v>460</v>
      </c>
      <c r="B225" t="s">
        <v>70</v>
      </c>
      <c r="C225" t="s">
        <v>12</v>
      </c>
      <c r="D225">
        <v>490</v>
      </c>
      <c r="E225" s="4">
        <v>46119</v>
      </c>
      <c r="F225" s="4">
        <v>46129</v>
      </c>
      <c r="G225" s="4">
        <v>46132</v>
      </c>
      <c r="H225">
        <v>438</v>
      </c>
      <c r="I225" t="s">
        <v>461</v>
      </c>
      <c r="J225">
        <v>8</v>
      </c>
      <c r="K225" t="s">
        <v>1563</v>
      </c>
      <c r="L225" t="str">
        <f t="shared" si="27"/>
        <v>N</v>
      </c>
      <c r="M225" t="str">
        <f t="shared" si="28"/>
        <v>N</v>
      </c>
      <c r="N225" t="str">
        <f t="shared" si="29"/>
        <v>N</v>
      </c>
      <c r="O225">
        <f t="shared" si="30"/>
        <v>13</v>
      </c>
      <c r="P225" s="6">
        <f t="shared" si="31"/>
        <v>0.89387755102040811</v>
      </c>
      <c r="Q225" s="6">
        <f t="shared" si="32"/>
        <v>1.8264840182648401E-2</v>
      </c>
      <c r="R225">
        <f t="shared" si="33"/>
        <v>0</v>
      </c>
      <c r="S225">
        <f t="shared" si="34"/>
        <v>3</v>
      </c>
      <c r="T225">
        <f t="shared" si="35"/>
        <v>1500</v>
      </c>
    </row>
    <row r="226" spans="1:20">
      <c r="A226" t="s">
        <v>462</v>
      </c>
      <c r="B226" t="s">
        <v>120</v>
      </c>
      <c r="C226" t="s">
        <v>23</v>
      </c>
      <c r="D226">
        <v>561</v>
      </c>
      <c r="E226" s="4">
        <v>46152</v>
      </c>
      <c r="F226" s="4">
        <v>46167</v>
      </c>
      <c r="G226" s="4">
        <v>46165</v>
      </c>
      <c r="H226">
        <v>568</v>
      </c>
      <c r="I226" t="s">
        <v>463</v>
      </c>
      <c r="J226">
        <v>22</v>
      </c>
      <c r="K226" t="s">
        <v>1563</v>
      </c>
      <c r="L226" t="str">
        <f t="shared" si="27"/>
        <v>Y</v>
      </c>
      <c r="M226" t="str">
        <f t="shared" si="28"/>
        <v>Y</v>
      </c>
      <c r="N226" t="str">
        <f t="shared" si="29"/>
        <v>Y</v>
      </c>
      <c r="O226">
        <f t="shared" si="30"/>
        <v>13</v>
      </c>
      <c r="P226" s="6">
        <f t="shared" si="31"/>
        <v>1.0124777183600713</v>
      </c>
      <c r="Q226" s="6">
        <f t="shared" si="32"/>
        <v>3.873239436619718E-2</v>
      </c>
      <c r="R226">
        <f t="shared" si="33"/>
        <v>1</v>
      </c>
      <c r="S226">
        <f t="shared" si="34"/>
        <v>0</v>
      </c>
      <c r="T226">
        <f t="shared" si="35"/>
        <v>0</v>
      </c>
    </row>
    <row r="227" spans="1:20">
      <c r="A227" t="s">
        <v>464</v>
      </c>
      <c r="B227" t="s">
        <v>26</v>
      </c>
      <c r="C227" t="s">
        <v>12</v>
      </c>
      <c r="D227">
        <v>220</v>
      </c>
      <c r="E227" s="4">
        <v>46166</v>
      </c>
      <c r="F227" s="4">
        <v>46180</v>
      </c>
      <c r="G227" s="4">
        <v>46178</v>
      </c>
      <c r="H227">
        <v>216</v>
      </c>
      <c r="I227" t="s">
        <v>191</v>
      </c>
      <c r="J227">
        <v>6</v>
      </c>
      <c r="K227" t="s">
        <v>1563</v>
      </c>
      <c r="L227" t="str">
        <f t="shared" si="27"/>
        <v>Y</v>
      </c>
      <c r="M227" t="str">
        <f t="shared" si="28"/>
        <v>Y</v>
      </c>
      <c r="N227" t="str">
        <f t="shared" si="29"/>
        <v>Y</v>
      </c>
      <c r="O227">
        <f t="shared" si="30"/>
        <v>12</v>
      </c>
      <c r="P227" s="6">
        <f t="shared" si="31"/>
        <v>0.98181818181818181</v>
      </c>
      <c r="Q227" s="6">
        <f t="shared" si="32"/>
        <v>2.7777777777777776E-2</v>
      </c>
      <c r="R227">
        <f t="shared" si="33"/>
        <v>1</v>
      </c>
      <c r="S227">
        <f t="shared" si="34"/>
        <v>0</v>
      </c>
      <c r="T227">
        <f t="shared" si="35"/>
        <v>0</v>
      </c>
    </row>
    <row r="228" spans="1:20">
      <c r="A228" t="s">
        <v>465</v>
      </c>
      <c r="B228" t="s">
        <v>11</v>
      </c>
      <c r="C228" t="s">
        <v>16</v>
      </c>
      <c r="D228">
        <v>744</v>
      </c>
      <c r="E228" s="4">
        <v>46143</v>
      </c>
      <c r="F228" s="4">
        <v>46157</v>
      </c>
      <c r="G228" s="4">
        <v>46155</v>
      </c>
      <c r="H228">
        <v>736</v>
      </c>
      <c r="I228" t="s">
        <v>393</v>
      </c>
      <c r="J228">
        <v>15</v>
      </c>
      <c r="K228" t="s">
        <v>1563</v>
      </c>
      <c r="L228" t="str">
        <f t="shared" si="27"/>
        <v>Y</v>
      </c>
      <c r="M228" t="str">
        <f t="shared" si="28"/>
        <v>Y</v>
      </c>
      <c r="N228" t="str">
        <f t="shared" si="29"/>
        <v>Y</v>
      </c>
      <c r="O228">
        <f t="shared" si="30"/>
        <v>12</v>
      </c>
      <c r="P228" s="6">
        <f t="shared" si="31"/>
        <v>0.989247311827957</v>
      </c>
      <c r="Q228" s="6">
        <f t="shared" si="32"/>
        <v>2.0380434782608696E-2</v>
      </c>
      <c r="R228">
        <f t="shared" si="33"/>
        <v>1</v>
      </c>
      <c r="S228">
        <f t="shared" si="34"/>
        <v>0</v>
      </c>
      <c r="T228">
        <f t="shared" si="35"/>
        <v>0</v>
      </c>
    </row>
    <row r="229" spans="1:20">
      <c r="A229" t="s">
        <v>466</v>
      </c>
      <c r="B229" t="s">
        <v>22</v>
      </c>
      <c r="C229" t="s">
        <v>16</v>
      </c>
      <c r="D229">
        <v>112</v>
      </c>
      <c r="E229" s="4">
        <v>46056</v>
      </c>
      <c r="F229" s="4">
        <v>46069</v>
      </c>
      <c r="G229" s="4">
        <v>46075</v>
      </c>
      <c r="H229">
        <v>111</v>
      </c>
      <c r="I229" t="s">
        <v>467</v>
      </c>
      <c r="J229">
        <v>9</v>
      </c>
      <c r="K229" t="s">
        <v>1563</v>
      </c>
      <c r="L229" t="str">
        <f t="shared" si="27"/>
        <v>N</v>
      </c>
      <c r="M229" t="str">
        <f t="shared" si="28"/>
        <v>Y</v>
      </c>
      <c r="N229" t="str">
        <f t="shared" si="29"/>
        <v>N</v>
      </c>
      <c r="O229">
        <f t="shared" si="30"/>
        <v>19</v>
      </c>
      <c r="P229" s="6">
        <f t="shared" si="31"/>
        <v>0.9910714285714286</v>
      </c>
      <c r="Q229" s="6">
        <f t="shared" si="32"/>
        <v>8.1081081081081086E-2</v>
      </c>
      <c r="R229">
        <f t="shared" si="33"/>
        <v>0</v>
      </c>
      <c r="S229">
        <f t="shared" si="34"/>
        <v>6</v>
      </c>
      <c r="T229">
        <f t="shared" si="35"/>
        <v>3000</v>
      </c>
    </row>
    <row r="230" spans="1:20">
      <c r="A230" t="s">
        <v>468</v>
      </c>
      <c r="B230" t="s">
        <v>100</v>
      </c>
      <c r="C230" t="s">
        <v>12</v>
      </c>
      <c r="D230">
        <v>673</v>
      </c>
      <c r="E230" s="4">
        <v>46149</v>
      </c>
      <c r="F230" s="4">
        <v>46158</v>
      </c>
      <c r="G230" s="4">
        <v>46158</v>
      </c>
      <c r="H230">
        <v>665</v>
      </c>
      <c r="I230" t="s">
        <v>469</v>
      </c>
      <c r="J230">
        <v>2</v>
      </c>
      <c r="K230" t="s">
        <v>1563</v>
      </c>
      <c r="L230" t="str">
        <f t="shared" si="27"/>
        <v>Y</v>
      </c>
      <c r="M230" t="str">
        <f t="shared" si="28"/>
        <v>Y</v>
      </c>
      <c r="N230" t="str">
        <f t="shared" si="29"/>
        <v>Y</v>
      </c>
      <c r="O230">
        <f t="shared" si="30"/>
        <v>9</v>
      </c>
      <c r="P230" s="6">
        <f t="shared" si="31"/>
        <v>0.98811292719167909</v>
      </c>
      <c r="Q230" s="6">
        <f t="shared" si="32"/>
        <v>3.0075187969924814E-3</v>
      </c>
      <c r="R230">
        <f t="shared" si="33"/>
        <v>1</v>
      </c>
      <c r="S230">
        <f t="shared" si="34"/>
        <v>0</v>
      </c>
      <c r="T230">
        <f t="shared" si="35"/>
        <v>0</v>
      </c>
    </row>
    <row r="231" spans="1:20">
      <c r="A231" t="s">
        <v>470</v>
      </c>
      <c r="B231" t="s">
        <v>40</v>
      </c>
      <c r="C231" t="s">
        <v>23</v>
      </c>
      <c r="D231">
        <v>510</v>
      </c>
      <c r="E231" s="4">
        <v>46055</v>
      </c>
      <c r="F231" s="4">
        <v>46070</v>
      </c>
      <c r="G231" s="4">
        <v>46071</v>
      </c>
      <c r="H231">
        <v>507</v>
      </c>
      <c r="I231" t="s">
        <v>262</v>
      </c>
      <c r="J231">
        <v>27</v>
      </c>
      <c r="K231" t="s">
        <v>1563</v>
      </c>
      <c r="L231" t="str">
        <f t="shared" si="27"/>
        <v>N</v>
      </c>
      <c r="M231" t="str">
        <f t="shared" si="28"/>
        <v>Y</v>
      </c>
      <c r="N231" t="str">
        <f t="shared" si="29"/>
        <v>N</v>
      </c>
      <c r="O231">
        <f t="shared" si="30"/>
        <v>16</v>
      </c>
      <c r="P231" s="6">
        <f t="shared" si="31"/>
        <v>0.99411764705882355</v>
      </c>
      <c r="Q231" s="6">
        <f t="shared" si="32"/>
        <v>5.3254437869822487E-2</v>
      </c>
      <c r="R231">
        <f t="shared" si="33"/>
        <v>0</v>
      </c>
      <c r="S231">
        <f t="shared" si="34"/>
        <v>1</v>
      </c>
      <c r="T231">
        <f t="shared" si="35"/>
        <v>500</v>
      </c>
    </row>
    <row r="232" spans="1:20">
      <c r="A232" t="s">
        <v>471</v>
      </c>
      <c r="B232" t="s">
        <v>29</v>
      </c>
      <c r="C232" t="s">
        <v>16</v>
      </c>
      <c r="D232">
        <v>533</v>
      </c>
      <c r="E232" s="4">
        <v>46054</v>
      </c>
      <c r="F232" s="4">
        <v>46064</v>
      </c>
      <c r="G232" s="4">
        <v>46071</v>
      </c>
      <c r="H232">
        <v>430</v>
      </c>
      <c r="I232" t="s">
        <v>472</v>
      </c>
      <c r="J232">
        <v>1</v>
      </c>
      <c r="K232" t="s">
        <v>1563</v>
      </c>
      <c r="L232" t="str">
        <f t="shared" si="27"/>
        <v>N</v>
      </c>
      <c r="M232" t="str">
        <f t="shared" si="28"/>
        <v>N</v>
      </c>
      <c r="N232" t="str">
        <f t="shared" si="29"/>
        <v>N</v>
      </c>
      <c r="O232">
        <f t="shared" si="30"/>
        <v>17</v>
      </c>
      <c r="P232" s="6">
        <f t="shared" si="31"/>
        <v>0.80675422138836772</v>
      </c>
      <c r="Q232" s="6">
        <f t="shared" si="32"/>
        <v>2.3255813953488372E-3</v>
      </c>
      <c r="R232">
        <f t="shared" si="33"/>
        <v>0</v>
      </c>
      <c r="S232">
        <f t="shared" si="34"/>
        <v>7</v>
      </c>
      <c r="T232">
        <f t="shared" si="35"/>
        <v>3500</v>
      </c>
    </row>
    <row r="233" spans="1:20">
      <c r="A233" t="s">
        <v>473</v>
      </c>
      <c r="B233" t="s">
        <v>32</v>
      </c>
      <c r="C233" t="s">
        <v>12</v>
      </c>
      <c r="D233">
        <v>926</v>
      </c>
      <c r="E233" s="4">
        <v>46085</v>
      </c>
      <c r="F233" s="4">
        <v>46100</v>
      </c>
      <c r="G233" s="4">
        <v>46098</v>
      </c>
      <c r="H233">
        <v>790</v>
      </c>
      <c r="I233" t="s">
        <v>376</v>
      </c>
      <c r="J233">
        <v>32</v>
      </c>
      <c r="K233" t="s">
        <v>1563</v>
      </c>
      <c r="L233" t="str">
        <f t="shared" si="27"/>
        <v>Y</v>
      </c>
      <c r="M233" t="str">
        <f t="shared" si="28"/>
        <v>N</v>
      </c>
      <c r="N233" t="str">
        <f t="shared" si="29"/>
        <v>N</v>
      </c>
      <c r="O233">
        <f t="shared" si="30"/>
        <v>13</v>
      </c>
      <c r="P233" s="6">
        <f t="shared" si="31"/>
        <v>0.85313174946004322</v>
      </c>
      <c r="Q233" s="6">
        <f t="shared" si="32"/>
        <v>4.0506329113924051E-2</v>
      </c>
      <c r="R233">
        <f t="shared" si="33"/>
        <v>0</v>
      </c>
      <c r="S233">
        <f t="shared" si="34"/>
        <v>0</v>
      </c>
      <c r="T233">
        <f t="shared" si="35"/>
        <v>0</v>
      </c>
    </row>
    <row r="234" spans="1:20">
      <c r="A234" t="s">
        <v>475</v>
      </c>
      <c r="B234" t="s">
        <v>81</v>
      </c>
      <c r="C234" t="s">
        <v>12</v>
      </c>
      <c r="D234">
        <v>831</v>
      </c>
      <c r="E234" s="4">
        <v>46149</v>
      </c>
      <c r="F234" s="4">
        <v>46154</v>
      </c>
      <c r="G234" s="4">
        <v>46160</v>
      </c>
      <c r="H234">
        <v>803</v>
      </c>
      <c r="I234" t="s">
        <v>1564</v>
      </c>
      <c r="J234">
        <v>12</v>
      </c>
      <c r="K234" t="s">
        <v>1563</v>
      </c>
      <c r="L234" t="str">
        <f t="shared" si="27"/>
        <v>N</v>
      </c>
      <c r="M234" t="str">
        <f t="shared" si="28"/>
        <v>N</v>
      </c>
      <c r="N234" t="str">
        <f t="shared" si="29"/>
        <v>N</v>
      </c>
      <c r="O234">
        <f t="shared" si="30"/>
        <v>11</v>
      </c>
      <c r="P234" s="6">
        <f t="shared" si="31"/>
        <v>0.96630565583634176</v>
      </c>
      <c r="Q234" s="6">
        <f t="shared" si="32"/>
        <v>1.4943960149439602E-2</v>
      </c>
      <c r="R234">
        <f t="shared" si="33"/>
        <v>0</v>
      </c>
      <c r="S234">
        <f t="shared" si="34"/>
        <v>6</v>
      </c>
      <c r="T234">
        <f t="shared" si="35"/>
        <v>3000</v>
      </c>
    </row>
    <row r="235" spans="1:20">
      <c r="A235" t="s">
        <v>477</v>
      </c>
      <c r="B235" t="s">
        <v>52</v>
      </c>
      <c r="C235" t="s">
        <v>12</v>
      </c>
      <c r="D235">
        <v>559</v>
      </c>
      <c r="E235" s="4">
        <v>46068</v>
      </c>
      <c r="F235" s="4">
        <v>46077</v>
      </c>
      <c r="G235" s="4">
        <v>46076</v>
      </c>
      <c r="H235">
        <v>550</v>
      </c>
      <c r="I235" t="s">
        <v>478</v>
      </c>
      <c r="J235">
        <v>7</v>
      </c>
      <c r="K235" t="s">
        <v>1563</v>
      </c>
      <c r="L235" t="str">
        <f t="shared" si="27"/>
        <v>Y</v>
      </c>
      <c r="M235" t="str">
        <f t="shared" si="28"/>
        <v>Y</v>
      </c>
      <c r="N235" t="str">
        <f t="shared" si="29"/>
        <v>Y</v>
      </c>
      <c r="O235">
        <f t="shared" si="30"/>
        <v>8</v>
      </c>
      <c r="P235" s="6">
        <f t="shared" si="31"/>
        <v>0.98389982110912344</v>
      </c>
      <c r="Q235" s="6">
        <f t="shared" si="32"/>
        <v>1.2727272727272728E-2</v>
      </c>
      <c r="R235">
        <f t="shared" si="33"/>
        <v>1</v>
      </c>
      <c r="S235">
        <f t="shared" si="34"/>
        <v>0</v>
      </c>
      <c r="T235">
        <f t="shared" si="35"/>
        <v>0</v>
      </c>
    </row>
    <row r="236" spans="1:20">
      <c r="A236" t="s">
        <v>479</v>
      </c>
      <c r="B236" t="s">
        <v>19</v>
      </c>
      <c r="C236" t="s">
        <v>16</v>
      </c>
      <c r="D236">
        <v>901</v>
      </c>
      <c r="E236" s="4">
        <v>46054</v>
      </c>
      <c r="F236" s="4">
        <v>46066</v>
      </c>
      <c r="G236" s="4">
        <v>46066</v>
      </c>
      <c r="H236">
        <v>727</v>
      </c>
      <c r="I236" t="s">
        <v>381</v>
      </c>
      <c r="J236">
        <v>28</v>
      </c>
      <c r="K236" t="s">
        <v>1563</v>
      </c>
      <c r="L236" t="str">
        <f t="shared" si="27"/>
        <v>Y</v>
      </c>
      <c r="M236" t="str">
        <f t="shared" si="28"/>
        <v>N</v>
      </c>
      <c r="N236" t="str">
        <f t="shared" si="29"/>
        <v>N</v>
      </c>
      <c r="O236">
        <f t="shared" si="30"/>
        <v>12</v>
      </c>
      <c r="P236" s="6">
        <f t="shared" si="31"/>
        <v>0.80688124306326303</v>
      </c>
      <c r="Q236" s="6">
        <f t="shared" si="32"/>
        <v>3.8514442916093537E-2</v>
      </c>
      <c r="R236">
        <f t="shared" si="33"/>
        <v>0</v>
      </c>
      <c r="S236">
        <f t="shared" si="34"/>
        <v>0</v>
      </c>
      <c r="T236">
        <f t="shared" si="35"/>
        <v>0</v>
      </c>
    </row>
    <row r="237" spans="1:20">
      <c r="A237" t="s">
        <v>480</v>
      </c>
      <c r="B237" t="s">
        <v>29</v>
      </c>
      <c r="C237" t="s">
        <v>12</v>
      </c>
      <c r="D237">
        <v>325</v>
      </c>
      <c r="E237" s="4">
        <v>46096</v>
      </c>
      <c r="F237" s="4">
        <v>46106</v>
      </c>
      <c r="G237" s="4">
        <v>46105</v>
      </c>
      <c r="H237">
        <v>327</v>
      </c>
      <c r="I237" t="s">
        <v>136</v>
      </c>
      <c r="J237">
        <v>4</v>
      </c>
      <c r="K237" t="s">
        <v>1563</v>
      </c>
      <c r="L237" t="str">
        <f t="shared" si="27"/>
        <v>Y</v>
      </c>
      <c r="M237" t="str">
        <f t="shared" si="28"/>
        <v>Y</v>
      </c>
      <c r="N237" t="str">
        <f t="shared" si="29"/>
        <v>Y</v>
      </c>
      <c r="O237">
        <f t="shared" si="30"/>
        <v>9</v>
      </c>
      <c r="P237" s="6">
        <f t="shared" si="31"/>
        <v>1.0061538461538462</v>
      </c>
      <c r="Q237" s="6">
        <f t="shared" si="32"/>
        <v>1.2232415902140673E-2</v>
      </c>
      <c r="R237">
        <f t="shared" si="33"/>
        <v>1</v>
      </c>
      <c r="S237">
        <f t="shared" si="34"/>
        <v>0</v>
      </c>
      <c r="T237">
        <f t="shared" si="35"/>
        <v>0</v>
      </c>
    </row>
    <row r="238" spans="1:20">
      <c r="A238" t="s">
        <v>481</v>
      </c>
      <c r="B238" t="s">
        <v>22</v>
      </c>
      <c r="C238" t="s">
        <v>16</v>
      </c>
      <c r="D238">
        <v>960</v>
      </c>
      <c r="E238" s="4">
        <v>46065</v>
      </c>
      <c r="F238" s="4">
        <v>46070</v>
      </c>
      <c r="G238" s="4">
        <v>46068</v>
      </c>
      <c r="H238">
        <v>950</v>
      </c>
      <c r="I238" t="s">
        <v>414</v>
      </c>
      <c r="J238">
        <v>33</v>
      </c>
      <c r="K238" t="s">
        <v>1563</v>
      </c>
      <c r="L238" t="str">
        <f t="shared" si="27"/>
        <v>Y</v>
      </c>
      <c r="M238" t="str">
        <f t="shared" si="28"/>
        <v>Y</v>
      </c>
      <c r="N238" t="str">
        <f t="shared" si="29"/>
        <v>Y</v>
      </c>
      <c r="O238">
        <f t="shared" si="30"/>
        <v>3</v>
      </c>
      <c r="P238" s="6">
        <f t="shared" si="31"/>
        <v>0.98958333333333337</v>
      </c>
      <c r="Q238" s="6">
        <f t="shared" si="32"/>
        <v>3.4736842105263156E-2</v>
      </c>
      <c r="R238">
        <f t="shared" si="33"/>
        <v>1</v>
      </c>
      <c r="S238">
        <f t="shared" si="34"/>
        <v>0</v>
      </c>
      <c r="T238">
        <f t="shared" si="35"/>
        <v>0</v>
      </c>
    </row>
    <row r="239" spans="1:20">
      <c r="A239" t="s">
        <v>482</v>
      </c>
      <c r="B239" t="s">
        <v>19</v>
      </c>
      <c r="C239" t="s">
        <v>12</v>
      </c>
      <c r="D239">
        <v>288</v>
      </c>
      <c r="E239" s="4">
        <v>46080</v>
      </c>
      <c r="F239" s="4">
        <v>46086</v>
      </c>
      <c r="G239" s="4">
        <v>46083</v>
      </c>
      <c r="H239">
        <v>287</v>
      </c>
      <c r="I239" t="s">
        <v>339</v>
      </c>
      <c r="J239">
        <v>7</v>
      </c>
      <c r="K239" t="s">
        <v>1563</v>
      </c>
      <c r="L239" t="str">
        <f t="shared" si="27"/>
        <v>Y</v>
      </c>
      <c r="M239" t="str">
        <f t="shared" si="28"/>
        <v>Y</v>
      </c>
      <c r="N239" t="str">
        <f t="shared" si="29"/>
        <v>Y</v>
      </c>
      <c r="O239">
        <f t="shared" si="30"/>
        <v>3</v>
      </c>
      <c r="P239" s="6">
        <f t="shared" si="31"/>
        <v>0.99652777777777779</v>
      </c>
      <c r="Q239" s="6">
        <f t="shared" si="32"/>
        <v>2.4390243902439025E-2</v>
      </c>
      <c r="R239">
        <f t="shared" si="33"/>
        <v>1</v>
      </c>
      <c r="S239">
        <f t="shared" si="34"/>
        <v>0</v>
      </c>
      <c r="T239">
        <f t="shared" si="35"/>
        <v>0</v>
      </c>
    </row>
    <row r="240" spans="1:20">
      <c r="A240" t="s">
        <v>483</v>
      </c>
      <c r="B240" t="s">
        <v>81</v>
      </c>
      <c r="C240" t="s">
        <v>16</v>
      </c>
      <c r="D240">
        <v>272</v>
      </c>
      <c r="E240" s="4">
        <v>46109</v>
      </c>
      <c r="F240" s="4">
        <v>46118</v>
      </c>
      <c r="G240" s="4">
        <v>46124</v>
      </c>
      <c r="H240">
        <v>262</v>
      </c>
      <c r="I240" t="s">
        <v>484</v>
      </c>
      <c r="J240">
        <v>3</v>
      </c>
      <c r="K240" t="s">
        <v>1563</v>
      </c>
      <c r="L240" t="str">
        <f t="shared" si="27"/>
        <v>N</v>
      </c>
      <c r="M240" t="str">
        <f t="shared" si="28"/>
        <v>N</v>
      </c>
      <c r="N240" t="str">
        <f t="shared" si="29"/>
        <v>N</v>
      </c>
      <c r="O240">
        <f t="shared" si="30"/>
        <v>15</v>
      </c>
      <c r="P240" s="6">
        <f t="shared" si="31"/>
        <v>0.96323529411764708</v>
      </c>
      <c r="Q240" s="6">
        <f t="shared" si="32"/>
        <v>1.1450381679389313E-2</v>
      </c>
      <c r="R240">
        <f t="shared" si="33"/>
        <v>0</v>
      </c>
      <c r="S240">
        <f t="shared" si="34"/>
        <v>6</v>
      </c>
      <c r="T240">
        <f t="shared" si="35"/>
        <v>3000</v>
      </c>
    </row>
    <row r="241" spans="1:20">
      <c r="A241" t="s">
        <v>485</v>
      </c>
      <c r="B241" t="s">
        <v>177</v>
      </c>
      <c r="C241" t="s">
        <v>12</v>
      </c>
      <c r="D241">
        <v>732</v>
      </c>
      <c r="E241" s="4">
        <v>46160</v>
      </c>
      <c r="F241" s="4">
        <v>46173</v>
      </c>
      <c r="G241" s="4">
        <v>46173</v>
      </c>
      <c r="H241">
        <v>732</v>
      </c>
      <c r="I241" t="s">
        <v>486</v>
      </c>
      <c r="J241">
        <v>9</v>
      </c>
      <c r="K241" t="s">
        <v>1563</v>
      </c>
      <c r="L241" t="str">
        <f t="shared" si="27"/>
        <v>Y</v>
      </c>
      <c r="M241" t="str">
        <f t="shared" si="28"/>
        <v>Y</v>
      </c>
      <c r="N241" t="str">
        <f t="shared" si="29"/>
        <v>Y</v>
      </c>
      <c r="O241">
        <f t="shared" si="30"/>
        <v>13</v>
      </c>
      <c r="P241" s="6">
        <f t="shared" si="31"/>
        <v>1</v>
      </c>
      <c r="Q241" s="6">
        <f t="shared" si="32"/>
        <v>1.2295081967213115E-2</v>
      </c>
      <c r="R241">
        <f t="shared" si="33"/>
        <v>1</v>
      </c>
      <c r="S241">
        <f t="shared" si="34"/>
        <v>0</v>
      </c>
      <c r="T241">
        <f t="shared" si="35"/>
        <v>0</v>
      </c>
    </row>
    <row r="242" spans="1:20">
      <c r="A242" t="s">
        <v>487</v>
      </c>
      <c r="B242" t="s">
        <v>46</v>
      </c>
      <c r="C242" t="s">
        <v>23</v>
      </c>
      <c r="D242">
        <v>795</v>
      </c>
      <c r="E242" s="4">
        <v>46157</v>
      </c>
      <c r="F242" s="4">
        <v>46168</v>
      </c>
      <c r="G242" s="4">
        <v>46174</v>
      </c>
      <c r="H242">
        <v>784</v>
      </c>
      <c r="I242" t="s">
        <v>488</v>
      </c>
      <c r="J242">
        <v>72</v>
      </c>
      <c r="K242" t="s">
        <v>1563</v>
      </c>
      <c r="L242" t="str">
        <f t="shared" si="27"/>
        <v>N</v>
      </c>
      <c r="M242" t="str">
        <f t="shared" si="28"/>
        <v>Y</v>
      </c>
      <c r="N242" t="str">
        <f t="shared" si="29"/>
        <v>N</v>
      </c>
      <c r="O242">
        <f t="shared" si="30"/>
        <v>17</v>
      </c>
      <c r="P242" s="6">
        <f t="shared" si="31"/>
        <v>0.98616352201257862</v>
      </c>
      <c r="Q242" s="6">
        <f t="shared" si="32"/>
        <v>9.1836734693877556E-2</v>
      </c>
      <c r="R242">
        <f t="shared" si="33"/>
        <v>0</v>
      </c>
      <c r="S242">
        <f t="shared" si="34"/>
        <v>6</v>
      </c>
      <c r="T242">
        <f t="shared" si="35"/>
        <v>3000</v>
      </c>
    </row>
    <row r="243" spans="1:20">
      <c r="A243" t="s">
        <v>489</v>
      </c>
      <c r="B243" t="s">
        <v>49</v>
      </c>
      <c r="C243" t="s">
        <v>16</v>
      </c>
      <c r="D243">
        <v>438</v>
      </c>
      <c r="E243" s="4">
        <v>46167</v>
      </c>
      <c r="F243" s="4">
        <v>46173</v>
      </c>
      <c r="G243" s="4"/>
      <c r="I243" t="s">
        <v>490</v>
      </c>
      <c r="K243" t="s">
        <v>1565</v>
      </c>
      <c r="L243" t="str">
        <f t="shared" si="27"/>
        <v>N/A</v>
      </c>
      <c r="M243" t="str">
        <f t="shared" si="28"/>
        <v>N/A</v>
      </c>
      <c r="N243" t="str">
        <f t="shared" si="29"/>
        <v>N/A</v>
      </c>
      <c r="O243" t="str">
        <f t="shared" si="30"/>
        <v>N/A</v>
      </c>
      <c r="P243" s="6" t="str">
        <f t="shared" si="31"/>
        <v>N/A</v>
      </c>
      <c r="Q243" s="6" t="str">
        <f t="shared" si="32"/>
        <v>N/A</v>
      </c>
      <c r="R243" t="str">
        <f t="shared" si="33"/>
        <v/>
      </c>
      <c r="S243" t="str">
        <f t="shared" si="34"/>
        <v>N/A</v>
      </c>
      <c r="T243">
        <f t="shared" si="35"/>
        <v>0</v>
      </c>
    </row>
    <row r="244" spans="1:20">
      <c r="A244" t="s">
        <v>491</v>
      </c>
      <c r="B244" t="s">
        <v>67</v>
      </c>
      <c r="C244" t="s">
        <v>16</v>
      </c>
      <c r="D244">
        <v>867</v>
      </c>
      <c r="E244" s="4">
        <v>46034</v>
      </c>
      <c r="F244" s="4">
        <v>46049</v>
      </c>
      <c r="G244" s="4">
        <v>46056</v>
      </c>
      <c r="H244">
        <v>841</v>
      </c>
      <c r="I244" t="s">
        <v>426</v>
      </c>
      <c r="J244">
        <v>30</v>
      </c>
      <c r="K244" t="s">
        <v>1563</v>
      </c>
      <c r="L244" t="str">
        <f t="shared" si="27"/>
        <v>N</v>
      </c>
      <c r="M244" t="str">
        <f t="shared" si="28"/>
        <v>N</v>
      </c>
      <c r="N244" t="str">
        <f t="shared" si="29"/>
        <v>N</v>
      </c>
      <c r="O244">
        <f t="shared" si="30"/>
        <v>22</v>
      </c>
      <c r="P244" s="6">
        <f t="shared" si="31"/>
        <v>0.97001153402537488</v>
      </c>
      <c r="Q244" s="6">
        <f t="shared" si="32"/>
        <v>3.56718192627824E-2</v>
      </c>
      <c r="R244">
        <f t="shared" si="33"/>
        <v>0</v>
      </c>
      <c r="S244">
        <f t="shared" si="34"/>
        <v>7</v>
      </c>
      <c r="T244">
        <f t="shared" si="35"/>
        <v>3500</v>
      </c>
    </row>
    <row r="245" spans="1:20">
      <c r="A245" t="s">
        <v>492</v>
      </c>
      <c r="B245" t="s">
        <v>54</v>
      </c>
      <c r="C245" t="s">
        <v>12</v>
      </c>
      <c r="D245">
        <v>357</v>
      </c>
      <c r="E245" s="4">
        <v>46105</v>
      </c>
      <c r="F245" s="4">
        <v>46114</v>
      </c>
      <c r="G245" s="4">
        <v>46114</v>
      </c>
      <c r="H245">
        <v>363</v>
      </c>
      <c r="I245" t="s">
        <v>493</v>
      </c>
      <c r="J245">
        <v>1</v>
      </c>
      <c r="K245" t="s">
        <v>1563</v>
      </c>
      <c r="L245" t="str">
        <f t="shared" si="27"/>
        <v>Y</v>
      </c>
      <c r="M245" t="str">
        <f t="shared" si="28"/>
        <v>Y</v>
      </c>
      <c r="N245" t="str">
        <f t="shared" si="29"/>
        <v>Y</v>
      </c>
      <c r="O245">
        <f t="shared" si="30"/>
        <v>9</v>
      </c>
      <c r="P245" s="6">
        <f t="shared" si="31"/>
        <v>1.0168067226890756</v>
      </c>
      <c r="Q245" s="6">
        <f t="shared" si="32"/>
        <v>2.7548209366391185E-3</v>
      </c>
      <c r="R245">
        <f t="shared" si="33"/>
        <v>1</v>
      </c>
      <c r="S245">
        <f t="shared" si="34"/>
        <v>0</v>
      </c>
      <c r="T245">
        <f t="shared" si="35"/>
        <v>0</v>
      </c>
    </row>
    <row r="246" spans="1:20">
      <c r="A246" t="s">
        <v>494</v>
      </c>
      <c r="B246" t="s">
        <v>70</v>
      </c>
      <c r="C246" t="s">
        <v>23</v>
      </c>
      <c r="D246">
        <v>728</v>
      </c>
      <c r="E246" s="4">
        <v>46147</v>
      </c>
      <c r="F246" s="4">
        <v>46159</v>
      </c>
      <c r="G246" s="4">
        <v>46160</v>
      </c>
      <c r="H246">
        <v>742</v>
      </c>
      <c r="I246" t="s">
        <v>495</v>
      </c>
      <c r="J246">
        <v>4</v>
      </c>
      <c r="K246" t="s">
        <v>1563</v>
      </c>
      <c r="L246" t="str">
        <f t="shared" si="27"/>
        <v>N</v>
      </c>
      <c r="M246" t="str">
        <f t="shared" si="28"/>
        <v>Y</v>
      </c>
      <c r="N246" t="str">
        <f t="shared" si="29"/>
        <v>N</v>
      </c>
      <c r="O246">
        <f t="shared" si="30"/>
        <v>13</v>
      </c>
      <c r="P246" s="6">
        <f t="shared" si="31"/>
        <v>1.0192307692307692</v>
      </c>
      <c r="Q246" s="6">
        <f t="shared" si="32"/>
        <v>5.3908355795148251E-3</v>
      </c>
      <c r="R246">
        <f t="shared" si="33"/>
        <v>0</v>
      </c>
      <c r="S246">
        <f t="shared" si="34"/>
        <v>1</v>
      </c>
      <c r="T246">
        <f t="shared" si="35"/>
        <v>500</v>
      </c>
    </row>
    <row r="247" spans="1:20">
      <c r="A247" t="s">
        <v>496</v>
      </c>
      <c r="B247" t="s">
        <v>32</v>
      </c>
      <c r="C247" t="s">
        <v>12</v>
      </c>
      <c r="D247">
        <v>742</v>
      </c>
      <c r="E247" s="4">
        <v>46111</v>
      </c>
      <c r="F247" s="4">
        <v>46124</v>
      </c>
      <c r="G247" s="4">
        <v>46129</v>
      </c>
      <c r="H247">
        <v>661</v>
      </c>
      <c r="I247" t="s">
        <v>486</v>
      </c>
      <c r="J247">
        <v>22</v>
      </c>
      <c r="K247" t="s">
        <v>1563</v>
      </c>
      <c r="L247" t="str">
        <f t="shared" si="27"/>
        <v>N</v>
      </c>
      <c r="M247" t="str">
        <f t="shared" si="28"/>
        <v>N</v>
      </c>
      <c r="N247" t="str">
        <f t="shared" si="29"/>
        <v>N</v>
      </c>
      <c r="O247">
        <f t="shared" si="30"/>
        <v>18</v>
      </c>
      <c r="P247" s="6">
        <f t="shared" si="31"/>
        <v>0.89083557951482484</v>
      </c>
      <c r="Q247" s="6">
        <f t="shared" si="32"/>
        <v>3.3282904689863842E-2</v>
      </c>
      <c r="R247">
        <f t="shared" si="33"/>
        <v>0</v>
      </c>
      <c r="S247">
        <f t="shared" si="34"/>
        <v>5</v>
      </c>
      <c r="T247">
        <f t="shared" si="35"/>
        <v>2500</v>
      </c>
    </row>
    <row r="248" spans="1:20">
      <c r="A248" t="s">
        <v>497</v>
      </c>
      <c r="B248" t="s">
        <v>11</v>
      </c>
      <c r="C248" t="s">
        <v>16</v>
      </c>
      <c r="D248">
        <v>336</v>
      </c>
      <c r="E248" s="4">
        <v>46172</v>
      </c>
      <c r="F248" s="4">
        <v>46182</v>
      </c>
      <c r="G248" s="4">
        <v>46181</v>
      </c>
      <c r="H248">
        <v>333</v>
      </c>
      <c r="I248" t="s">
        <v>298</v>
      </c>
      <c r="J248">
        <v>3</v>
      </c>
      <c r="K248" t="s">
        <v>1563</v>
      </c>
      <c r="L248" t="str">
        <f t="shared" si="27"/>
        <v>Y</v>
      </c>
      <c r="M248" t="str">
        <f t="shared" si="28"/>
        <v>Y</v>
      </c>
      <c r="N248" t="str">
        <f t="shared" si="29"/>
        <v>Y</v>
      </c>
      <c r="O248">
        <f t="shared" si="30"/>
        <v>9</v>
      </c>
      <c r="P248" s="6">
        <f t="shared" si="31"/>
        <v>0.9910714285714286</v>
      </c>
      <c r="Q248" s="6">
        <f t="shared" si="32"/>
        <v>9.0090090090090089E-3</v>
      </c>
      <c r="R248">
        <f t="shared" si="33"/>
        <v>1</v>
      </c>
      <c r="S248">
        <f t="shared" si="34"/>
        <v>0</v>
      </c>
      <c r="T248">
        <f t="shared" si="35"/>
        <v>0</v>
      </c>
    </row>
    <row r="249" spans="1:20">
      <c r="A249" t="s">
        <v>498</v>
      </c>
      <c r="B249" t="s">
        <v>32</v>
      </c>
      <c r="C249" t="s">
        <v>12</v>
      </c>
      <c r="D249">
        <v>719</v>
      </c>
      <c r="E249" s="4">
        <v>46129</v>
      </c>
      <c r="F249" s="4">
        <v>46143</v>
      </c>
      <c r="G249" s="4">
        <v>46151</v>
      </c>
      <c r="H249">
        <v>730</v>
      </c>
      <c r="I249" t="s">
        <v>499</v>
      </c>
      <c r="J249">
        <v>41</v>
      </c>
      <c r="K249" t="s">
        <v>1563</v>
      </c>
      <c r="L249" t="str">
        <f t="shared" si="27"/>
        <v>N</v>
      </c>
      <c r="M249" t="str">
        <f t="shared" si="28"/>
        <v>Y</v>
      </c>
      <c r="N249" t="str">
        <f t="shared" si="29"/>
        <v>N</v>
      </c>
      <c r="O249">
        <f t="shared" si="30"/>
        <v>22</v>
      </c>
      <c r="P249" s="6">
        <f t="shared" si="31"/>
        <v>1.015299026425591</v>
      </c>
      <c r="Q249" s="6">
        <f t="shared" si="32"/>
        <v>5.6164383561643834E-2</v>
      </c>
      <c r="R249">
        <f t="shared" si="33"/>
        <v>0</v>
      </c>
      <c r="S249">
        <f t="shared" si="34"/>
        <v>8</v>
      </c>
      <c r="T249">
        <f t="shared" si="35"/>
        <v>4000</v>
      </c>
    </row>
    <row r="250" spans="1:20">
      <c r="A250" t="s">
        <v>500</v>
      </c>
      <c r="B250" t="s">
        <v>67</v>
      </c>
      <c r="C250" t="s">
        <v>16</v>
      </c>
      <c r="D250">
        <v>315</v>
      </c>
      <c r="E250" s="4">
        <v>46072</v>
      </c>
      <c r="F250" s="4">
        <v>46084</v>
      </c>
      <c r="G250" s="4">
        <v>46082</v>
      </c>
      <c r="H250">
        <v>320</v>
      </c>
      <c r="I250" t="s">
        <v>17</v>
      </c>
      <c r="J250">
        <v>18</v>
      </c>
      <c r="K250" t="s">
        <v>1563</v>
      </c>
      <c r="L250" t="str">
        <f t="shared" si="27"/>
        <v>Y</v>
      </c>
      <c r="M250" t="str">
        <f t="shared" si="28"/>
        <v>Y</v>
      </c>
      <c r="N250" t="str">
        <f t="shared" si="29"/>
        <v>Y</v>
      </c>
      <c r="O250">
        <f t="shared" si="30"/>
        <v>10</v>
      </c>
      <c r="P250" s="6">
        <f t="shared" si="31"/>
        <v>1.0158730158730158</v>
      </c>
      <c r="Q250" s="6">
        <f t="shared" si="32"/>
        <v>5.6250000000000001E-2</v>
      </c>
      <c r="R250">
        <f t="shared" si="33"/>
        <v>1</v>
      </c>
      <c r="S250">
        <f t="shared" si="34"/>
        <v>0</v>
      </c>
      <c r="T250">
        <f t="shared" si="35"/>
        <v>0</v>
      </c>
    </row>
    <row r="251" spans="1:20">
      <c r="A251" t="s">
        <v>501</v>
      </c>
      <c r="B251" t="s">
        <v>19</v>
      </c>
      <c r="C251" t="s">
        <v>16</v>
      </c>
      <c r="D251">
        <v>801</v>
      </c>
      <c r="E251" s="4">
        <v>46048</v>
      </c>
      <c r="F251" s="4">
        <v>46053</v>
      </c>
      <c r="G251" s="4">
        <v>46051</v>
      </c>
      <c r="H251">
        <v>804</v>
      </c>
      <c r="I251" t="s">
        <v>294</v>
      </c>
      <c r="J251">
        <v>27</v>
      </c>
      <c r="K251" t="s">
        <v>1563</v>
      </c>
      <c r="L251" t="str">
        <f t="shared" si="27"/>
        <v>Y</v>
      </c>
      <c r="M251" t="str">
        <f t="shared" si="28"/>
        <v>Y</v>
      </c>
      <c r="N251" t="str">
        <f t="shared" si="29"/>
        <v>Y</v>
      </c>
      <c r="O251">
        <f t="shared" si="30"/>
        <v>3</v>
      </c>
      <c r="P251" s="6">
        <f t="shared" si="31"/>
        <v>1.0037453183520599</v>
      </c>
      <c r="Q251" s="6">
        <f t="shared" si="32"/>
        <v>3.3582089552238806E-2</v>
      </c>
      <c r="R251">
        <f t="shared" si="33"/>
        <v>1</v>
      </c>
      <c r="S251">
        <f t="shared" si="34"/>
        <v>0</v>
      </c>
      <c r="T251">
        <f t="shared" si="35"/>
        <v>0</v>
      </c>
    </row>
    <row r="252" spans="1:20">
      <c r="A252" t="s">
        <v>502</v>
      </c>
      <c r="B252" t="s">
        <v>43</v>
      </c>
      <c r="C252" t="s">
        <v>12</v>
      </c>
      <c r="D252">
        <v>517</v>
      </c>
      <c r="E252" s="4">
        <v>46175</v>
      </c>
      <c r="F252" s="4">
        <v>46181</v>
      </c>
      <c r="G252" s="4">
        <v>46179</v>
      </c>
      <c r="H252">
        <v>515</v>
      </c>
      <c r="I252" t="s">
        <v>503</v>
      </c>
      <c r="J252">
        <v>31</v>
      </c>
      <c r="K252" t="s">
        <v>1563</v>
      </c>
      <c r="L252" t="str">
        <f t="shared" si="27"/>
        <v>Y</v>
      </c>
      <c r="M252" t="str">
        <f t="shared" si="28"/>
        <v>Y</v>
      </c>
      <c r="N252" t="str">
        <f t="shared" si="29"/>
        <v>Y</v>
      </c>
      <c r="O252">
        <f t="shared" si="30"/>
        <v>4</v>
      </c>
      <c r="P252" s="6">
        <f t="shared" si="31"/>
        <v>0.99613152804642169</v>
      </c>
      <c r="Q252" s="6">
        <f t="shared" si="32"/>
        <v>6.0194174757281553E-2</v>
      </c>
      <c r="R252">
        <f t="shared" si="33"/>
        <v>1</v>
      </c>
      <c r="S252">
        <f t="shared" si="34"/>
        <v>0</v>
      </c>
      <c r="T252">
        <f t="shared" si="35"/>
        <v>0</v>
      </c>
    </row>
    <row r="253" spans="1:20">
      <c r="A253" t="s">
        <v>504</v>
      </c>
      <c r="B253" t="s">
        <v>26</v>
      </c>
      <c r="C253" t="s">
        <v>12</v>
      </c>
      <c r="D253">
        <v>87</v>
      </c>
      <c r="E253" s="4">
        <v>46110</v>
      </c>
      <c r="F253" s="4">
        <v>46120</v>
      </c>
      <c r="G253" s="4">
        <v>46119</v>
      </c>
      <c r="H253">
        <v>81</v>
      </c>
      <c r="I253" t="s">
        <v>505</v>
      </c>
      <c r="J253">
        <v>2</v>
      </c>
      <c r="K253" t="s">
        <v>1563</v>
      </c>
      <c r="L253" t="str">
        <f t="shared" si="27"/>
        <v>Y</v>
      </c>
      <c r="M253" t="str">
        <f t="shared" si="28"/>
        <v>N</v>
      </c>
      <c r="N253" t="str">
        <f t="shared" si="29"/>
        <v>N</v>
      </c>
      <c r="O253">
        <f t="shared" si="30"/>
        <v>9</v>
      </c>
      <c r="P253" s="6">
        <f t="shared" si="31"/>
        <v>0.93103448275862066</v>
      </c>
      <c r="Q253" s="6">
        <f t="shared" si="32"/>
        <v>2.4691358024691357E-2</v>
      </c>
      <c r="R253">
        <f t="shared" si="33"/>
        <v>0</v>
      </c>
      <c r="S253">
        <f t="shared" si="34"/>
        <v>0</v>
      </c>
      <c r="T253">
        <f t="shared" si="35"/>
        <v>0</v>
      </c>
    </row>
    <row r="254" spans="1:20">
      <c r="A254" t="s">
        <v>506</v>
      </c>
      <c r="B254" t="s">
        <v>49</v>
      </c>
      <c r="C254" t="s">
        <v>23</v>
      </c>
      <c r="D254">
        <v>800</v>
      </c>
      <c r="E254" s="4">
        <v>46161</v>
      </c>
      <c r="F254" s="4">
        <v>46172</v>
      </c>
      <c r="G254" s="4">
        <v>46174</v>
      </c>
      <c r="H254">
        <v>797</v>
      </c>
      <c r="I254" t="s">
        <v>507</v>
      </c>
      <c r="J254">
        <v>1</v>
      </c>
      <c r="K254" t="s">
        <v>1563</v>
      </c>
      <c r="L254" t="str">
        <f t="shared" si="27"/>
        <v>N</v>
      </c>
      <c r="M254" t="str">
        <f t="shared" si="28"/>
        <v>Y</v>
      </c>
      <c r="N254" t="str">
        <f t="shared" si="29"/>
        <v>N</v>
      </c>
      <c r="O254">
        <f t="shared" si="30"/>
        <v>13</v>
      </c>
      <c r="P254" s="6">
        <f t="shared" si="31"/>
        <v>0.99624999999999997</v>
      </c>
      <c r="Q254" s="6">
        <f t="shared" si="32"/>
        <v>1.2547051442910915E-3</v>
      </c>
      <c r="R254">
        <f t="shared" si="33"/>
        <v>0</v>
      </c>
      <c r="S254">
        <f t="shared" si="34"/>
        <v>2</v>
      </c>
      <c r="T254">
        <f t="shared" si="35"/>
        <v>1000</v>
      </c>
    </row>
    <row r="255" spans="1:20">
      <c r="A255" t="s">
        <v>508</v>
      </c>
      <c r="B255" t="s">
        <v>40</v>
      </c>
      <c r="C255" t="s">
        <v>23</v>
      </c>
      <c r="D255">
        <v>390</v>
      </c>
      <c r="E255" s="4">
        <v>46073</v>
      </c>
      <c r="F255" s="4">
        <v>46086</v>
      </c>
      <c r="G255" s="4">
        <v>46084</v>
      </c>
      <c r="H255">
        <v>395</v>
      </c>
      <c r="I255" t="s">
        <v>509</v>
      </c>
      <c r="J255">
        <v>0</v>
      </c>
      <c r="K255" t="s">
        <v>1563</v>
      </c>
      <c r="L255" t="str">
        <f t="shared" si="27"/>
        <v>Y</v>
      </c>
      <c r="M255" t="str">
        <f t="shared" si="28"/>
        <v>Y</v>
      </c>
      <c r="N255" t="str">
        <f t="shared" si="29"/>
        <v>Y</v>
      </c>
      <c r="O255">
        <f t="shared" si="30"/>
        <v>11</v>
      </c>
      <c r="P255" s="6">
        <f t="shared" si="31"/>
        <v>1.0128205128205128</v>
      </c>
      <c r="Q255" s="6">
        <f t="shared" si="32"/>
        <v>0</v>
      </c>
      <c r="R255">
        <f t="shared" si="33"/>
        <v>1</v>
      </c>
      <c r="S255">
        <f t="shared" si="34"/>
        <v>0</v>
      </c>
      <c r="T255">
        <f t="shared" si="35"/>
        <v>0</v>
      </c>
    </row>
    <row r="256" spans="1:20">
      <c r="A256" t="s">
        <v>510</v>
      </c>
      <c r="B256" t="s">
        <v>40</v>
      </c>
      <c r="C256" t="s">
        <v>23</v>
      </c>
      <c r="D256">
        <v>520</v>
      </c>
      <c r="E256" s="4">
        <v>46154</v>
      </c>
      <c r="F256" s="4">
        <v>46161</v>
      </c>
      <c r="G256" s="4">
        <v>46160</v>
      </c>
      <c r="H256">
        <v>519</v>
      </c>
      <c r="I256" t="s">
        <v>47</v>
      </c>
      <c r="J256">
        <v>31</v>
      </c>
      <c r="K256" t="s">
        <v>1563</v>
      </c>
      <c r="L256" t="str">
        <f t="shared" si="27"/>
        <v>Y</v>
      </c>
      <c r="M256" t="str">
        <f t="shared" si="28"/>
        <v>Y</v>
      </c>
      <c r="N256" t="str">
        <f t="shared" si="29"/>
        <v>Y</v>
      </c>
      <c r="O256">
        <f t="shared" si="30"/>
        <v>6</v>
      </c>
      <c r="P256" s="6">
        <f t="shared" si="31"/>
        <v>0.99807692307692308</v>
      </c>
      <c r="Q256" s="6">
        <f t="shared" si="32"/>
        <v>5.9730250481695571E-2</v>
      </c>
      <c r="R256">
        <f t="shared" si="33"/>
        <v>1</v>
      </c>
      <c r="S256">
        <f t="shared" si="34"/>
        <v>0</v>
      </c>
      <c r="T256">
        <f t="shared" si="35"/>
        <v>0</v>
      </c>
    </row>
    <row r="257" spans="1:20">
      <c r="A257" t="s">
        <v>511</v>
      </c>
      <c r="B257" t="s">
        <v>81</v>
      </c>
      <c r="C257" t="s">
        <v>23</v>
      </c>
      <c r="D257">
        <v>98</v>
      </c>
      <c r="E257" s="4">
        <v>46160</v>
      </c>
      <c r="F257" s="4">
        <v>46172</v>
      </c>
      <c r="G257" s="4">
        <v>46171</v>
      </c>
      <c r="H257">
        <v>99</v>
      </c>
      <c r="I257" t="s">
        <v>512</v>
      </c>
      <c r="J257">
        <v>1</v>
      </c>
      <c r="K257" t="s">
        <v>1563</v>
      </c>
      <c r="L257" t="str">
        <f t="shared" si="27"/>
        <v>Y</v>
      </c>
      <c r="M257" t="str">
        <f t="shared" si="28"/>
        <v>Y</v>
      </c>
      <c r="N257" t="str">
        <f t="shared" si="29"/>
        <v>Y</v>
      </c>
      <c r="O257">
        <f t="shared" si="30"/>
        <v>11</v>
      </c>
      <c r="P257" s="6">
        <f t="shared" si="31"/>
        <v>1.010204081632653</v>
      </c>
      <c r="Q257" s="6">
        <f t="shared" si="32"/>
        <v>1.0101010101010102E-2</v>
      </c>
      <c r="R257">
        <f t="shared" si="33"/>
        <v>1</v>
      </c>
      <c r="S257">
        <f t="shared" si="34"/>
        <v>0</v>
      </c>
      <c r="T257">
        <f t="shared" si="35"/>
        <v>0</v>
      </c>
    </row>
    <row r="258" spans="1:20">
      <c r="A258" t="s">
        <v>513</v>
      </c>
      <c r="B258" t="s">
        <v>177</v>
      </c>
      <c r="C258" t="s">
        <v>12</v>
      </c>
      <c r="D258">
        <v>831</v>
      </c>
      <c r="E258" s="4">
        <v>46152</v>
      </c>
      <c r="F258" s="4">
        <v>46167</v>
      </c>
      <c r="G258" s="4">
        <v>46167</v>
      </c>
      <c r="H258">
        <v>837</v>
      </c>
      <c r="I258" t="s">
        <v>336</v>
      </c>
      <c r="J258">
        <v>40</v>
      </c>
      <c r="K258" t="s">
        <v>1563</v>
      </c>
      <c r="L258" t="str">
        <f t="shared" ref="L258:L321" si="36">IF(G258="","N/A",IF(G258&lt;=F258,"Y","N"))</f>
        <v>Y</v>
      </c>
      <c r="M258" t="str">
        <f t="shared" ref="M258:M321" si="37">IF(H258="","N/A",IF(H258&gt;=D258*0.98,"Y","N"))</f>
        <v>Y</v>
      </c>
      <c r="N258" t="str">
        <f t="shared" ref="N258:N321" si="38">IF(OR(L258="N/A",M258="N/A"),"N/A",IF(AND(L258="Y",M258="Y"),"Y","N"))</f>
        <v>Y</v>
      </c>
      <c r="O258">
        <f t="shared" ref="O258:O321" si="39">IF(G258="","N/A",G258-E258)</f>
        <v>15</v>
      </c>
      <c r="P258" s="6">
        <f t="shared" ref="P258:P321" si="40">IF(H258="","N/A",H258/D258)</f>
        <v>1.0072202166064983</v>
      </c>
      <c r="Q258" s="6">
        <f t="shared" ref="Q258:Q321" si="41">IF(H258="","N/A",IF(H258=0,0,J258/H258))</f>
        <v>4.778972520908005E-2</v>
      </c>
      <c r="R258">
        <f t="shared" ref="R258:R321" si="42">IF(N258="Y",1,IF(N258="N",0,""))</f>
        <v>1</v>
      </c>
      <c r="S258">
        <f t="shared" ref="S258:S321" si="43">IF(G258="","N/A",MAX(G258-F258,0))</f>
        <v>0</v>
      </c>
      <c r="T258">
        <f t="shared" ref="T258:T321" si="44">IF(S258="N/A",0,S258*500)</f>
        <v>0</v>
      </c>
    </row>
    <row r="259" spans="1:20">
      <c r="A259" t="s">
        <v>514</v>
      </c>
      <c r="B259" t="s">
        <v>32</v>
      </c>
      <c r="C259" t="s">
        <v>16</v>
      </c>
      <c r="D259">
        <v>638</v>
      </c>
      <c r="E259" s="4">
        <v>46151</v>
      </c>
      <c r="F259" s="4">
        <v>46165</v>
      </c>
      <c r="G259" s="4">
        <v>46162</v>
      </c>
      <c r="H259">
        <v>571</v>
      </c>
      <c r="I259" t="s">
        <v>452</v>
      </c>
      <c r="J259">
        <v>5</v>
      </c>
      <c r="K259" t="s">
        <v>1563</v>
      </c>
      <c r="L259" t="str">
        <f t="shared" si="36"/>
        <v>Y</v>
      </c>
      <c r="M259" t="str">
        <f t="shared" si="37"/>
        <v>N</v>
      </c>
      <c r="N259" t="str">
        <f t="shared" si="38"/>
        <v>N</v>
      </c>
      <c r="O259">
        <f t="shared" si="39"/>
        <v>11</v>
      </c>
      <c r="P259" s="6">
        <f t="shared" si="40"/>
        <v>0.89498432601880873</v>
      </c>
      <c r="Q259" s="6">
        <f t="shared" si="41"/>
        <v>8.7565674255691769E-3</v>
      </c>
      <c r="R259">
        <f t="shared" si="42"/>
        <v>0</v>
      </c>
      <c r="S259">
        <f t="shared" si="43"/>
        <v>0</v>
      </c>
      <c r="T259">
        <f t="shared" si="44"/>
        <v>0</v>
      </c>
    </row>
    <row r="260" spans="1:20">
      <c r="A260" t="s">
        <v>515</v>
      </c>
      <c r="B260" t="s">
        <v>64</v>
      </c>
      <c r="C260" t="s">
        <v>23</v>
      </c>
      <c r="D260">
        <v>331</v>
      </c>
      <c r="E260" s="4">
        <v>46094</v>
      </c>
      <c r="F260" s="4">
        <v>46101</v>
      </c>
      <c r="G260" s="4">
        <v>46101</v>
      </c>
      <c r="H260">
        <v>331</v>
      </c>
      <c r="I260" t="s">
        <v>516</v>
      </c>
      <c r="J260">
        <v>6</v>
      </c>
      <c r="K260" t="s">
        <v>1563</v>
      </c>
      <c r="L260" t="str">
        <f t="shared" si="36"/>
        <v>Y</v>
      </c>
      <c r="M260" t="str">
        <f t="shared" si="37"/>
        <v>Y</v>
      </c>
      <c r="N260" t="str">
        <f t="shared" si="38"/>
        <v>Y</v>
      </c>
      <c r="O260">
        <f t="shared" si="39"/>
        <v>7</v>
      </c>
      <c r="P260" s="6">
        <f t="shared" si="40"/>
        <v>1</v>
      </c>
      <c r="Q260" s="6">
        <f t="shared" si="41"/>
        <v>1.812688821752266E-2</v>
      </c>
      <c r="R260">
        <f t="shared" si="42"/>
        <v>1</v>
      </c>
      <c r="S260">
        <f t="shared" si="43"/>
        <v>0</v>
      </c>
      <c r="T260">
        <f t="shared" si="44"/>
        <v>0</v>
      </c>
    </row>
    <row r="261" spans="1:20">
      <c r="A261" t="s">
        <v>517</v>
      </c>
      <c r="B261" t="s">
        <v>26</v>
      </c>
      <c r="C261" t="s">
        <v>23</v>
      </c>
      <c r="D261">
        <v>566</v>
      </c>
      <c r="E261" s="4">
        <v>46106</v>
      </c>
      <c r="F261" s="4">
        <v>46118</v>
      </c>
      <c r="G261" s="4">
        <v>46116</v>
      </c>
      <c r="H261">
        <v>555</v>
      </c>
      <c r="I261" t="s">
        <v>296</v>
      </c>
      <c r="J261">
        <v>2</v>
      </c>
      <c r="K261" t="s">
        <v>1563</v>
      </c>
      <c r="L261" t="str">
        <f t="shared" si="36"/>
        <v>Y</v>
      </c>
      <c r="M261" t="str">
        <f t="shared" si="37"/>
        <v>Y</v>
      </c>
      <c r="N261" t="str">
        <f t="shared" si="38"/>
        <v>Y</v>
      </c>
      <c r="O261">
        <f t="shared" si="39"/>
        <v>10</v>
      </c>
      <c r="P261" s="6">
        <f t="shared" si="40"/>
        <v>0.98056537102473496</v>
      </c>
      <c r="Q261" s="6">
        <f t="shared" si="41"/>
        <v>3.6036036036036037E-3</v>
      </c>
      <c r="R261">
        <f t="shared" si="42"/>
        <v>1</v>
      </c>
      <c r="S261">
        <f t="shared" si="43"/>
        <v>0</v>
      </c>
      <c r="T261">
        <f t="shared" si="44"/>
        <v>0</v>
      </c>
    </row>
    <row r="262" spans="1:20">
      <c r="A262" t="s">
        <v>518</v>
      </c>
      <c r="B262" t="s">
        <v>35</v>
      </c>
      <c r="C262" t="s">
        <v>12</v>
      </c>
      <c r="D262">
        <v>502</v>
      </c>
      <c r="E262" s="4">
        <v>46050</v>
      </c>
      <c r="F262" s="4">
        <v>46058</v>
      </c>
      <c r="G262" s="4">
        <v>46055</v>
      </c>
      <c r="H262">
        <v>404</v>
      </c>
      <c r="I262" t="s">
        <v>136</v>
      </c>
      <c r="J262">
        <v>18</v>
      </c>
      <c r="K262" t="s">
        <v>1563</v>
      </c>
      <c r="L262" t="str">
        <f t="shared" si="36"/>
        <v>Y</v>
      </c>
      <c r="M262" t="str">
        <f t="shared" si="37"/>
        <v>N</v>
      </c>
      <c r="N262" t="str">
        <f t="shared" si="38"/>
        <v>N</v>
      </c>
      <c r="O262">
        <f t="shared" si="39"/>
        <v>5</v>
      </c>
      <c r="P262" s="6">
        <f t="shared" si="40"/>
        <v>0.80478087649402386</v>
      </c>
      <c r="Q262" s="6">
        <f t="shared" si="41"/>
        <v>4.4554455445544552E-2</v>
      </c>
      <c r="R262">
        <f t="shared" si="42"/>
        <v>0</v>
      </c>
      <c r="S262">
        <f t="shared" si="43"/>
        <v>0</v>
      </c>
      <c r="T262">
        <f t="shared" si="44"/>
        <v>0</v>
      </c>
    </row>
    <row r="263" spans="1:20">
      <c r="A263" t="s">
        <v>519</v>
      </c>
      <c r="B263" t="s">
        <v>26</v>
      </c>
      <c r="C263" t="s">
        <v>12</v>
      </c>
      <c r="D263">
        <v>810</v>
      </c>
      <c r="E263" s="4">
        <v>46084</v>
      </c>
      <c r="F263" s="4">
        <v>46096</v>
      </c>
      <c r="G263" s="4">
        <v>46104</v>
      </c>
      <c r="H263">
        <v>681</v>
      </c>
      <c r="I263" t="s">
        <v>520</v>
      </c>
      <c r="J263">
        <v>21</v>
      </c>
      <c r="K263" t="s">
        <v>1563</v>
      </c>
      <c r="L263" t="str">
        <f t="shared" si="36"/>
        <v>N</v>
      </c>
      <c r="M263" t="str">
        <f t="shared" si="37"/>
        <v>N</v>
      </c>
      <c r="N263" t="str">
        <f t="shared" si="38"/>
        <v>N</v>
      </c>
      <c r="O263">
        <f t="shared" si="39"/>
        <v>20</v>
      </c>
      <c r="P263" s="6">
        <f t="shared" si="40"/>
        <v>0.84074074074074079</v>
      </c>
      <c r="Q263" s="6">
        <f t="shared" si="41"/>
        <v>3.0837004405286344E-2</v>
      </c>
      <c r="R263">
        <f t="shared" si="42"/>
        <v>0</v>
      </c>
      <c r="S263">
        <f t="shared" si="43"/>
        <v>8</v>
      </c>
      <c r="T263">
        <f t="shared" si="44"/>
        <v>4000</v>
      </c>
    </row>
    <row r="264" spans="1:20">
      <c r="A264" t="s">
        <v>521</v>
      </c>
      <c r="B264" t="s">
        <v>11</v>
      </c>
      <c r="C264" t="s">
        <v>16</v>
      </c>
      <c r="D264">
        <v>896</v>
      </c>
      <c r="E264" s="4">
        <v>46165</v>
      </c>
      <c r="F264" s="4">
        <v>46177</v>
      </c>
      <c r="G264" s="4">
        <v>46175</v>
      </c>
      <c r="H264">
        <v>912</v>
      </c>
      <c r="I264" t="s">
        <v>125</v>
      </c>
      <c r="J264">
        <v>10</v>
      </c>
      <c r="K264" t="s">
        <v>1563</v>
      </c>
      <c r="L264" t="str">
        <f t="shared" si="36"/>
        <v>Y</v>
      </c>
      <c r="M264" t="str">
        <f t="shared" si="37"/>
        <v>Y</v>
      </c>
      <c r="N264" t="str">
        <f t="shared" si="38"/>
        <v>Y</v>
      </c>
      <c r="O264">
        <f t="shared" si="39"/>
        <v>10</v>
      </c>
      <c r="P264" s="6">
        <f t="shared" si="40"/>
        <v>1.0178571428571428</v>
      </c>
      <c r="Q264" s="6">
        <f t="shared" si="41"/>
        <v>1.0964912280701754E-2</v>
      </c>
      <c r="R264">
        <f t="shared" si="42"/>
        <v>1</v>
      </c>
      <c r="S264">
        <f t="shared" si="43"/>
        <v>0</v>
      </c>
      <c r="T264">
        <f t="shared" si="44"/>
        <v>0</v>
      </c>
    </row>
    <row r="265" spans="1:20">
      <c r="A265" t="s">
        <v>522</v>
      </c>
      <c r="B265" t="s">
        <v>64</v>
      </c>
      <c r="C265" t="s">
        <v>16</v>
      </c>
      <c r="D265">
        <v>363</v>
      </c>
      <c r="E265" s="4">
        <v>46144</v>
      </c>
      <c r="F265" s="4">
        <v>46152</v>
      </c>
      <c r="G265" s="4">
        <v>46157</v>
      </c>
      <c r="H265">
        <v>323</v>
      </c>
      <c r="I265" t="s">
        <v>181</v>
      </c>
      <c r="J265">
        <v>21</v>
      </c>
      <c r="K265" t="s">
        <v>1563</v>
      </c>
      <c r="L265" t="str">
        <f t="shared" si="36"/>
        <v>N</v>
      </c>
      <c r="M265" t="str">
        <f t="shared" si="37"/>
        <v>N</v>
      </c>
      <c r="N265" t="str">
        <f t="shared" si="38"/>
        <v>N</v>
      </c>
      <c r="O265">
        <f t="shared" si="39"/>
        <v>13</v>
      </c>
      <c r="P265" s="6">
        <f t="shared" si="40"/>
        <v>0.88980716253443526</v>
      </c>
      <c r="Q265" s="6">
        <f t="shared" si="41"/>
        <v>6.5015479876160992E-2</v>
      </c>
      <c r="R265">
        <f t="shared" si="42"/>
        <v>0</v>
      </c>
      <c r="S265">
        <f t="shared" si="43"/>
        <v>5</v>
      </c>
      <c r="T265">
        <f t="shared" si="44"/>
        <v>2500</v>
      </c>
    </row>
    <row r="266" spans="1:20">
      <c r="A266" t="s">
        <v>523</v>
      </c>
      <c r="B266" t="s">
        <v>67</v>
      </c>
      <c r="C266" t="s">
        <v>12</v>
      </c>
      <c r="D266">
        <v>258</v>
      </c>
      <c r="E266" s="4">
        <v>46099</v>
      </c>
      <c r="F266" s="4">
        <v>46106</v>
      </c>
      <c r="G266" s="4">
        <v>46107</v>
      </c>
      <c r="H266">
        <v>263</v>
      </c>
      <c r="I266" t="s">
        <v>524</v>
      </c>
      <c r="J266">
        <v>7</v>
      </c>
      <c r="K266" t="s">
        <v>1563</v>
      </c>
      <c r="L266" t="str">
        <f t="shared" si="36"/>
        <v>N</v>
      </c>
      <c r="M266" t="str">
        <f t="shared" si="37"/>
        <v>Y</v>
      </c>
      <c r="N266" t="str">
        <f t="shared" si="38"/>
        <v>N</v>
      </c>
      <c r="O266">
        <f t="shared" si="39"/>
        <v>8</v>
      </c>
      <c r="P266" s="6">
        <f t="shared" si="40"/>
        <v>1.0193798449612403</v>
      </c>
      <c r="Q266" s="6">
        <f t="shared" si="41"/>
        <v>2.6615969581749048E-2</v>
      </c>
      <c r="R266">
        <f t="shared" si="42"/>
        <v>0</v>
      </c>
      <c r="S266">
        <f t="shared" si="43"/>
        <v>1</v>
      </c>
      <c r="T266">
        <f t="shared" si="44"/>
        <v>500</v>
      </c>
    </row>
    <row r="267" spans="1:20">
      <c r="A267" t="s">
        <v>525</v>
      </c>
      <c r="B267" t="s">
        <v>120</v>
      </c>
      <c r="C267" t="s">
        <v>23</v>
      </c>
      <c r="D267">
        <v>990</v>
      </c>
      <c r="E267" s="4">
        <v>46128</v>
      </c>
      <c r="F267" s="4">
        <v>46141</v>
      </c>
      <c r="G267" s="4">
        <v>46140</v>
      </c>
      <c r="H267">
        <v>979</v>
      </c>
      <c r="I267" t="s">
        <v>142</v>
      </c>
      <c r="J267">
        <v>17</v>
      </c>
      <c r="K267" t="s">
        <v>1563</v>
      </c>
      <c r="L267" t="str">
        <f t="shared" si="36"/>
        <v>Y</v>
      </c>
      <c r="M267" t="str">
        <f t="shared" si="37"/>
        <v>Y</v>
      </c>
      <c r="N267" t="str">
        <f t="shared" si="38"/>
        <v>Y</v>
      </c>
      <c r="O267">
        <f t="shared" si="39"/>
        <v>12</v>
      </c>
      <c r="P267" s="6">
        <f t="shared" si="40"/>
        <v>0.98888888888888893</v>
      </c>
      <c r="Q267" s="6">
        <f t="shared" si="41"/>
        <v>1.7364657814096015E-2</v>
      </c>
      <c r="R267">
        <f t="shared" si="42"/>
        <v>1</v>
      </c>
      <c r="S267">
        <f t="shared" si="43"/>
        <v>0</v>
      </c>
      <c r="T267">
        <f t="shared" si="44"/>
        <v>0</v>
      </c>
    </row>
    <row r="268" spans="1:20">
      <c r="A268" t="s">
        <v>526</v>
      </c>
      <c r="B268" t="s">
        <v>46</v>
      </c>
      <c r="C268" t="s">
        <v>16</v>
      </c>
      <c r="D268">
        <v>629</v>
      </c>
      <c r="E268" s="4">
        <v>46054</v>
      </c>
      <c r="F268" s="4">
        <v>46060</v>
      </c>
      <c r="G268" s="4">
        <v>46059</v>
      </c>
      <c r="H268">
        <v>625</v>
      </c>
      <c r="I268" t="s">
        <v>448</v>
      </c>
      <c r="J268">
        <v>55</v>
      </c>
      <c r="K268" t="s">
        <v>1563</v>
      </c>
      <c r="L268" t="str">
        <f t="shared" si="36"/>
        <v>Y</v>
      </c>
      <c r="M268" t="str">
        <f t="shared" si="37"/>
        <v>Y</v>
      </c>
      <c r="N268" t="str">
        <f t="shared" si="38"/>
        <v>Y</v>
      </c>
      <c r="O268">
        <f t="shared" si="39"/>
        <v>5</v>
      </c>
      <c r="P268" s="6">
        <f t="shared" si="40"/>
        <v>0.99364069952305245</v>
      </c>
      <c r="Q268" s="6">
        <f t="shared" si="41"/>
        <v>8.7999999999999995E-2</v>
      </c>
      <c r="R268">
        <f t="shared" si="42"/>
        <v>1</v>
      </c>
      <c r="S268">
        <f t="shared" si="43"/>
        <v>0</v>
      </c>
      <c r="T268">
        <f t="shared" si="44"/>
        <v>0</v>
      </c>
    </row>
    <row r="269" spans="1:20">
      <c r="A269" t="s">
        <v>527</v>
      </c>
      <c r="B269" t="s">
        <v>70</v>
      </c>
      <c r="C269" t="s">
        <v>16</v>
      </c>
      <c r="D269">
        <v>157</v>
      </c>
      <c r="E269" s="4">
        <v>46171</v>
      </c>
      <c r="F269" s="4">
        <v>46180</v>
      </c>
      <c r="G269" s="4">
        <v>46181</v>
      </c>
      <c r="H269">
        <v>158</v>
      </c>
      <c r="I269" t="s">
        <v>529</v>
      </c>
      <c r="J269">
        <v>1</v>
      </c>
      <c r="K269" t="s">
        <v>1563</v>
      </c>
      <c r="L269" t="str">
        <f t="shared" si="36"/>
        <v>N</v>
      </c>
      <c r="M269" t="str">
        <f t="shared" si="37"/>
        <v>Y</v>
      </c>
      <c r="N269" t="str">
        <f t="shared" si="38"/>
        <v>N</v>
      </c>
      <c r="O269">
        <f t="shared" si="39"/>
        <v>10</v>
      </c>
      <c r="P269" s="6">
        <f t="shared" si="40"/>
        <v>1.0063694267515924</v>
      </c>
      <c r="Q269" s="6">
        <f t="shared" si="41"/>
        <v>6.3291139240506328E-3</v>
      </c>
      <c r="R269">
        <f t="shared" si="42"/>
        <v>0</v>
      </c>
      <c r="S269">
        <f t="shared" si="43"/>
        <v>1</v>
      </c>
      <c r="T269">
        <f t="shared" si="44"/>
        <v>500</v>
      </c>
    </row>
    <row r="270" spans="1:20">
      <c r="A270" t="s">
        <v>530</v>
      </c>
      <c r="B270" t="s">
        <v>67</v>
      </c>
      <c r="C270" t="s">
        <v>12</v>
      </c>
      <c r="D270">
        <v>596</v>
      </c>
      <c r="E270" s="4">
        <v>46103</v>
      </c>
      <c r="F270" s="4">
        <v>46108</v>
      </c>
      <c r="G270" s="4">
        <v>46107</v>
      </c>
      <c r="H270">
        <v>601</v>
      </c>
      <c r="I270" t="s">
        <v>531</v>
      </c>
      <c r="J270">
        <v>27</v>
      </c>
      <c r="K270" t="s">
        <v>1563</v>
      </c>
      <c r="L270" t="str">
        <f t="shared" si="36"/>
        <v>Y</v>
      </c>
      <c r="M270" t="str">
        <f t="shared" si="37"/>
        <v>Y</v>
      </c>
      <c r="N270" t="str">
        <f t="shared" si="38"/>
        <v>Y</v>
      </c>
      <c r="O270">
        <f t="shared" si="39"/>
        <v>4</v>
      </c>
      <c r="P270" s="6">
        <f t="shared" si="40"/>
        <v>1.0083892617449663</v>
      </c>
      <c r="Q270" s="6">
        <f t="shared" si="41"/>
        <v>4.4925124792013313E-2</v>
      </c>
      <c r="R270">
        <f t="shared" si="42"/>
        <v>1</v>
      </c>
      <c r="S270">
        <f t="shared" si="43"/>
        <v>0</v>
      </c>
      <c r="T270">
        <f t="shared" si="44"/>
        <v>0</v>
      </c>
    </row>
    <row r="271" spans="1:20">
      <c r="A271" t="s">
        <v>532</v>
      </c>
      <c r="B271" t="s">
        <v>177</v>
      </c>
      <c r="C271" t="s">
        <v>12</v>
      </c>
      <c r="D271">
        <v>665</v>
      </c>
      <c r="E271" s="4">
        <v>46161</v>
      </c>
      <c r="F271" s="4">
        <v>46171</v>
      </c>
      <c r="G271" s="4">
        <v>46170</v>
      </c>
      <c r="H271">
        <v>664</v>
      </c>
      <c r="I271" t="s">
        <v>533</v>
      </c>
      <c r="J271">
        <v>36</v>
      </c>
      <c r="K271" t="s">
        <v>1563</v>
      </c>
      <c r="L271" t="str">
        <f t="shared" si="36"/>
        <v>Y</v>
      </c>
      <c r="M271" t="str">
        <f t="shared" si="37"/>
        <v>Y</v>
      </c>
      <c r="N271" t="str">
        <f t="shared" si="38"/>
        <v>Y</v>
      </c>
      <c r="O271">
        <f t="shared" si="39"/>
        <v>9</v>
      </c>
      <c r="P271" s="6">
        <f t="shared" si="40"/>
        <v>0.99849624060150377</v>
      </c>
      <c r="Q271" s="6">
        <f t="shared" si="41"/>
        <v>5.4216867469879519E-2</v>
      </c>
      <c r="R271">
        <f t="shared" si="42"/>
        <v>1</v>
      </c>
      <c r="S271">
        <f t="shared" si="43"/>
        <v>0</v>
      </c>
      <c r="T271">
        <f t="shared" si="44"/>
        <v>0</v>
      </c>
    </row>
    <row r="272" spans="1:20">
      <c r="A272" t="s">
        <v>534</v>
      </c>
      <c r="B272" t="s">
        <v>26</v>
      </c>
      <c r="C272" t="s">
        <v>23</v>
      </c>
      <c r="D272">
        <v>569</v>
      </c>
      <c r="E272" s="4">
        <v>46153</v>
      </c>
      <c r="F272" s="4">
        <v>46168</v>
      </c>
      <c r="G272" s="4">
        <v>46165</v>
      </c>
      <c r="H272">
        <v>561</v>
      </c>
      <c r="I272" t="s">
        <v>535</v>
      </c>
      <c r="J272">
        <v>13</v>
      </c>
      <c r="K272" t="s">
        <v>1563</v>
      </c>
      <c r="L272" t="str">
        <f t="shared" si="36"/>
        <v>Y</v>
      </c>
      <c r="M272" t="str">
        <f t="shared" si="37"/>
        <v>Y</v>
      </c>
      <c r="N272" t="str">
        <f t="shared" si="38"/>
        <v>Y</v>
      </c>
      <c r="O272">
        <f t="shared" si="39"/>
        <v>12</v>
      </c>
      <c r="P272" s="6">
        <f t="shared" si="40"/>
        <v>0.98594024604569419</v>
      </c>
      <c r="Q272" s="6">
        <f t="shared" si="41"/>
        <v>2.3172905525846704E-2</v>
      </c>
      <c r="R272">
        <f t="shared" si="42"/>
        <v>1</v>
      </c>
      <c r="S272">
        <f t="shared" si="43"/>
        <v>0</v>
      </c>
      <c r="T272">
        <f t="shared" si="44"/>
        <v>0</v>
      </c>
    </row>
    <row r="273" spans="1:20">
      <c r="A273" t="s">
        <v>536</v>
      </c>
      <c r="B273" t="s">
        <v>52</v>
      </c>
      <c r="C273" t="s">
        <v>12</v>
      </c>
      <c r="D273">
        <v>454</v>
      </c>
      <c r="E273" s="4">
        <v>46102</v>
      </c>
      <c r="F273" s="4">
        <v>46114</v>
      </c>
      <c r="G273" s="4">
        <v>46111</v>
      </c>
      <c r="H273">
        <v>448</v>
      </c>
      <c r="I273" t="s">
        <v>38</v>
      </c>
      <c r="J273">
        <v>0</v>
      </c>
      <c r="K273" t="s">
        <v>1563</v>
      </c>
      <c r="L273" t="str">
        <f t="shared" si="36"/>
        <v>Y</v>
      </c>
      <c r="M273" t="str">
        <f t="shared" si="37"/>
        <v>Y</v>
      </c>
      <c r="N273" t="str">
        <f t="shared" si="38"/>
        <v>Y</v>
      </c>
      <c r="O273">
        <f t="shared" si="39"/>
        <v>9</v>
      </c>
      <c r="P273" s="6">
        <f t="shared" si="40"/>
        <v>0.986784140969163</v>
      </c>
      <c r="Q273" s="6">
        <f t="shared" si="41"/>
        <v>0</v>
      </c>
      <c r="R273">
        <f t="shared" si="42"/>
        <v>1</v>
      </c>
      <c r="S273">
        <f t="shared" si="43"/>
        <v>0</v>
      </c>
      <c r="T273">
        <f t="shared" si="44"/>
        <v>0</v>
      </c>
    </row>
    <row r="274" spans="1:20">
      <c r="A274" t="s">
        <v>537</v>
      </c>
      <c r="B274" t="s">
        <v>177</v>
      </c>
      <c r="C274" t="s">
        <v>12</v>
      </c>
      <c r="D274">
        <v>125</v>
      </c>
      <c r="E274" s="4">
        <v>46143</v>
      </c>
      <c r="F274" s="4">
        <v>46152</v>
      </c>
      <c r="G274" s="4">
        <v>46152</v>
      </c>
      <c r="H274">
        <v>116</v>
      </c>
      <c r="I274" t="s">
        <v>538</v>
      </c>
      <c r="J274">
        <v>4</v>
      </c>
      <c r="K274" t="s">
        <v>1563</v>
      </c>
      <c r="L274" t="str">
        <f t="shared" si="36"/>
        <v>Y</v>
      </c>
      <c r="M274" t="str">
        <f t="shared" si="37"/>
        <v>N</v>
      </c>
      <c r="N274" t="str">
        <f t="shared" si="38"/>
        <v>N</v>
      </c>
      <c r="O274">
        <f t="shared" si="39"/>
        <v>9</v>
      </c>
      <c r="P274" s="6">
        <f t="shared" si="40"/>
        <v>0.92800000000000005</v>
      </c>
      <c r="Q274" s="6">
        <f t="shared" si="41"/>
        <v>3.4482758620689655E-2</v>
      </c>
      <c r="R274">
        <f t="shared" si="42"/>
        <v>0</v>
      </c>
      <c r="S274">
        <f t="shared" si="43"/>
        <v>0</v>
      </c>
      <c r="T274">
        <f t="shared" si="44"/>
        <v>0</v>
      </c>
    </row>
    <row r="275" spans="1:20">
      <c r="A275" t="s">
        <v>539</v>
      </c>
      <c r="B275" t="s">
        <v>120</v>
      </c>
      <c r="C275" t="s">
        <v>12</v>
      </c>
      <c r="D275">
        <v>789</v>
      </c>
      <c r="E275" s="4">
        <v>46120</v>
      </c>
      <c r="F275" s="4">
        <v>46130</v>
      </c>
      <c r="G275" s="4">
        <v>46127</v>
      </c>
      <c r="H275">
        <v>775</v>
      </c>
      <c r="I275" t="s">
        <v>540</v>
      </c>
      <c r="J275">
        <v>42</v>
      </c>
      <c r="K275" t="s">
        <v>1563</v>
      </c>
      <c r="L275" t="str">
        <f t="shared" si="36"/>
        <v>Y</v>
      </c>
      <c r="M275" t="str">
        <f t="shared" si="37"/>
        <v>Y</v>
      </c>
      <c r="N275" t="str">
        <f t="shared" si="38"/>
        <v>Y</v>
      </c>
      <c r="O275">
        <f t="shared" si="39"/>
        <v>7</v>
      </c>
      <c r="P275" s="6">
        <f t="shared" si="40"/>
        <v>0.98225602027883396</v>
      </c>
      <c r="Q275" s="6">
        <f t="shared" si="41"/>
        <v>5.4193548387096772E-2</v>
      </c>
      <c r="R275">
        <f t="shared" si="42"/>
        <v>1</v>
      </c>
      <c r="S275">
        <f t="shared" si="43"/>
        <v>0</v>
      </c>
      <c r="T275">
        <f t="shared" si="44"/>
        <v>0</v>
      </c>
    </row>
    <row r="276" spans="1:20">
      <c r="A276" t="s">
        <v>541</v>
      </c>
      <c r="B276" t="s">
        <v>19</v>
      </c>
      <c r="C276" t="s">
        <v>12</v>
      </c>
      <c r="D276">
        <v>991</v>
      </c>
      <c r="E276" s="4">
        <v>46058</v>
      </c>
      <c r="F276" s="4">
        <v>46072</v>
      </c>
      <c r="G276" s="4">
        <v>46069</v>
      </c>
      <c r="H276">
        <v>1005</v>
      </c>
      <c r="I276" t="s">
        <v>543</v>
      </c>
      <c r="J276">
        <v>22</v>
      </c>
      <c r="K276" t="s">
        <v>1563</v>
      </c>
      <c r="L276" t="str">
        <f t="shared" si="36"/>
        <v>Y</v>
      </c>
      <c r="M276" t="str">
        <f t="shared" si="37"/>
        <v>Y</v>
      </c>
      <c r="N276" t="str">
        <f t="shared" si="38"/>
        <v>Y</v>
      </c>
      <c r="O276">
        <f t="shared" si="39"/>
        <v>11</v>
      </c>
      <c r="P276" s="6">
        <f t="shared" si="40"/>
        <v>1.0141271442986881</v>
      </c>
      <c r="Q276" s="6">
        <f t="shared" si="41"/>
        <v>2.1890547263681594E-2</v>
      </c>
      <c r="R276">
        <f t="shared" si="42"/>
        <v>1</v>
      </c>
      <c r="S276">
        <f t="shared" si="43"/>
        <v>0</v>
      </c>
      <c r="T276">
        <f t="shared" si="44"/>
        <v>0</v>
      </c>
    </row>
    <row r="277" spans="1:20">
      <c r="A277" t="s">
        <v>544</v>
      </c>
      <c r="B277" t="s">
        <v>40</v>
      </c>
      <c r="C277" t="s">
        <v>23</v>
      </c>
      <c r="D277">
        <v>834</v>
      </c>
      <c r="E277" s="4">
        <v>46032</v>
      </c>
      <c r="F277" s="4">
        <v>46043</v>
      </c>
      <c r="G277" s="4"/>
      <c r="I277" t="s">
        <v>545</v>
      </c>
      <c r="K277" t="s">
        <v>1565</v>
      </c>
      <c r="L277" t="str">
        <f t="shared" si="36"/>
        <v>N/A</v>
      </c>
      <c r="M277" t="str">
        <f t="shared" si="37"/>
        <v>N/A</v>
      </c>
      <c r="N277" t="str">
        <f t="shared" si="38"/>
        <v>N/A</v>
      </c>
      <c r="O277" t="str">
        <f t="shared" si="39"/>
        <v>N/A</v>
      </c>
      <c r="P277" s="6" t="str">
        <f t="shared" si="40"/>
        <v>N/A</v>
      </c>
      <c r="Q277" s="6" t="str">
        <f t="shared" si="41"/>
        <v>N/A</v>
      </c>
      <c r="R277" t="str">
        <f t="shared" si="42"/>
        <v/>
      </c>
      <c r="S277" t="str">
        <f t="shared" si="43"/>
        <v>N/A</v>
      </c>
      <c r="T277">
        <f t="shared" si="44"/>
        <v>0</v>
      </c>
    </row>
    <row r="278" spans="1:20">
      <c r="A278" t="s">
        <v>546</v>
      </c>
      <c r="B278" t="s">
        <v>52</v>
      </c>
      <c r="C278" t="s">
        <v>12</v>
      </c>
      <c r="D278">
        <v>597</v>
      </c>
      <c r="E278" s="4">
        <v>46175</v>
      </c>
      <c r="F278" s="4">
        <v>46186</v>
      </c>
      <c r="G278" s="4">
        <v>46183</v>
      </c>
      <c r="H278">
        <v>609</v>
      </c>
      <c r="I278" t="s">
        <v>547</v>
      </c>
      <c r="J278">
        <v>9</v>
      </c>
      <c r="K278" t="s">
        <v>1563</v>
      </c>
      <c r="L278" t="str">
        <f t="shared" si="36"/>
        <v>Y</v>
      </c>
      <c r="M278" t="str">
        <f t="shared" si="37"/>
        <v>Y</v>
      </c>
      <c r="N278" t="str">
        <f t="shared" si="38"/>
        <v>Y</v>
      </c>
      <c r="O278">
        <f t="shared" si="39"/>
        <v>8</v>
      </c>
      <c r="P278" s="6">
        <f t="shared" si="40"/>
        <v>1.0201005025125629</v>
      </c>
      <c r="Q278" s="6">
        <f t="shared" si="41"/>
        <v>1.4778325123152709E-2</v>
      </c>
      <c r="R278">
        <f t="shared" si="42"/>
        <v>1</v>
      </c>
      <c r="S278">
        <f t="shared" si="43"/>
        <v>0</v>
      </c>
      <c r="T278">
        <f t="shared" si="44"/>
        <v>0</v>
      </c>
    </row>
    <row r="279" spans="1:20">
      <c r="A279" t="s">
        <v>548</v>
      </c>
      <c r="B279" t="s">
        <v>64</v>
      </c>
      <c r="C279" t="s">
        <v>23</v>
      </c>
      <c r="D279">
        <v>741</v>
      </c>
      <c r="E279" s="4">
        <v>46175</v>
      </c>
      <c r="F279" s="4">
        <v>46180</v>
      </c>
      <c r="G279" s="4">
        <v>46183</v>
      </c>
      <c r="H279">
        <v>742</v>
      </c>
      <c r="I279" t="s">
        <v>549</v>
      </c>
      <c r="J279">
        <v>14</v>
      </c>
      <c r="K279" t="s">
        <v>1563</v>
      </c>
      <c r="L279" t="str">
        <f t="shared" si="36"/>
        <v>N</v>
      </c>
      <c r="M279" t="str">
        <f t="shared" si="37"/>
        <v>Y</v>
      </c>
      <c r="N279" t="str">
        <f t="shared" si="38"/>
        <v>N</v>
      </c>
      <c r="O279">
        <f t="shared" si="39"/>
        <v>8</v>
      </c>
      <c r="P279" s="6">
        <f t="shared" si="40"/>
        <v>1.001349527665317</v>
      </c>
      <c r="Q279" s="6">
        <f t="shared" si="41"/>
        <v>1.8867924528301886E-2</v>
      </c>
      <c r="R279">
        <f t="shared" si="42"/>
        <v>0</v>
      </c>
      <c r="S279">
        <f t="shared" si="43"/>
        <v>3</v>
      </c>
      <c r="T279">
        <f t="shared" si="44"/>
        <v>1500</v>
      </c>
    </row>
    <row r="280" spans="1:20">
      <c r="A280" t="s">
        <v>550</v>
      </c>
      <c r="B280" t="s">
        <v>54</v>
      </c>
      <c r="C280" t="s">
        <v>12</v>
      </c>
      <c r="D280">
        <v>567</v>
      </c>
      <c r="E280" s="4">
        <v>46141</v>
      </c>
      <c r="F280" s="4">
        <v>46149</v>
      </c>
      <c r="G280" s="4">
        <v>46146</v>
      </c>
      <c r="H280">
        <v>556</v>
      </c>
      <c r="I280" t="s">
        <v>421</v>
      </c>
      <c r="J280">
        <v>9</v>
      </c>
      <c r="K280" t="s">
        <v>1563</v>
      </c>
      <c r="L280" t="str">
        <f t="shared" si="36"/>
        <v>Y</v>
      </c>
      <c r="M280" t="str">
        <f t="shared" si="37"/>
        <v>Y</v>
      </c>
      <c r="N280" t="str">
        <f t="shared" si="38"/>
        <v>Y</v>
      </c>
      <c r="O280">
        <f t="shared" si="39"/>
        <v>5</v>
      </c>
      <c r="P280" s="6">
        <f t="shared" si="40"/>
        <v>0.98059964726631388</v>
      </c>
      <c r="Q280" s="6">
        <f t="shared" si="41"/>
        <v>1.618705035971223E-2</v>
      </c>
      <c r="R280">
        <f t="shared" si="42"/>
        <v>1</v>
      </c>
      <c r="S280">
        <f t="shared" si="43"/>
        <v>0</v>
      </c>
      <c r="T280">
        <f t="shared" si="44"/>
        <v>0</v>
      </c>
    </row>
    <row r="281" spans="1:20">
      <c r="A281" t="s">
        <v>551</v>
      </c>
      <c r="B281" t="s">
        <v>46</v>
      </c>
      <c r="C281" t="s">
        <v>23</v>
      </c>
      <c r="D281">
        <v>973</v>
      </c>
      <c r="E281" s="4">
        <v>46039</v>
      </c>
      <c r="F281" s="4">
        <v>46051</v>
      </c>
      <c r="G281" s="4">
        <v>46049</v>
      </c>
      <c r="H281">
        <v>970</v>
      </c>
      <c r="I281" t="s">
        <v>552</v>
      </c>
      <c r="J281">
        <v>5</v>
      </c>
      <c r="K281" t="s">
        <v>1563</v>
      </c>
      <c r="L281" t="str">
        <f t="shared" si="36"/>
        <v>Y</v>
      </c>
      <c r="M281" t="str">
        <f t="shared" si="37"/>
        <v>Y</v>
      </c>
      <c r="N281" t="str">
        <f t="shared" si="38"/>
        <v>Y</v>
      </c>
      <c r="O281">
        <f t="shared" si="39"/>
        <v>10</v>
      </c>
      <c r="P281" s="6">
        <f t="shared" si="40"/>
        <v>0.99691675231243582</v>
      </c>
      <c r="Q281" s="6">
        <f t="shared" si="41"/>
        <v>5.1546391752577319E-3</v>
      </c>
      <c r="R281">
        <f t="shared" si="42"/>
        <v>1</v>
      </c>
      <c r="S281">
        <f t="shared" si="43"/>
        <v>0</v>
      </c>
      <c r="T281">
        <f t="shared" si="44"/>
        <v>0</v>
      </c>
    </row>
    <row r="282" spans="1:20">
      <c r="A282" t="s">
        <v>553</v>
      </c>
      <c r="B282" t="s">
        <v>64</v>
      </c>
      <c r="C282" t="s">
        <v>12</v>
      </c>
      <c r="D282">
        <v>884</v>
      </c>
      <c r="E282" s="4">
        <v>46159</v>
      </c>
      <c r="F282" s="4">
        <v>46171</v>
      </c>
      <c r="G282" s="4">
        <v>46169</v>
      </c>
      <c r="H282">
        <v>880</v>
      </c>
      <c r="I282" t="s">
        <v>183</v>
      </c>
      <c r="J282">
        <v>5</v>
      </c>
      <c r="K282" t="s">
        <v>1563</v>
      </c>
      <c r="L282" t="str">
        <f t="shared" si="36"/>
        <v>Y</v>
      </c>
      <c r="M282" t="str">
        <f t="shared" si="37"/>
        <v>Y</v>
      </c>
      <c r="N282" t="str">
        <f t="shared" si="38"/>
        <v>Y</v>
      </c>
      <c r="O282">
        <f t="shared" si="39"/>
        <v>10</v>
      </c>
      <c r="P282" s="6">
        <f t="shared" si="40"/>
        <v>0.99547511312217196</v>
      </c>
      <c r="Q282" s="6">
        <f t="shared" si="41"/>
        <v>5.681818181818182E-3</v>
      </c>
      <c r="R282">
        <f t="shared" si="42"/>
        <v>1</v>
      </c>
      <c r="S282">
        <f t="shared" si="43"/>
        <v>0</v>
      </c>
      <c r="T282">
        <f t="shared" si="44"/>
        <v>0</v>
      </c>
    </row>
    <row r="283" spans="1:20">
      <c r="A283" t="s">
        <v>555</v>
      </c>
      <c r="B283" t="s">
        <v>81</v>
      </c>
      <c r="C283" t="s">
        <v>16</v>
      </c>
      <c r="D283">
        <v>762</v>
      </c>
      <c r="E283" s="4">
        <v>46055</v>
      </c>
      <c r="F283" s="4">
        <v>46062</v>
      </c>
      <c r="G283" s="4">
        <v>46059</v>
      </c>
      <c r="H283">
        <v>639</v>
      </c>
      <c r="I283" t="s">
        <v>556</v>
      </c>
      <c r="J283">
        <v>7</v>
      </c>
      <c r="K283" t="s">
        <v>1563</v>
      </c>
      <c r="L283" t="str">
        <f t="shared" si="36"/>
        <v>Y</v>
      </c>
      <c r="M283" t="str">
        <f t="shared" si="37"/>
        <v>N</v>
      </c>
      <c r="N283" t="str">
        <f t="shared" si="38"/>
        <v>N</v>
      </c>
      <c r="O283">
        <f t="shared" si="39"/>
        <v>4</v>
      </c>
      <c r="P283" s="6">
        <f t="shared" si="40"/>
        <v>0.83858267716535428</v>
      </c>
      <c r="Q283" s="6">
        <f t="shared" si="41"/>
        <v>1.0954616588419406E-2</v>
      </c>
      <c r="R283">
        <f t="shared" si="42"/>
        <v>0</v>
      </c>
      <c r="S283">
        <f t="shared" si="43"/>
        <v>0</v>
      </c>
      <c r="T283">
        <f t="shared" si="44"/>
        <v>0</v>
      </c>
    </row>
    <row r="284" spans="1:20">
      <c r="A284" t="s">
        <v>557</v>
      </c>
      <c r="B284" t="s">
        <v>52</v>
      </c>
      <c r="C284" t="s">
        <v>16</v>
      </c>
      <c r="D284">
        <v>122</v>
      </c>
      <c r="E284" s="4">
        <v>46078</v>
      </c>
      <c r="F284" s="4">
        <v>46093</v>
      </c>
      <c r="G284" s="4">
        <v>46091</v>
      </c>
      <c r="H284">
        <v>121</v>
      </c>
      <c r="I284" t="s">
        <v>1564</v>
      </c>
      <c r="J284">
        <v>1</v>
      </c>
      <c r="K284" t="s">
        <v>1563</v>
      </c>
      <c r="L284" t="str">
        <f t="shared" si="36"/>
        <v>Y</v>
      </c>
      <c r="M284" t="str">
        <f t="shared" si="37"/>
        <v>Y</v>
      </c>
      <c r="N284" t="str">
        <f t="shared" si="38"/>
        <v>Y</v>
      </c>
      <c r="O284">
        <f t="shared" si="39"/>
        <v>13</v>
      </c>
      <c r="P284" s="6">
        <f t="shared" si="40"/>
        <v>0.99180327868852458</v>
      </c>
      <c r="Q284" s="6">
        <f t="shared" si="41"/>
        <v>8.2644628099173556E-3</v>
      </c>
      <c r="R284">
        <f t="shared" si="42"/>
        <v>1</v>
      </c>
      <c r="S284">
        <f t="shared" si="43"/>
        <v>0</v>
      </c>
      <c r="T284">
        <f t="shared" si="44"/>
        <v>0</v>
      </c>
    </row>
    <row r="285" spans="1:20">
      <c r="A285" t="s">
        <v>558</v>
      </c>
      <c r="B285" t="s">
        <v>26</v>
      </c>
      <c r="C285" t="s">
        <v>16</v>
      </c>
      <c r="D285">
        <v>735</v>
      </c>
      <c r="E285" s="4">
        <v>46114</v>
      </c>
      <c r="F285" s="4">
        <v>46119</v>
      </c>
      <c r="G285" s="4">
        <v>46118</v>
      </c>
      <c r="H285">
        <v>743</v>
      </c>
      <c r="I285" t="s">
        <v>17</v>
      </c>
      <c r="J285">
        <v>13</v>
      </c>
      <c r="K285" t="s">
        <v>1563</v>
      </c>
      <c r="L285" t="str">
        <f t="shared" si="36"/>
        <v>Y</v>
      </c>
      <c r="M285" t="str">
        <f t="shared" si="37"/>
        <v>Y</v>
      </c>
      <c r="N285" t="str">
        <f t="shared" si="38"/>
        <v>Y</v>
      </c>
      <c r="O285">
        <f t="shared" si="39"/>
        <v>4</v>
      </c>
      <c r="P285" s="6">
        <f t="shared" si="40"/>
        <v>1.0108843537414967</v>
      </c>
      <c r="Q285" s="6">
        <f t="shared" si="41"/>
        <v>1.7496635262449527E-2</v>
      </c>
      <c r="R285">
        <f t="shared" si="42"/>
        <v>1</v>
      </c>
      <c r="S285">
        <f t="shared" si="43"/>
        <v>0</v>
      </c>
      <c r="T285">
        <f t="shared" si="44"/>
        <v>0</v>
      </c>
    </row>
    <row r="286" spans="1:20">
      <c r="A286" t="s">
        <v>559</v>
      </c>
      <c r="B286" t="s">
        <v>40</v>
      </c>
      <c r="C286" t="s">
        <v>23</v>
      </c>
      <c r="D286">
        <v>902</v>
      </c>
      <c r="E286" s="4">
        <v>46088</v>
      </c>
      <c r="F286" s="4">
        <v>46100</v>
      </c>
      <c r="G286" s="4">
        <v>46099</v>
      </c>
      <c r="H286">
        <v>899</v>
      </c>
      <c r="I286" t="s">
        <v>111</v>
      </c>
      <c r="J286">
        <v>86</v>
      </c>
      <c r="K286" t="s">
        <v>1563</v>
      </c>
      <c r="L286" t="str">
        <f t="shared" si="36"/>
        <v>Y</v>
      </c>
      <c r="M286" t="str">
        <f t="shared" si="37"/>
        <v>Y</v>
      </c>
      <c r="N286" t="str">
        <f t="shared" si="38"/>
        <v>Y</v>
      </c>
      <c r="O286">
        <f t="shared" si="39"/>
        <v>11</v>
      </c>
      <c r="P286" s="6">
        <f t="shared" si="40"/>
        <v>0.99667405764966743</v>
      </c>
      <c r="Q286" s="6">
        <f t="shared" si="41"/>
        <v>9.5661846496106789E-2</v>
      </c>
      <c r="R286">
        <f t="shared" si="42"/>
        <v>1</v>
      </c>
      <c r="S286">
        <f t="shared" si="43"/>
        <v>0</v>
      </c>
      <c r="T286">
        <f t="shared" si="44"/>
        <v>0</v>
      </c>
    </row>
    <row r="287" spans="1:20">
      <c r="A287" t="s">
        <v>560</v>
      </c>
      <c r="B287" t="s">
        <v>43</v>
      </c>
      <c r="C287" t="s">
        <v>16</v>
      </c>
      <c r="D287">
        <v>410</v>
      </c>
      <c r="E287" s="4">
        <v>46072</v>
      </c>
      <c r="F287" s="4">
        <v>46083</v>
      </c>
      <c r="G287" s="4">
        <v>46083</v>
      </c>
      <c r="H287">
        <v>417</v>
      </c>
      <c r="I287" t="s">
        <v>1564</v>
      </c>
      <c r="J287">
        <v>6</v>
      </c>
      <c r="K287" t="s">
        <v>1563</v>
      </c>
      <c r="L287" t="str">
        <f t="shared" si="36"/>
        <v>Y</v>
      </c>
      <c r="M287" t="str">
        <f t="shared" si="37"/>
        <v>Y</v>
      </c>
      <c r="N287" t="str">
        <f t="shared" si="38"/>
        <v>Y</v>
      </c>
      <c r="O287">
        <f t="shared" si="39"/>
        <v>11</v>
      </c>
      <c r="P287" s="6">
        <f t="shared" si="40"/>
        <v>1.0170731707317073</v>
      </c>
      <c r="Q287" s="6">
        <f t="shared" si="41"/>
        <v>1.4388489208633094E-2</v>
      </c>
      <c r="R287">
        <f t="shared" si="42"/>
        <v>1</v>
      </c>
      <c r="S287">
        <f t="shared" si="43"/>
        <v>0</v>
      </c>
      <c r="T287">
        <f t="shared" si="44"/>
        <v>0</v>
      </c>
    </row>
    <row r="288" spans="1:20">
      <c r="A288" t="s">
        <v>561</v>
      </c>
      <c r="B288" t="s">
        <v>22</v>
      </c>
      <c r="C288" t="s">
        <v>16</v>
      </c>
      <c r="D288">
        <v>350</v>
      </c>
      <c r="E288" s="4">
        <v>46063</v>
      </c>
      <c r="F288" s="4">
        <v>46077</v>
      </c>
      <c r="G288" s="4">
        <v>46076</v>
      </c>
      <c r="H288">
        <v>284</v>
      </c>
      <c r="I288" t="s">
        <v>233</v>
      </c>
      <c r="J288">
        <v>25</v>
      </c>
      <c r="K288" t="s">
        <v>1563</v>
      </c>
      <c r="L288" t="str">
        <f t="shared" si="36"/>
        <v>Y</v>
      </c>
      <c r="M288" t="str">
        <f t="shared" si="37"/>
        <v>N</v>
      </c>
      <c r="N288" t="str">
        <f t="shared" si="38"/>
        <v>N</v>
      </c>
      <c r="O288">
        <f t="shared" si="39"/>
        <v>13</v>
      </c>
      <c r="P288" s="6">
        <f t="shared" si="40"/>
        <v>0.81142857142857139</v>
      </c>
      <c r="Q288" s="6">
        <f t="shared" si="41"/>
        <v>8.8028169014084501E-2</v>
      </c>
      <c r="R288">
        <f t="shared" si="42"/>
        <v>0</v>
      </c>
      <c r="S288">
        <f t="shared" si="43"/>
        <v>0</v>
      </c>
      <c r="T288">
        <f t="shared" si="44"/>
        <v>0</v>
      </c>
    </row>
    <row r="289" spans="1:20">
      <c r="A289" t="s">
        <v>562</v>
      </c>
      <c r="B289" t="s">
        <v>54</v>
      </c>
      <c r="C289" t="s">
        <v>12</v>
      </c>
      <c r="D289">
        <v>598</v>
      </c>
      <c r="E289" s="4">
        <v>46059</v>
      </c>
      <c r="F289" s="4">
        <v>46070</v>
      </c>
      <c r="G289" s="4">
        <v>46075</v>
      </c>
      <c r="H289">
        <v>609</v>
      </c>
      <c r="I289" t="s">
        <v>140</v>
      </c>
      <c r="J289">
        <v>12</v>
      </c>
      <c r="K289" t="s">
        <v>1563</v>
      </c>
      <c r="L289" t="str">
        <f t="shared" si="36"/>
        <v>N</v>
      </c>
      <c r="M289" t="str">
        <f t="shared" si="37"/>
        <v>Y</v>
      </c>
      <c r="N289" t="str">
        <f t="shared" si="38"/>
        <v>N</v>
      </c>
      <c r="O289">
        <f t="shared" si="39"/>
        <v>16</v>
      </c>
      <c r="P289" s="6">
        <f t="shared" si="40"/>
        <v>1.0183946488294315</v>
      </c>
      <c r="Q289" s="6">
        <f t="shared" si="41"/>
        <v>1.9704433497536946E-2</v>
      </c>
      <c r="R289">
        <f t="shared" si="42"/>
        <v>0</v>
      </c>
      <c r="S289">
        <f t="shared" si="43"/>
        <v>5</v>
      </c>
      <c r="T289">
        <f t="shared" si="44"/>
        <v>2500</v>
      </c>
    </row>
    <row r="290" spans="1:20">
      <c r="A290" t="s">
        <v>563</v>
      </c>
      <c r="B290" t="s">
        <v>54</v>
      </c>
      <c r="C290" t="s">
        <v>12</v>
      </c>
      <c r="D290">
        <v>471</v>
      </c>
      <c r="E290" s="4">
        <v>46124</v>
      </c>
      <c r="F290" s="4">
        <v>46134</v>
      </c>
      <c r="G290" s="4">
        <v>46143</v>
      </c>
      <c r="H290">
        <v>471</v>
      </c>
      <c r="I290" t="s">
        <v>84</v>
      </c>
      <c r="J290">
        <v>6</v>
      </c>
      <c r="K290" t="s">
        <v>1563</v>
      </c>
      <c r="L290" t="str">
        <f t="shared" si="36"/>
        <v>N</v>
      </c>
      <c r="M290" t="str">
        <f t="shared" si="37"/>
        <v>Y</v>
      </c>
      <c r="N290" t="str">
        <f t="shared" si="38"/>
        <v>N</v>
      </c>
      <c r="O290">
        <f t="shared" si="39"/>
        <v>19</v>
      </c>
      <c r="P290" s="6">
        <f t="shared" si="40"/>
        <v>1</v>
      </c>
      <c r="Q290" s="6">
        <f t="shared" si="41"/>
        <v>1.2738853503184714E-2</v>
      </c>
      <c r="R290">
        <f t="shared" si="42"/>
        <v>0</v>
      </c>
      <c r="S290">
        <f t="shared" si="43"/>
        <v>9</v>
      </c>
      <c r="T290">
        <f t="shared" si="44"/>
        <v>4500</v>
      </c>
    </row>
    <row r="291" spans="1:20">
      <c r="A291" t="s">
        <v>564</v>
      </c>
      <c r="B291" t="s">
        <v>67</v>
      </c>
      <c r="C291" t="s">
        <v>12</v>
      </c>
      <c r="D291">
        <v>92</v>
      </c>
      <c r="E291" s="4">
        <v>46150</v>
      </c>
      <c r="F291" s="4">
        <v>46161</v>
      </c>
      <c r="G291" s="4">
        <v>46158</v>
      </c>
      <c r="H291">
        <v>93</v>
      </c>
      <c r="I291" t="s">
        <v>195</v>
      </c>
      <c r="J291">
        <v>2</v>
      </c>
      <c r="K291" t="s">
        <v>1563</v>
      </c>
      <c r="L291" t="str">
        <f t="shared" si="36"/>
        <v>Y</v>
      </c>
      <c r="M291" t="str">
        <f t="shared" si="37"/>
        <v>Y</v>
      </c>
      <c r="N291" t="str">
        <f t="shared" si="38"/>
        <v>Y</v>
      </c>
      <c r="O291">
        <f t="shared" si="39"/>
        <v>8</v>
      </c>
      <c r="P291" s="6">
        <f t="shared" si="40"/>
        <v>1.0108695652173914</v>
      </c>
      <c r="Q291" s="6">
        <f t="shared" si="41"/>
        <v>2.1505376344086023E-2</v>
      </c>
      <c r="R291">
        <f t="shared" si="42"/>
        <v>1</v>
      </c>
      <c r="S291">
        <f t="shared" si="43"/>
        <v>0</v>
      </c>
      <c r="T291">
        <f t="shared" si="44"/>
        <v>0</v>
      </c>
    </row>
    <row r="292" spans="1:20">
      <c r="A292" t="s">
        <v>565</v>
      </c>
      <c r="B292" t="s">
        <v>49</v>
      </c>
      <c r="C292" t="s">
        <v>12</v>
      </c>
      <c r="D292">
        <v>674</v>
      </c>
      <c r="E292" s="4">
        <v>46167</v>
      </c>
      <c r="F292" s="4">
        <v>46178</v>
      </c>
      <c r="G292" s="4">
        <v>46177</v>
      </c>
      <c r="H292">
        <v>684</v>
      </c>
      <c r="I292" t="s">
        <v>178</v>
      </c>
      <c r="J292">
        <v>0</v>
      </c>
      <c r="K292" t="s">
        <v>1563</v>
      </c>
      <c r="L292" t="str">
        <f t="shared" si="36"/>
        <v>Y</v>
      </c>
      <c r="M292" t="str">
        <f t="shared" si="37"/>
        <v>Y</v>
      </c>
      <c r="N292" t="str">
        <f t="shared" si="38"/>
        <v>Y</v>
      </c>
      <c r="O292">
        <f t="shared" si="39"/>
        <v>10</v>
      </c>
      <c r="P292" s="6">
        <f t="shared" si="40"/>
        <v>1.0148367952522255</v>
      </c>
      <c r="Q292" s="6">
        <f t="shared" si="41"/>
        <v>0</v>
      </c>
      <c r="R292">
        <f t="shared" si="42"/>
        <v>1</v>
      </c>
      <c r="S292">
        <f t="shared" si="43"/>
        <v>0</v>
      </c>
      <c r="T292">
        <f t="shared" si="44"/>
        <v>0</v>
      </c>
    </row>
    <row r="293" spans="1:20">
      <c r="A293" t="s">
        <v>566</v>
      </c>
      <c r="B293" t="s">
        <v>29</v>
      </c>
      <c r="C293" t="s">
        <v>12</v>
      </c>
      <c r="D293">
        <v>634</v>
      </c>
      <c r="E293" s="4">
        <v>46126</v>
      </c>
      <c r="F293" s="4">
        <v>46138</v>
      </c>
      <c r="G293" s="4">
        <v>46147</v>
      </c>
      <c r="H293">
        <v>511</v>
      </c>
      <c r="I293" t="s">
        <v>567</v>
      </c>
      <c r="J293">
        <v>1</v>
      </c>
      <c r="K293" t="s">
        <v>1563</v>
      </c>
      <c r="L293" t="str">
        <f t="shared" si="36"/>
        <v>N</v>
      </c>
      <c r="M293" t="str">
        <f t="shared" si="37"/>
        <v>N</v>
      </c>
      <c r="N293" t="str">
        <f t="shared" si="38"/>
        <v>N</v>
      </c>
      <c r="O293">
        <f t="shared" si="39"/>
        <v>21</v>
      </c>
      <c r="P293" s="6">
        <f t="shared" si="40"/>
        <v>0.805993690851735</v>
      </c>
      <c r="Q293" s="6">
        <f t="shared" si="41"/>
        <v>1.9569471624266144E-3</v>
      </c>
      <c r="R293">
        <f t="shared" si="42"/>
        <v>0</v>
      </c>
      <c r="S293">
        <f t="shared" si="43"/>
        <v>9</v>
      </c>
      <c r="T293">
        <f t="shared" si="44"/>
        <v>4500</v>
      </c>
    </row>
    <row r="294" spans="1:20">
      <c r="A294" t="s">
        <v>568</v>
      </c>
      <c r="B294" t="s">
        <v>26</v>
      </c>
      <c r="C294" t="s">
        <v>16</v>
      </c>
      <c r="D294">
        <v>448</v>
      </c>
      <c r="E294" s="4">
        <v>46137</v>
      </c>
      <c r="F294" s="4">
        <v>46149</v>
      </c>
      <c r="G294" s="4">
        <v>46147</v>
      </c>
      <c r="H294">
        <v>386</v>
      </c>
      <c r="I294" t="s">
        <v>569</v>
      </c>
      <c r="J294">
        <v>8</v>
      </c>
      <c r="K294" t="s">
        <v>1563</v>
      </c>
      <c r="L294" t="str">
        <f t="shared" si="36"/>
        <v>Y</v>
      </c>
      <c r="M294" t="str">
        <f t="shared" si="37"/>
        <v>N</v>
      </c>
      <c r="N294" t="str">
        <f t="shared" si="38"/>
        <v>N</v>
      </c>
      <c r="O294">
        <f t="shared" si="39"/>
        <v>10</v>
      </c>
      <c r="P294" s="6">
        <f t="shared" si="40"/>
        <v>0.8616071428571429</v>
      </c>
      <c r="Q294" s="6">
        <f t="shared" si="41"/>
        <v>2.072538860103627E-2</v>
      </c>
      <c r="R294">
        <f t="shared" si="42"/>
        <v>0</v>
      </c>
      <c r="S294">
        <f t="shared" si="43"/>
        <v>0</v>
      </c>
      <c r="T294">
        <f t="shared" si="44"/>
        <v>0</v>
      </c>
    </row>
    <row r="295" spans="1:20">
      <c r="A295" t="s">
        <v>570</v>
      </c>
      <c r="B295" t="s">
        <v>100</v>
      </c>
      <c r="C295" t="s">
        <v>16</v>
      </c>
      <c r="D295">
        <v>908</v>
      </c>
      <c r="E295" s="4">
        <v>46118</v>
      </c>
      <c r="F295" s="4">
        <v>46127</v>
      </c>
      <c r="G295" s="4">
        <v>46127</v>
      </c>
      <c r="H295">
        <v>902</v>
      </c>
      <c r="I295" t="s">
        <v>571</v>
      </c>
      <c r="J295">
        <v>20</v>
      </c>
      <c r="K295" t="s">
        <v>1563</v>
      </c>
      <c r="L295" t="str">
        <f t="shared" si="36"/>
        <v>Y</v>
      </c>
      <c r="M295" t="str">
        <f t="shared" si="37"/>
        <v>Y</v>
      </c>
      <c r="N295" t="str">
        <f t="shared" si="38"/>
        <v>Y</v>
      </c>
      <c r="O295">
        <f t="shared" si="39"/>
        <v>9</v>
      </c>
      <c r="P295" s="6">
        <f t="shared" si="40"/>
        <v>0.99339207048458145</v>
      </c>
      <c r="Q295" s="6">
        <f t="shared" si="41"/>
        <v>2.2172949002217297E-2</v>
      </c>
      <c r="R295">
        <f t="shared" si="42"/>
        <v>1</v>
      </c>
      <c r="S295">
        <f t="shared" si="43"/>
        <v>0</v>
      </c>
      <c r="T295">
        <f t="shared" si="44"/>
        <v>0</v>
      </c>
    </row>
    <row r="296" spans="1:20">
      <c r="A296" t="s">
        <v>572</v>
      </c>
      <c r="B296" t="s">
        <v>26</v>
      </c>
      <c r="C296" t="s">
        <v>23</v>
      </c>
      <c r="D296">
        <v>555</v>
      </c>
      <c r="E296" s="4">
        <v>46165</v>
      </c>
      <c r="F296" s="4">
        <v>46176</v>
      </c>
      <c r="G296" s="4">
        <v>46184</v>
      </c>
      <c r="H296">
        <v>527</v>
      </c>
      <c r="I296" t="s">
        <v>574</v>
      </c>
      <c r="J296">
        <v>17</v>
      </c>
      <c r="K296" t="s">
        <v>1563</v>
      </c>
      <c r="L296" t="str">
        <f t="shared" si="36"/>
        <v>N</v>
      </c>
      <c r="M296" t="str">
        <f t="shared" si="37"/>
        <v>N</v>
      </c>
      <c r="N296" t="str">
        <f t="shared" si="38"/>
        <v>N</v>
      </c>
      <c r="O296">
        <f t="shared" si="39"/>
        <v>19</v>
      </c>
      <c r="P296" s="6">
        <f t="shared" si="40"/>
        <v>0.94954954954954951</v>
      </c>
      <c r="Q296" s="6">
        <f t="shared" si="41"/>
        <v>3.2258064516129031E-2</v>
      </c>
      <c r="R296">
        <f t="shared" si="42"/>
        <v>0</v>
      </c>
      <c r="S296">
        <f t="shared" si="43"/>
        <v>8</v>
      </c>
      <c r="T296">
        <f t="shared" si="44"/>
        <v>4000</v>
      </c>
    </row>
    <row r="297" spans="1:20">
      <c r="A297" t="s">
        <v>575</v>
      </c>
      <c r="B297" t="s">
        <v>43</v>
      </c>
      <c r="C297" t="s">
        <v>12</v>
      </c>
      <c r="D297">
        <v>669</v>
      </c>
      <c r="E297" s="4">
        <v>46156</v>
      </c>
      <c r="F297" s="4">
        <v>46169</v>
      </c>
      <c r="G297" s="4">
        <v>46166</v>
      </c>
      <c r="H297">
        <v>670</v>
      </c>
      <c r="I297" t="s">
        <v>356</v>
      </c>
      <c r="J297">
        <v>19</v>
      </c>
      <c r="K297" t="s">
        <v>1563</v>
      </c>
      <c r="L297" t="str">
        <f t="shared" si="36"/>
        <v>Y</v>
      </c>
      <c r="M297" t="str">
        <f t="shared" si="37"/>
        <v>Y</v>
      </c>
      <c r="N297" t="str">
        <f t="shared" si="38"/>
        <v>Y</v>
      </c>
      <c r="O297">
        <f t="shared" si="39"/>
        <v>10</v>
      </c>
      <c r="P297" s="6">
        <f t="shared" si="40"/>
        <v>1.0014947683109119</v>
      </c>
      <c r="Q297" s="6">
        <f t="shared" si="41"/>
        <v>2.8358208955223882E-2</v>
      </c>
      <c r="R297">
        <f t="shared" si="42"/>
        <v>1</v>
      </c>
      <c r="S297">
        <f t="shared" si="43"/>
        <v>0</v>
      </c>
      <c r="T297">
        <f t="shared" si="44"/>
        <v>0</v>
      </c>
    </row>
    <row r="298" spans="1:20">
      <c r="A298" t="s">
        <v>577</v>
      </c>
      <c r="B298" t="s">
        <v>35</v>
      </c>
      <c r="C298" t="s">
        <v>16</v>
      </c>
      <c r="D298">
        <v>382</v>
      </c>
      <c r="E298" s="4">
        <v>46114</v>
      </c>
      <c r="F298" s="4">
        <v>46121</v>
      </c>
      <c r="G298" s="4">
        <v>46128</v>
      </c>
      <c r="H298">
        <v>383</v>
      </c>
      <c r="I298" t="s">
        <v>578</v>
      </c>
      <c r="J298">
        <v>7</v>
      </c>
      <c r="K298" t="s">
        <v>1563</v>
      </c>
      <c r="L298" t="str">
        <f t="shared" si="36"/>
        <v>N</v>
      </c>
      <c r="M298" t="str">
        <f t="shared" si="37"/>
        <v>Y</v>
      </c>
      <c r="N298" t="str">
        <f t="shared" si="38"/>
        <v>N</v>
      </c>
      <c r="O298">
        <f t="shared" si="39"/>
        <v>14</v>
      </c>
      <c r="P298" s="6">
        <f t="shared" si="40"/>
        <v>1.0026178010471205</v>
      </c>
      <c r="Q298" s="6">
        <f t="shared" si="41"/>
        <v>1.8276762402088774E-2</v>
      </c>
      <c r="R298">
        <f t="shared" si="42"/>
        <v>0</v>
      </c>
      <c r="S298">
        <f t="shared" si="43"/>
        <v>7</v>
      </c>
      <c r="T298">
        <f t="shared" si="44"/>
        <v>3500</v>
      </c>
    </row>
    <row r="299" spans="1:20">
      <c r="A299" t="s">
        <v>579</v>
      </c>
      <c r="B299" t="s">
        <v>49</v>
      </c>
      <c r="C299" t="s">
        <v>23</v>
      </c>
      <c r="D299">
        <v>622</v>
      </c>
      <c r="E299" s="4">
        <v>46068</v>
      </c>
      <c r="F299" s="4">
        <v>46074</v>
      </c>
      <c r="G299" s="4">
        <v>46076</v>
      </c>
      <c r="H299">
        <v>617</v>
      </c>
      <c r="I299" t="s">
        <v>580</v>
      </c>
      <c r="J299">
        <v>3</v>
      </c>
      <c r="K299" t="s">
        <v>1563</v>
      </c>
      <c r="L299" t="str">
        <f t="shared" si="36"/>
        <v>N</v>
      </c>
      <c r="M299" t="str">
        <f t="shared" si="37"/>
        <v>Y</v>
      </c>
      <c r="N299" t="str">
        <f t="shared" si="38"/>
        <v>N</v>
      </c>
      <c r="O299">
        <f t="shared" si="39"/>
        <v>8</v>
      </c>
      <c r="P299" s="6">
        <f t="shared" si="40"/>
        <v>0.99196141479099675</v>
      </c>
      <c r="Q299" s="6">
        <f t="shared" si="41"/>
        <v>4.8622366288492711E-3</v>
      </c>
      <c r="R299">
        <f t="shared" si="42"/>
        <v>0</v>
      </c>
      <c r="S299">
        <f t="shared" si="43"/>
        <v>2</v>
      </c>
      <c r="T299">
        <f t="shared" si="44"/>
        <v>1000</v>
      </c>
    </row>
    <row r="300" spans="1:20">
      <c r="A300" t="s">
        <v>581</v>
      </c>
      <c r="B300" t="s">
        <v>64</v>
      </c>
      <c r="C300" t="s">
        <v>23</v>
      </c>
      <c r="D300">
        <v>178</v>
      </c>
      <c r="E300" s="4">
        <v>46143</v>
      </c>
      <c r="F300" s="4">
        <v>46153</v>
      </c>
      <c r="G300" s="4">
        <v>46150</v>
      </c>
      <c r="H300">
        <v>177</v>
      </c>
      <c r="I300" t="s">
        <v>372</v>
      </c>
      <c r="J300">
        <v>14</v>
      </c>
      <c r="K300" t="s">
        <v>1563</v>
      </c>
      <c r="L300" t="str">
        <f t="shared" si="36"/>
        <v>Y</v>
      </c>
      <c r="M300" t="str">
        <f t="shared" si="37"/>
        <v>Y</v>
      </c>
      <c r="N300" t="str">
        <f t="shared" si="38"/>
        <v>Y</v>
      </c>
      <c r="O300">
        <f t="shared" si="39"/>
        <v>7</v>
      </c>
      <c r="P300" s="6">
        <f t="shared" si="40"/>
        <v>0.9943820224719101</v>
      </c>
      <c r="Q300" s="6">
        <f t="shared" si="41"/>
        <v>7.909604519774012E-2</v>
      </c>
      <c r="R300">
        <f t="shared" si="42"/>
        <v>1</v>
      </c>
      <c r="S300">
        <f t="shared" si="43"/>
        <v>0</v>
      </c>
      <c r="T300">
        <f t="shared" si="44"/>
        <v>0</v>
      </c>
    </row>
    <row r="301" spans="1:20">
      <c r="A301" t="s">
        <v>582</v>
      </c>
      <c r="B301" t="s">
        <v>32</v>
      </c>
      <c r="C301" t="s">
        <v>23</v>
      </c>
      <c r="D301">
        <v>196</v>
      </c>
      <c r="E301" s="4">
        <v>46127</v>
      </c>
      <c r="F301" s="4">
        <v>46142</v>
      </c>
      <c r="G301" s="4">
        <v>46139</v>
      </c>
      <c r="H301">
        <v>194</v>
      </c>
      <c r="I301" t="s">
        <v>583</v>
      </c>
      <c r="J301">
        <v>8</v>
      </c>
      <c r="K301" t="s">
        <v>1563</v>
      </c>
      <c r="L301" t="str">
        <f t="shared" si="36"/>
        <v>Y</v>
      </c>
      <c r="M301" t="str">
        <f t="shared" si="37"/>
        <v>Y</v>
      </c>
      <c r="N301" t="str">
        <f t="shared" si="38"/>
        <v>Y</v>
      </c>
      <c r="O301">
        <f t="shared" si="39"/>
        <v>12</v>
      </c>
      <c r="P301" s="6">
        <f t="shared" si="40"/>
        <v>0.98979591836734693</v>
      </c>
      <c r="Q301" s="6">
        <f t="shared" si="41"/>
        <v>4.1237113402061855E-2</v>
      </c>
      <c r="R301">
        <f t="shared" si="42"/>
        <v>1</v>
      </c>
      <c r="S301">
        <f t="shared" si="43"/>
        <v>0</v>
      </c>
      <c r="T301">
        <f t="shared" si="44"/>
        <v>0</v>
      </c>
    </row>
    <row r="302" spans="1:20">
      <c r="A302" t="s">
        <v>584</v>
      </c>
      <c r="B302" t="s">
        <v>26</v>
      </c>
      <c r="C302" t="s">
        <v>23</v>
      </c>
      <c r="D302">
        <v>438</v>
      </c>
      <c r="E302" s="4">
        <v>46109</v>
      </c>
      <c r="F302" s="4">
        <v>46121</v>
      </c>
      <c r="G302" s="4">
        <v>46119</v>
      </c>
      <c r="H302">
        <v>434</v>
      </c>
      <c r="I302" t="s">
        <v>585</v>
      </c>
      <c r="J302">
        <v>7</v>
      </c>
      <c r="K302" t="s">
        <v>1563</v>
      </c>
      <c r="L302" t="str">
        <f t="shared" si="36"/>
        <v>Y</v>
      </c>
      <c r="M302" t="str">
        <f t="shared" si="37"/>
        <v>Y</v>
      </c>
      <c r="N302" t="str">
        <f t="shared" si="38"/>
        <v>Y</v>
      </c>
      <c r="O302">
        <f t="shared" si="39"/>
        <v>10</v>
      </c>
      <c r="P302" s="6">
        <f t="shared" si="40"/>
        <v>0.9908675799086758</v>
      </c>
      <c r="Q302" s="6">
        <f t="shared" si="41"/>
        <v>1.6129032258064516E-2</v>
      </c>
      <c r="R302">
        <f t="shared" si="42"/>
        <v>1</v>
      </c>
      <c r="S302">
        <f t="shared" si="43"/>
        <v>0</v>
      </c>
      <c r="T302">
        <f t="shared" si="44"/>
        <v>0</v>
      </c>
    </row>
    <row r="303" spans="1:20">
      <c r="A303" t="s">
        <v>586</v>
      </c>
      <c r="B303" t="s">
        <v>19</v>
      </c>
      <c r="C303" t="s">
        <v>23</v>
      </c>
      <c r="D303">
        <v>232</v>
      </c>
      <c r="E303" s="4">
        <v>46087</v>
      </c>
      <c r="F303" s="4">
        <v>46098</v>
      </c>
      <c r="G303" s="4">
        <v>46095</v>
      </c>
      <c r="H303">
        <v>229</v>
      </c>
      <c r="I303" t="s">
        <v>412</v>
      </c>
      <c r="J303">
        <v>6</v>
      </c>
      <c r="K303" t="s">
        <v>1563</v>
      </c>
      <c r="L303" t="str">
        <f t="shared" si="36"/>
        <v>Y</v>
      </c>
      <c r="M303" t="str">
        <f t="shared" si="37"/>
        <v>Y</v>
      </c>
      <c r="N303" t="str">
        <f t="shared" si="38"/>
        <v>Y</v>
      </c>
      <c r="O303">
        <f t="shared" si="39"/>
        <v>8</v>
      </c>
      <c r="P303" s="6">
        <f t="shared" si="40"/>
        <v>0.98706896551724133</v>
      </c>
      <c r="Q303" s="6">
        <f t="shared" si="41"/>
        <v>2.6200873362445413E-2</v>
      </c>
      <c r="R303">
        <f t="shared" si="42"/>
        <v>1</v>
      </c>
      <c r="S303">
        <f t="shared" si="43"/>
        <v>0</v>
      </c>
      <c r="T303">
        <f t="shared" si="44"/>
        <v>0</v>
      </c>
    </row>
    <row r="304" spans="1:20">
      <c r="A304" t="s">
        <v>587</v>
      </c>
      <c r="B304" t="s">
        <v>120</v>
      </c>
      <c r="C304" t="s">
        <v>12</v>
      </c>
      <c r="D304">
        <v>699</v>
      </c>
      <c r="E304" s="4">
        <v>46034</v>
      </c>
      <c r="F304" s="4">
        <v>46049</v>
      </c>
      <c r="G304" s="4">
        <v>46049</v>
      </c>
      <c r="H304">
        <v>700</v>
      </c>
      <c r="I304" t="s">
        <v>221</v>
      </c>
      <c r="J304">
        <v>18</v>
      </c>
      <c r="K304" t="s">
        <v>1563</v>
      </c>
      <c r="L304" t="str">
        <f t="shared" si="36"/>
        <v>Y</v>
      </c>
      <c r="M304" t="str">
        <f t="shared" si="37"/>
        <v>Y</v>
      </c>
      <c r="N304" t="str">
        <f t="shared" si="38"/>
        <v>Y</v>
      </c>
      <c r="O304">
        <f t="shared" si="39"/>
        <v>15</v>
      </c>
      <c r="P304" s="6">
        <f t="shared" si="40"/>
        <v>1.0014306151645207</v>
      </c>
      <c r="Q304" s="6">
        <f t="shared" si="41"/>
        <v>2.5714285714285714E-2</v>
      </c>
      <c r="R304">
        <f t="shared" si="42"/>
        <v>1</v>
      </c>
      <c r="S304">
        <f t="shared" si="43"/>
        <v>0</v>
      </c>
      <c r="T304">
        <f t="shared" si="44"/>
        <v>0</v>
      </c>
    </row>
    <row r="305" spans="1:20">
      <c r="A305" t="s">
        <v>588</v>
      </c>
      <c r="B305" t="s">
        <v>120</v>
      </c>
      <c r="C305" t="s">
        <v>12</v>
      </c>
      <c r="D305">
        <v>959</v>
      </c>
      <c r="E305" s="4">
        <v>46139</v>
      </c>
      <c r="F305" s="4">
        <v>46147</v>
      </c>
      <c r="G305" s="4">
        <v>46144</v>
      </c>
      <c r="H305">
        <v>955</v>
      </c>
      <c r="I305" t="s">
        <v>589</v>
      </c>
      <c r="J305">
        <v>1</v>
      </c>
      <c r="K305" t="s">
        <v>1563</v>
      </c>
      <c r="L305" t="str">
        <f t="shared" si="36"/>
        <v>Y</v>
      </c>
      <c r="M305" t="str">
        <f t="shared" si="37"/>
        <v>Y</v>
      </c>
      <c r="N305" t="str">
        <f t="shared" si="38"/>
        <v>Y</v>
      </c>
      <c r="O305">
        <f t="shared" si="39"/>
        <v>5</v>
      </c>
      <c r="P305" s="6">
        <f t="shared" si="40"/>
        <v>0.99582898852971846</v>
      </c>
      <c r="Q305" s="6">
        <f t="shared" si="41"/>
        <v>1.0471204188481676E-3</v>
      </c>
      <c r="R305">
        <f t="shared" si="42"/>
        <v>1</v>
      </c>
      <c r="S305">
        <f t="shared" si="43"/>
        <v>0</v>
      </c>
      <c r="T305">
        <f t="shared" si="44"/>
        <v>0</v>
      </c>
    </row>
    <row r="306" spans="1:20">
      <c r="A306" t="s">
        <v>590</v>
      </c>
      <c r="B306" t="s">
        <v>35</v>
      </c>
      <c r="C306" t="s">
        <v>23</v>
      </c>
      <c r="D306">
        <v>459</v>
      </c>
      <c r="E306" s="4">
        <v>46136</v>
      </c>
      <c r="F306" s="4">
        <v>46151</v>
      </c>
      <c r="G306" s="4">
        <v>46149</v>
      </c>
      <c r="H306">
        <v>466</v>
      </c>
      <c r="I306" t="s">
        <v>592</v>
      </c>
      <c r="J306">
        <v>17</v>
      </c>
      <c r="K306" t="s">
        <v>1563</v>
      </c>
      <c r="L306" t="str">
        <f t="shared" si="36"/>
        <v>Y</v>
      </c>
      <c r="M306" t="str">
        <f t="shared" si="37"/>
        <v>Y</v>
      </c>
      <c r="N306" t="str">
        <f t="shared" si="38"/>
        <v>Y</v>
      </c>
      <c r="O306">
        <f t="shared" si="39"/>
        <v>13</v>
      </c>
      <c r="P306" s="6">
        <f t="shared" si="40"/>
        <v>1.0152505446623095</v>
      </c>
      <c r="Q306" s="6">
        <f t="shared" si="41"/>
        <v>3.6480686695278972E-2</v>
      </c>
      <c r="R306">
        <f t="shared" si="42"/>
        <v>1</v>
      </c>
      <c r="S306">
        <f t="shared" si="43"/>
        <v>0</v>
      </c>
      <c r="T306">
        <f t="shared" si="44"/>
        <v>0</v>
      </c>
    </row>
    <row r="307" spans="1:20">
      <c r="A307" t="s">
        <v>593</v>
      </c>
      <c r="B307" t="s">
        <v>46</v>
      </c>
      <c r="C307" t="s">
        <v>16</v>
      </c>
      <c r="D307">
        <v>438</v>
      </c>
      <c r="E307" s="4">
        <v>46047</v>
      </c>
      <c r="F307" s="4">
        <v>46062</v>
      </c>
      <c r="G307" s="4">
        <v>46059</v>
      </c>
      <c r="H307">
        <v>432</v>
      </c>
      <c r="I307" t="s">
        <v>594</v>
      </c>
      <c r="J307">
        <v>19</v>
      </c>
      <c r="K307" t="s">
        <v>1563</v>
      </c>
      <c r="L307" t="str">
        <f t="shared" si="36"/>
        <v>Y</v>
      </c>
      <c r="M307" t="str">
        <f t="shared" si="37"/>
        <v>Y</v>
      </c>
      <c r="N307" t="str">
        <f t="shared" si="38"/>
        <v>Y</v>
      </c>
      <c r="O307">
        <f t="shared" si="39"/>
        <v>12</v>
      </c>
      <c r="P307" s="6">
        <f t="shared" si="40"/>
        <v>0.98630136986301364</v>
      </c>
      <c r="Q307" s="6">
        <f t="shared" si="41"/>
        <v>4.3981481481481483E-2</v>
      </c>
      <c r="R307">
        <f t="shared" si="42"/>
        <v>1</v>
      </c>
      <c r="S307">
        <f t="shared" si="43"/>
        <v>0</v>
      </c>
      <c r="T307">
        <f t="shared" si="44"/>
        <v>0</v>
      </c>
    </row>
    <row r="308" spans="1:20">
      <c r="A308" t="s">
        <v>595</v>
      </c>
      <c r="B308" t="s">
        <v>54</v>
      </c>
      <c r="C308" t="s">
        <v>23</v>
      </c>
      <c r="D308">
        <v>770</v>
      </c>
      <c r="E308" s="4">
        <v>46094</v>
      </c>
      <c r="F308" s="4">
        <v>46107</v>
      </c>
      <c r="G308" s="4">
        <v>46110</v>
      </c>
      <c r="H308">
        <v>763</v>
      </c>
      <c r="I308" t="s">
        <v>458</v>
      </c>
      <c r="J308">
        <v>1</v>
      </c>
      <c r="K308" t="s">
        <v>1563</v>
      </c>
      <c r="L308" t="str">
        <f t="shared" si="36"/>
        <v>N</v>
      </c>
      <c r="M308" t="str">
        <f t="shared" si="37"/>
        <v>Y</v>
      </c>
      <c r="N308" t="str">
        <f t="shared" si="38"/>
        <v>N</v>
      </c>
      <c r="O308">
        <f t="shared" si="39"/>
        <v>16</v>
      </c>
      <c r="P308" s="6">
        <f t="shared" si="40"/>
        <v>0.99090909090909096</v>
      </c>
      <c r="Q308" s="6">
        <f t="shared" si="41"/>
        <v>1.3106159895150721E-3</v>
      </c>
      <c r="R308">
        <f t="shared" si="42"/>
        <v>0</v>
      </c>
      <c r="S308">
        <f t="shared" si="43"/>
        <v>3</v>
      </c>
      <c r="T308">
        <f t="shared" si="44"/>
        <v>1500</v>
      </c>
    </row>
    <row r="309" spans="1:20">
      <c r="A309" t="s">
        <v>596</v>
      </c>
      <c r="B309" t="s">
        <v>100</v>
      </c>
      <c r="C309" t="s">
        <v>16</v>
      </c>
      <c r="D309">
        <v>344</v>
      </c>
      <c r="E309" s="4">
        <v>46175</v>
      </c>
      <c r="F309" s="4">
        <v>46185</v>
      </c>
      <c r="G309" s="4">
        <v>46184</v>
      </c>
      <c r="H309">
        <v>346</v>
      </c>
      <c r="I309" t="s">
        <v>597</v>
      </c>
      <c r="J309">
        <v>6</v>
      </c>
      <c r="K309" t="s">
        <v>1563</v>
      </c>
      <c r="L309" t="str">
        <f t="shared" si="36"/>
        <v>Y</v>
      </c>
      <c r="M309" t="str">
        <f t="shared" si="37"/>
        <v>Y</v>
      </c>
      <c r="N309" t="str">
        <f t="shared" si="38"/>
        <v>Y</v>
      </c>
      <c r="O309">
        <f t="shared" si="39"/>
        <v>9</v>
      </c>
      <c r="P309" s="6">
        <f t="shared" si="40"/>
        <v>1.0058139534883721</v>
      </c>
      <c r="Q309" s="6">
        <f t="shared" si="41"/>
        <v>1.7341040462427744E-2</v>
      </c>
      <c r="R309">
        <f t="shared" si="42"/>
        <v>1</v>
      </c>
      <c r="S309">
        <f t="shared" si="43"/>
        <v>0</v>
      </c>
      <c r="T309">
        <f t="shared" si="44"/>
        <v>0</v>
      </c>
    </row>
    <row r="310" spans="1:20">
      <c r="A310" t="s">
        <v>598</v>
      </c>
      <c r="B310" t="s">
        <v>54</v>
      </c>
      <c r="C310" t="s">
        <v>12</v>
      </c>
      <c r="D310">
        <v>357</v>
      </c>
      <c r="E310" s="4">
        <v>46112</v>
      </c>
      <c r="F310" s="4">
        <v>46122</v>
      </c>
      <c r="G310" s="4"/>
      <c r="I310" t="s">
        <v>533</v>
      </c>
      <c r="K310" t="s">
        <v>1565</v>
      </c>
      <c r="L310" t="str">
        <f t="shared" si="36"/>
        <v>N/A</v>
      </c>
      <c r="M310" t="str">
        <f t="shared" si="37"/>
        <v>N/A</v>
      </c>
      <c r="N310" t="str">
        <f t="shared" si="38"/>
        <v>N/A</v>
      </c>
      <c r="O310" t="str">
        <f t="shared" si="39"/>
        <v>N/A</v>
      </c>
      <c r="P310" s="6" t="str">
        <f t="shared" si="40"/>
        <v>N/A</v>
      </c>
      <c r="Q310" s="6" t="str">
        <f t="shared" si="41"/>
        <v>N/A</v>
      </c>
      <c r="R310" t="str">
        <f t="shared" si="42"/>
        <v/>
      </c>
      <c r="S310" t="str">
        <f t="shared" si="43"/>
        <v>N/A</v>
      </c>
      <c r="T310">
        <f t="shared" si="44"/>
        <v>0</v>
      </c>
    </row>
    <row r="311" spans="1:20">
      <c r="A311" t="s">
        <v>599</v>
      </c>
      <c r="B311" t="s">
        <v>100</v>
      </c>
      <c r="C311" t="s">
        <v>12</v>
      </c>
      <c r="D311">
        <v>997</v>
      </c>
      <c r="E311" s="4">
        <v>46079</v>
      </c>
      <c r="F311" s="4">
        <v>46085</v>
      </c>
      <c r="G311" s="4">
        <v>46084</v>
      </c>
      <c r="H311">
        <v>995</v>
      </c>
      <c r="I311" t="s">
        <v>600</v>
      </c>
      <c r="J311">
        <v>26</v>
      </c>
      <c r="K311" t="s">
        <v>1563</v>
      </c>
      <c r="L311" t="str">
        <f t="shared" si="36"/>
        <v>Y</v>
      </c>
      <c r="M311" t="str">
        <f t="shared" si="37"/>
        <v>Y</v>
      </c>
      <c r="N311" t="str">
        <f t="shared" si="38"/>
        <v>Y</v>
      </c>
      <c r="O311">
        <f t="shared" si="39"/>
        <v>5</v>
      </c>
      <c r="P311" s="6">
        <f t="shared" si="40"/>
        <v>0.99799398194583755</v>
      </c>
      <c r="Q311" s="6">
        <f t="shared" si="41"/>
        <v>2.6130653266331658E-2</v>
      </c>
      <c r="R311">
        <f t="shared" si="42"/>
        <v>1</v>
      </c>
      <c r="S311">
        <f t="shared" si="43"/>
        <v>0</v>
      </c>
      <c r="T311">
        <f t="shared" si="44"/>
        <v>0</v>
      </c>
    </row>
    <row r="312" spans="1:20">
      <c r="A312" t="s">
        <v>601</v>
      </c>
      <c r="B312" t="s">
        <v>22</v>
      </c>
      <c r="C312" t="s">
        <v>12</v>
      </c>
      <c r="D312">
        <v>288</v>
      </c>
      <c r="E312" s="4">
        <v>46125</v>
      </c>
      <c r="F312" s="4">
        <v>46136</v>
      </c>
      <c r="G312" s="4">
        <v>46136</v>
      </c>
      <c r="H312">
        <v>291</v>
      </c>
      <c r="I312" t="s">
        <v>524</v>
      </c>
      <c r="J312">
        <v>13</v>
      </c>
      <c r="K312" t="s">
        <v>1563</v>
      </c>
      <c r="L312" t="str">
        <f t="shared" si="36"/>
        <v>Y</v>
      </c>
      <c r="M312" t="str">
        <f t="shared" si="37"/>
        <v>Y</v>
      </c>
      <c r="N312" t="str">
        <f t="shared" si="38"/>
        <v>Y</v>
      </c>
      <c r="O312">
        <f t="shared" si="39"/>
        <v>11</v>
      </c>
      <c r="P312" s="6">
        <f t="shared" si="40"/>
        <v>1.0104166666666667</v>
      </c>
      <c r="Q312" s="6">
        <f t="shared" si="41"/>
        <v>4.4673539518900345E-2</v>
      </c>
      <c r="R312">
        <f t="shared" si="42"/>
        <v>1</v>
      </c>
      <c r="S312">
        <f t="shared" si="43"/>
        <v>0</v>
      </c>
      <c r="T312">
        <f t="shared" si="44"/>
        <v>0</v>
      </c>
    </row>
    <row r="313" spans="1:20">
      <c r="A313" t="s">
        <v>602</v>
      </c>
      <c r="B313" t="s">
        <v>32</v>
      </c>
      <c r="C313" t="s">
        <v>12</v>
      </c>
      <c r="D313">
        <v>204</v>
      </c>
      <c r="E313" s="4">
        <v>46158</v>
      </c>
      <c r="F313" s="4">
        <v>46166</v>
      </c>
      <c r="G313" s="4">
        <v>46165</v>
      </c>
      <c r="H313">
        <v>206</v>
      </c>
      <c r="I313" t="s">
        <v>603</v>
      </c>
      <c r="J313">
        <v>4</v>
      </c>
      <c r="K313" t="s">
        <v>1563</v>
      </c>
      <c r="L313" t="str">
        <f t="shared" si="36"/>
        <v>Y</v>
      </c>
      <c r="M313" t="str">
        <f t="shared" si="37"/>
        <v>Y</v>
      </c>
      <c r="N313" t="str">
        <f t="shared" si="38"/>
        <v>Y</v>
      </c>
      <c r="O313">
        <f t="shared" si="39"/>
        <v>7</v>
      </c>
      <c r="P313" s="6">
        <f t="shared" si="40"/>
        <v>1.0098039215686274</v>
      </c>
      <c r="Q313" s="6">
        <f t="shared" si="41"/>
        <v>1.9417475728155338E-2</v>
      </c>
      <c r="R313">
        <f t="shared" si="42"/>
        <v>1</v>
      </c>
      <c r="S313">
        <f t="shared" si="43"/>
        <v>0</v>
      </c>
      <c r="T313">
        <f t="shared" si="44"/>
        <v>0</v>
      </c>
    </row>
    <row r="314" spans="1:20">
      <c r="A314" t="s">
        <v>604</v>
      </c>
      <c r="B314" t="s">
        <v>11</v>
      </c>
      <c r="C314" t="s">
        <v>12</v>
      </c>
      <c r="D314">
        <v>262</v>
      </c>
      <c r="E314" s="4">
        <v>46101</v>
      </c>
      <c r="F314" s="4">
        <v>46106</v>
      </c>
      <c r="G314" s="4">
        <v>46106</v>
      </c>
      <c r="H314">
        <v>258</v>
      </c>
      <c r="I314" t="s">
        <v>605</v>
      </c>
      <c r="J314">
        <v>0</v>
      </c>
      <c r="K314" t="s">
        <v>1563</v>
      </c>
      <c r="L314" t="str">
        <f t="shared" si="36"/>
        <v>Y</v>
      </c>
      <c r="M314" t="str">
        <f t="shared" si="37"/>
        <v>Y</v>
      </c>
      <c r="N314" t="str">
        <f t="shared" si="38"/>
        <v>Y</v>
      </c>
      <c r="O314">
        <f t="shared" si="39"/>
        <v>5</v>
      </c>
      <c r="P314" s="6">
        <f t="shared" si="40"/>
        <v>0.98473282442748089</v>
      </c>
      <c r="Q314" s="6">
        <f t="shared" si="41"/>
        <v>0</v>
      </c>
      <c r="R314">
        <f t="shared" si="42"/>
        <v>1</v>
      </c>
      <c r="S314">
        <f t="shared" si="43"/>
        <v>0</v>
      </c>
      <c r="T314">
        <f t="shared" si="44"/>
        <v>0</v>
      </c>
    </row>
    <row r="315" spans="1:20">
      <c r="A315" t="s">
        <v>606</v>
      </c>
      <c r="B315" t="s">
        <v>54</v>
      </c>
      <c r="C315" t="s">
        <v>12</v>
      </c>
      <c r="D315">
        <v>321</v>
      </c>
      <c r="E315" s="4">
        <v>46123</v>
      </c>
      <c r="F315" s="4">
        <v>46137</v>
      </c>
      <c r="G315" s="4">
        <v>46145</v>
      </c>
      <c r="H315">
        <v>323</v>
      </c>
      <c r="I315" t="s">
        <v>55</v>
      </c>
      <c r="J315">
        <v>5</v>
      </c>
      <c r="K315" t="s">
        <v>1563</v>
      </c>
      <c r="L315" t="str">
        <f t="shared" si="36"/>
        <v>N</v>
      </c>
      <c r="M315" t="str">
        <f t="shared" si="37"/>
        <v>Y</v>
      </c>
      <c r="N315" t="str">
        <f t="shared" si="38"/>
        <v>N</v>
      </c>
      <c r="O315">
        <f t="shared" si="39"/>
        <v>22</v>
      </c>
      <c r="P315" s="6">
        <f t="shared" si="40"/>
        <v>1.0062305295950156</v>
      </c>
      <c r="Q315" s="6">
        <f t="shared" si="41"/>
        <v>1.5479876160990712E-2</v>
      </c>
      <c r="R315">
        <f t="shared" si="42"/>
        <v>0</v>
      </c>
      <c r="S315">
        <f t="shared" si="43"/>
        <v>8</v>
      </c>
      <c r="T315">
        <f t="shared" si="44"/>
        <v>4000</v>
      </c>
    </row>
    <row r="316" spans="1:20">
      <c r="A316" t="s">
        <v>607</v>
      </c>
      <c r="B316" t="s">
        <v>19</v>
      </c>
      <c r="C316" t="s">
        <v>23</v>
      </c>
      <c r="D316">
        <v>160</v>
      </c>
      <c r="E316" s="4">
        <v>46066</v>
      </c>
      <c r="F316" s="4">
        <v>46072</v>
      </c>
      <c r="G316" s="4">
        <v>46072</v>
      </c>
      <c r="H316">
        <v>160</v>
      </c>
      <c r="I316" t="s">
        <v>608</v>
      </c>
      <c r="J316">
        <v>5</v>
      </c>
      <c r="K316" t="s">
        <v>1563</v>
      </c>
      <c r="L316" t="str">
        <f t="shared" si="36"/>
        <v>Y</v>
      </c>
      <c r="M316" t="str">
        <f t="shared" si="37"/>
        <v>Y</v>
      </c>
      <c r="N316" t="str">
        <f t="shared" si="38"/>
        <v>Y</v>
      </c>
      <c r="O316">
        <f t="shared" si="39"/>
        <v>6</v>
      </c>
      <c r="P316" s="6">
        <f t="shared" si="40"/>
        <v>1</v>
      </c>
      <c r="Q316" s="6">
        <f t="shared" si="41"/>
        <v>3.125E-2</v>
      </c>
      <c r="R316">
        <f t="shared" si="42"/>
        <v>1</v>
      </c>
      <c r="S316">
        <f t="shared" si="43"/>
        <v>0</v>
      </c>
      <c r="T316">
        <f t="shared" si="44"/>
        <v>0</v>
      </c>
    </row>
    <row r="317" spans="1:20">
      <c r="A317" t="s">
        <v>609</v>
      </c>
      <c r="B317" t="s">
        <v>40</v>
      </c>
      <c r="C317" t="s">
        <v>16</v>
      </c>
      <c r="D317">
        <v>551</v>
      </c>
      <c r="E317" s="4">
        <v>46156</v>
      </c>
      <c r="F317" s="4">
        <v>46161</v>
      </c>
      <c r="G317" s="4">
        <v>46169</v>
      </c>
      <c r="H317">
        <v>551</v>
      </c>
      <c r="I317" t="s">
        <v>610</v>
      </c>
      <c r="J317">
        <v>46</v>
      </c>
      <c r="K317" t="s">
        <v>1563</v>
      </c>
      <c r="L317" t="str">
        <f t="shared" si="36"/>
        <v>N</v>
      </c>
      <c r="M317" t="str">
        <f t="shared" si="37"/>
        <v>Y</v>
      </c>
      <c r="N317" t="str">
        <f t="shared" si="38"/>
        <v>N</v>
      </c>
      <c r="O317">
        <f t="shared" si="39"/>
        <v>13</v>
      </c>
      <c r="P317" s="6">
        <f t="shared" si="40"/>
        <v>1</v>
      </c>
      <c r="Q317" s="6">
        <f t="shared" si="41"/>
        <v>8.3484573502722328E-2</v>
      </c>
      <c r="R317">
        <f t="shared" si="42"/>
        <v>0</v>
      </c>
      <c r="S317">
        <f t="shared" si="43"/>
        <v>8</v>
      </c>
      <c r="T317">
        <f t="shared" si="44"/>
        <v>4000</v>
      </c>
    </row>
    <row r="318" spans="1:20">
      <c r="A318" t="s">
        <v>611</v>
      </c>
      <c r="B318" t="s">
        <v>120</v>
      </c>
      <c r="C318" t="s">
        <v>12</v>
      </c>
      <c r="D318">
        <v>667</v>
      </c>
      <c r="E318" s="4">
        <v>46045</v>
      </c>
      <c r="F318" s="4">
        <v>46050</v>
      </c>
      <c r="G318" s="4">
        <v>46049</v>
      </c>
      <c r="H318">
        <v>675</v>
      </c>
      <c r="I318" t="s">
        <v>409</v>
      </c>
      <c r="J318">
        <v>36</v>
      </c>
      <c r="K318" t="s">
        <v>1563</v>
      </c>
      <c r="L318" t="str">
        <f t="shared" si="36"/>
        <v>Y</v>
      </c>
      <c r="M318" t="str">
        <f t="shared" si="37"/>
        <v>Y</v>
      </c>
      <c r="N318" t="str">
        <f t="shared" si="38"/>
        <v>Y</v>
      </c>
      <c r="O318">
        <f t="shared" si="39"/>
        <v>4</v>
      </c>
      <c r="P318" s="6">
        <f t="shared" si="40"/>
        <v>1.0119940029985008</v>
      </c>
      <c r="Q318" s="6">
        <f t="shared" si="41"/>
        <v>5.3333333333333337E-2</v>
      </c>
      <c r="R318">
        <f t="shared" si="42"/>
        <v>1</v>
      </c>
      <c r="S318">
        <f t="shared" si="43"/>
        <v>0</v>
      </c>
      <c r="T318">
        <f t="shared" si="44"/>
        <v>0</v>
      </c>
    </row>
    <row r="319" spans="1:20">
      <c r="A319" t="s">
        <v>612</v>
      </c>
      <c r="B319" t="s">
        <v>81</v>
      </c>
      <c r="C319" t="s">
        <v>12</v>
      </c>
      <c r="D319">
        <v>588</v>
      </c>
      <c r="E319" s="4">
        <v>46098</v>
      </c>
      <c r="F319" s="4">
        <v>46113</v>
      </c>
      <c r="G319" s="4">
        <v>46110</v>
      </c>
      <c r="H319">
        <v>589</v>
      </c>
      <c r="I319" t="s">
        <v>281</v>
      </c>
      <c r="J319">
        <v>7</v>
      </c>
      <c r="K319" t="s">
        <v>1563</v>
      </c>
      <c r="L319" t="str">
        <f t="shared" si="36"/>
        <v>Y</v>
      </c>
      <c r="M319" t="str">
        <f t="shared" si="37"/>
        <v>Y</v>
      </c>
      <c r="N319" t="str">
        <f t="shared" si="38"/>
        <v>Y</v>
      </c>
      <c r="O319">
        <f t="shared" si="39"/>
        <v>12</v>
      </c>
      <c r="P319" s="6">
        <f t="shared" si="40"/>
        <v>1.0017006802721089</v>
      </c>
      <c r="Q319" s="6">
        <f t="shared" si="41"/>
        <v>1.1884550084889643E-2</v>
      </c>
      <c r="R319">
        <f t="shared" si="42"/>
        <v>1</v>
      </c>
      <c r="S319">
        <f t="shared" si="43"/>
        <v>0</v>
      </c>
      <c r="T319">
        <f t="shared" si="44"/>
        <v>0</v>
      </c>
    </row>
    <row r="320" spans="1:20">
      <c r="A320" t="s">
        <v>613</v>
      </c>
      <c r="B320" t="s">
        <v>35</v>
      </c>
      <c r="C320" t="s">
        <v>12</v>
      </c>
      <c r="D320">
        <v>881</v>
      </c>
      <c r="E320" s="4">
        <v>46163</v>
      </c>
      <c r="F320" s="4">
        <v>46173</v>
      </c>
      <c r="G320" s="4">
        <v>46170</v>
      </c>
      <c r="H320">
        <v>883</v>
      </c>
      <c r="I320" t="s">
        <v>339</v>
      </c>
      <c r="J320">
        <v>38</v>
      </c>
      <c r="K320" t="s">
        <v>1563</v>
      </c>
      <c r="L320" t="str">
        <f t="shared" si="36"/>
        <v>Y</v>
      </c>
      <c r="M320" t="str">
        <f t="shared" si="37"/>
        <v>Y</v>
      </c>
      <c r="N320" t="str">
        <f t="shared" si="38"/>
        <v>Y</v>
      </c>
      <c r="O320">
        <f t="shared" si="39"/>
        <v>7</v>
      </c>
      <c r="P320" s="6">
        <f t="shared" si="40"/>
        <v>1.0022701475595914</v>
      </c>
      <c r="Q320" s="6">
        <f t="shared" si="41"/>
        <v>4.3035107587768968E-2</v>
      </c>
      <c r="R320">
        <f t="shared" si="42"/>
        <v>1</v>
      </c>
      <c r="S320">
        <f t="shared" si="43"/>
        <v>0</v>
      </c>
      <c r="T320">
        <f t="shared" si="44"/>
        <v>0</v>
      </c>
    </row>
    <row r="321" spans="1:20">
      <c r="A321" t="s">
        <v>615</v>
      </c>
      <c r="B321" t="s">
        <v>67</v>
      </c>
      <c r="C321" t="s">
        <v>23</v>
      </c>
      <c r="D321">
        <v>668</v>
      </c>
      <c r="E321" s="4">
        <v>46154</v>
      </c>
      <c r="F321" s="4">
        <v>46160</v>
      </c>
      <c r="G321" s="4">
        <v>46160</v>
      </c>
      <c r="H321">
        <v>661</v>
      </c>
      <c r="I321" t="s">
        <v>616</v>
      </c>
      <c r="J321">
        <v>24</v>
      </c>
      <c r="K321" t="s">
        <v>1563</v>
      </c>
      <c r="L321" t="str">
        <f t="shared" si="36"/>
        <v>Y</v>
      </c>
      <c r="M321" t="str">
        <f t="shared" si="37"/>
        <v>Y</v>
      </c>
      <c r="N321" t="str">
        <f t="shared" si="38"/>
        <v>Y</v>
      </c>
      <c r="O321">
        <f t="shared" si="39"/>
        <v>6</v>
      </c>
      <c r="P321" s="6">
        <f t="shared" si="40"/>
        <v>0.98952095808383234</v>
      </c>
      <c r="Q321" s="6">
        <f t="shared" si="41"/>
        <v>3.6308623298033284E-2</v>
      </c>
      <c r="R321">
        <f t="shared" si="42"/>
        <v>1</v>
      </c>
      <c r="S321">
        <f t="shared" si="43"/>
        <v>0</v>
      </c>
      <c r="T321">
        <f t="shared" si="44"/>
        <v>0</v>
      </c>
    </row>
    <row r="322" spans="1:20">
      <c r="A322" t="s">
        <v>617</v>
      </c>
      <c r="B322" t="s">
        <v>100</v>
      </c>
      <c r="C322" t="s">
        <v>12</v>
      </c>
      <c r="D322">
        <v>357</v>
      </c>
      <c r="E322" s="4">
        <v>46119</v>
      </c>
      <c r="F322" s="4">
        <v>46133</v>
      </c>
      <c r="G322" s="4">
        <v>46130</v>
      </c>
      <c r="H322">
        <v>355</v>
      </c>
      <c r="I322" t="s">
        <v>113</v>
      </c>
      <c r="J322">
        <v>7</v>
      </c>
      <c r="K322" t="s">
        <v>1563</v>
      </c>
      <c r="L322" t="str">
        <f t="shared" ref="L322:L385" si="45">IF(G322="","N/A",IF(G322&lt;=F322,"Y","N"))</f>
        <v>Y</v>
      </c>
      <c r="M322" t="str">
        <f t="shared" ref="M322:M385" si="46">IF(H322="","N/A",IF(H322&gt;=D322*0.98,"Y","N"))</f>
        <v>Y</v>
      </c>
      <c r="N322" t="str">
        <f t="shared" ref="N322:N385" si="47">IF(OR(L322="N/A",M322="N/A"),"N/A",IF(AND(L322="Y",M322="Y"),"Y","N"))</f>
        <v>Y</v>
      </c>
      <c r="O322">
        <f t="shared" ref="O322:O385" si="48">IF(G322="","N/A",G322-E322)</f>
        <v>11</v>
      </c>
      <c r="P322" s="6">
        <f t="shared" ref="P322:P385" si="49">IF(H322="","N/A",H322/D322)</f>
        <v>0.99439775910364148</v>
      </c>
      <c r="Q322" s="6">
        <f t="shared" ref="Q322:Q385" si="50">IF(H322="","N/A",IF(H322=0,0,J322/H322))</f>
        <v>1.9718309859154931E-2</v>
      </c>
      <c r="R322">
        <f t="shared" ref="R322:R385" si="51">IF(N322="Y",1,IF(N322="N",0,""))</f>
        <v>1</v>
      </c>
      <c r="S322">
        <f t="shared" ref="S322:S385" si="52">IF(G322="","N/A",MAX(G322-F322,0))</f>
        <v>0</v>
      </c>
      <c r="T322">
        <f t="shared" ref="T322:T385" si="53">IF(S322="N/A",0,S322*500)</f>
        <v>0</v>
      </c>
    </row>
    <row r="323" spans="1:20">
      <c r="A323" t="s">
        <v>618</v>
      </c>
      <c r="B323" t="s">
        <v>52</v>
      </c>
      <c r="C323" t="s">
        <v>23</v>
      </c>
      <c r="D323">
        <v>122</v>
      </c>
      <c r="E323" s="4">
        <v>46156</v>
      </c>
      <c r="F323" s="4">
        <v>46169</v>
      </c>
      <c r="G323" s="4">
        <v>46174</v>
      </c>
      <c r="H323">
        <v>101</v>
      </c>
      <c r="I323" t="s">
        <v>619</v>
      </c>
      <c r="J323">
        <v>1</v>
      </c>
      <c r="K323" t="s">
        <v>1563</v>
      </c>
      <c r="L323" t="str">
        <f t="shared" si="45"/>
        <v>N</v>
      </c>
      <c r="M323" t="str">
        <f t="shared" si="46"/>
        <v>N</v>
      </c>
      <c r="N323" t="str">
        <f t="shared" si="47"/>
        <v>N</v>
      </c>
      <c r="O323">
        <f t="shared" si="48"/>
        <v>18</v>
      </c>
      <c r="P323" s="6">
        <f t="shared" si="49"/>
        <v>0.82786885245901642</v>
      </c>
      <c r="Q323" s="6">
        <f t="shared" si="50"/>
        <v>9.9009900990099011E-3</v>
      </c>
      <c r="R323">
        <f t="shared" si="51"/>
        <v>0</v>
      </c>
      <c r="S323">
        <f t="shared" si="52"/>
        <v>5</v>
      </c>
      <c r="T323">
        <f t="shared" si="53"/>
        <v>2500</v>
      </c>
    </row>
    <row r="324" spans="1:20">
      <c r="A324" t="s">
        <v>620</v>
      </c>
      <c r="B324" t="s">
        <v>43</v>
      </c>
      <c r="C324" t="s">
        <v>12</v>
      </c>
      <c r="D324">
        <v>687</v>
      </c>
      <c r="E324" s="4">
        <v>46042</v>
      </c>
      <c r="F324" s="4">
        <v>46053</v>
      </c>
      <c r="G324" s="4">
        <v>46051</v>
      </c>
      <c r="H324">
        <v>686</v>
      </c>
      <c r="I324" t="s">
        <v>30</v>
      </c>
      <c r="J324">
        <v>41</v>
      </c>
      <c r="K324" t="s">
        <v>1563</v>
      </c>
      <c r="L324" t="str">
        <f t="shared" si="45"/>
        <v>Y</v>
      </c>
      <c r="M324" t="str">
        <f t="shared" si="46"/>
        <v>Y</v>
      </c>
      <c r="N324" t="str">
        <f t="shared" si="47"/>
        <v>Y</v>
      </c>
      <c r="O324">
        <f t="shared" si="48"/>
        <v>9</v>
      </c>
      <c r="P324" s="6">
        <f t="shared" si="49"/>
        <v>0.99854439592430855</v>
      </c>
      <c r="Q324" s="6">
        <f t="shared" si="50"/>
        <v>5.9766763848396499E-2</v>
      </c>
      <c r="R324">
        <f t="shared" si="51"/>
        <v>1</v>
      </c>
      <c r="S324">
        <f t="shared" si="52"/>
        <v>0</v>
      </c>
      <c r="T324">
        <f t="shared" si="53"/>
        <v>0</v>
      </c>
    </row>
    <row r="325" spans="1:20">
      <c r="A325" t="s">
        <v>621</v>
      </c>
      <c r="B325" t="s">
        <v>26</v>
      </c>
      <c r="C325" t="s">
        <v>12</v>
      </c>
      <c r="D325">
        <v>387</v>
      </c>
      <c r="E325" s="4">
        <v>46090</v>
      </c>
      <c r="F325" s="4">
        <v>46103</v>
      </c>
      <c r="G325" s="4">
        <v>46100</v>
      </c>
      <c r="H325">
        <v>316</v>
      </c>
      <c r="I325" t="s">
        <v>204</v>
      </c>
      <c r="J325">
        <v>6</v>
      </c>
      <c r="K325" t="s">
        <v>1563</v>
      </c>
      <c r="L325" t="str">
        <f t="shared" si="45"/>
        <v>Y</v>
      </c>
      <c r="M325" t="str">
        <f t="shared" si="46"/>
        <v>N</v>
      </c>
      <c r="N325" t="str">
        <f t="shared" si="47"/>
        <v>N</v>
      </c>
      <c r="O325">
        <f t="shared" si="48"/>
        <v>10</v>
      </c>
      <c r="P325" s="6">
        <f t="shared" si="49"/>
        <v>0.81653746770025837</v>
      </c>
      <c r="Q325" s="6">
        <f t="shared" si="50"/>
        <v>1.8987341772151899E-2</v>
      </c>
      <c r="R325">
        <f t="shared" si="51"/>
        <v>0</v>
      </c>
      <c r="S325">
        <f t="shared" si="52"/>
        <v>0</v>
      </c>
      <c r="T325">
        <f t="shared" si="53"/>
        <v>0</v>
      </c>
    </row>
    <row r="326" spans="1:20">
      <c r="A326" t="s">
        <v>622</v>
      </c>
      <c r="B326" t="s">
        <v>46</v>
      </c>
      <c r="C326" t="s">
        <v>16</v>
      </c>
      <c r="D326">
        <v>531</v>
      </c>
      <c r="E326" s="4">
        <v>46137</v>
      </c>
      <c r="F326" s="4">
        <v>46152</v>
      </c>
      <c r="G326" s="4">
        <v>46150</v>
      </c>
      <c r="H326">
        <v>541</v>
      </c>
      <c r="I326" t="s">
        <v>623</v>
      </c>
      <c r="J326">
        <v>37</v>
      </c>
      <c r="K326" t="s">
        <v>1563</v>
      </c>
      <c r="L326" t="str">
        <f t="shared" si="45"/>
        <v>Y</v>
      </c>
      <c r="M326" t="str">
        <f t="shared" si="46"/>
        <v>Y</v>
      </c>
      <c r="N326" t="str">
        <f t="shared" si="47"/>
        <v>Y</v>
      </c>
      <c r="O326">
        <f t="shared" si="48"/>
        <v>13</v>
      </c>
      <c r="P326" s="6">
        <f t="shared" si="49"/>
        <v>1.0188323917137476</v>
      </c>
      <c r="Q326" s="6">
        <f t="shared" si="50"/>
        <v>6.839186691312385E-2</v>
      </c>
      <c r="R326">
        <f t="shared" si="51"/>
        <v>1</v>
      </c>
      <c r="S326">
        <f t="shared" si="52"/>
        <v>0</v>
      </c>
      <c r="T326">
        <f t="shared" si="53"/>
        <v>0</v>
      </c>
    </row>
    <row r="327" spans="1:20">
      <c r="A327" t="s">
        <v>624</v>
      </c>
      <c r="B327" t="s">
        <v>49</v>
      </c>
      <c r="C327" t="s">
        <v>12</v>
      </c>
      <c r="D327">
        <v>683</v>
      </c>
      <c r="E327" s="4">
        <v>46102</v>
      </c>
      <c r="F327" s="4">
        <v>46111</v>
      </c>
      <c r="G327" s="4">
        <v>46111</v>
      </c>
      <c r="H327">
        <v>672</v>
      </c>
      <c r="I327" t="s">
        <v>625</v>
      </c>
      <c r="J327">
        <v>1</v>
      </c>
      <c r="K327" t="s">
        <v>1563</v>
      </c>
      <c r="L327" t="str">
        <f t="shared" si="45"/>
        <v>Y</v>
      </c>
      <c r="M327" t="str">
        <f t="shared" si="46"/>
        <v>Y</v>
      </c>
      <c r="N327" t="str">
        <f t="shared" si="47"/>
        <v>Y</v>
      </c>
      <c r="O327">
        <f t="shared" si="48"/>
        <v>9</v>
      </c>
      <c r="P327" s="6">
        <f t="shared" si="49"/>
        <v>0.98389458272327968</v>
      </c>
      <c r="Q327" s="6">
        <f t="shared" si="50"/>
        <v>1.488095238095238E-3</v>
      </c>
      <c r="R327">
        <f t="shared" si="51"/>
        <v>1</v>
      </c>
      <c r="S327">
        <f t="shared" si="52"/>
        <v>0</v>
      </c>
      <c r="T327">
        <f t="shared" si="53"/>
        <v>0</v>
      </c>
    </row>
    <row r="328" spans="1:20">
      <c r="A328" t="s">
        <v>626</v>
      </c>
      <c r="B328" t="s">
        <v>49</v>
      </c>
      <c r="C328" t="s">
        <v>16</v>
      </c>
      <c r="D328">
        <v>793</v>
      </c>
      <c r="E328" s="4">
        <v>46076</v>
      </c>
      <c r="F328" s="4">
        <v>46086</v>
      </c>
      <c r="G328" s="4">
        <v>46085</v>
      </c>
      <c r="H328">
        <v>798</v>
      </c>
      <c r="I328" t="s">
        <v>627</v>
      </c>
      <c r="J328">
        <v>2</v>
      </c>
      <c r="K328" t="s">
        <v>1563</v>
      </c>
      <c r="L328" t="str">
        <f t="shared" si="45"/>
        <v>Y</v>
      </c>
      <c r="M328" t="str">
        <f t="shared" si="46"/>
        <v>Y</v>
      </c>
      <c r="N328" t="str">
        <f t="shared" si="47"/>
        <v>Y</v>
      </c>
      <c r="O328">
        <f t="shared" si="48"/>
        <v>9</v>
      </c>
      <c r="P328" s="6">
        <f t="shared" si="49"/>
        <v>1.0063051702395964</v>
      </c>
      <c r="Q328" s="6">
        <f t="shared" si="50"/>
        <v>2.5062656641604009E-3</v>
      </c>
      <c r="R328">
        <f t="shared" si="51"/>
        <v>1</v>
      </c>
      <c r="S328">
        <f t="shared" si="52"/>
        <v>0</v>
      </c>
      <c r="T328">
        <f t="shared" si="53"/>
        <v>0</v>
      </c>
    </row>
    <row r="329" spans="1:20">
      <c r="A329" t="s">
        <v>628</v>
      </c>
      <c r="B329" t="s">
        <v>22</v>
      </c>
      <c r="C329" t="s">
        <v>23</v>
      </c>
      <c r="D329">
        <v>888</v>
      </c>
      <c r="E329" s="4">
        <v>46027</v>
      </c>
      <c r="F329" s="4">
        <v>46037</v>
      </c>
      <c r="G329" s="4">
        <v>46036</v>
      </c>
      <c r="H329">
        <v>906</v>
      </c>
      <c r="I329" t="s">
        <v>629</v>
      </c>
      <c r="J329">
        <v>73</v>
      </c>
      <c r="K329" t="s">
        <v>1563</v>
      </c>
      <c r="L329" t="str">
        <f t="shared" si="45"/>
        <v>Y</v>
      </c>
      <c r="M329" t="str">
        <f t="shared" si="46"/>
        <v>Y</v>
      </c>
      <c r="N329" t="str">
        <f t="shared" si="47"/>
        <v>Y</v>
      </c>
      <c r="O329">
        <f t="shared" si="48"/>
        <v>9</v>
      </c>
      <c r="P329" s="6">
        <f t="shared" si="49"/>
        <v>1.0202702702702702</v>
      </c>
      <c r="Q329" s="6">
        <f t="shared" si="50"/>
        <v>8.0573951434878582E-2</v>
      </c>
      <c r="R329">
        <f t="shared" si="51"/>
        <v>1</v>
      </c>
      <c r="S329">
        <f t="shared" si="52"/>
        <v>0</v>
      </c>
      <c r="T329">
        <f t="shared" si="53"/>
        <v>0</v>
      </c>
    </row>
    <row r="330" spans="1:20">
      <c r="A330" t="s">
        <v>630</v>
      </c>
      <c r="B330" t="s">
        <v>49</v>
      </c>
      <c r="C330" t="s">
        <v>23</v>
      </c>
      <c r="D330">
        <v>944</v>
      </c>
      <c r="E330" s="4">
        <v>46080</v>
      </c>
      <c r="F330" s="4">
        <v>46087</v>
      </c>
      <c r="G330" s="4">
        <v>46085</v>
      </c>
      <c r="H330">
        <v>835</v>
      </c>
      <c r="I330" t="s">
        <v>631</v>
      </c>
      <c r="J330">
        <v>1</v>
      </c>
      <c r="K330" t="s">
        <v>1563</v>
      </c>
      <c r="L330" t="str">
        <f t="shared" si="45"/>
        <v>Y</v>
      </c>
      <c r="M330" t="str">
        <f t="shared" si="46"/>
        <v>N</v>
      </c>
      <c r="N330" t="str">
        <f t="shared" si="47"/>
        <v>N</v>
      </c>
      <c r="O330">
        <f t="shared" si="48"/>
        <v>5</v>
      </c>
      <c r="P330" s="6">
        <f t="shared" si="49"/>
        <v>0.88453389830508478</v>
      </c>
      <c r="Q330" s="6">
        <f t="shared" si="50"/>
        <v>1.1976047904191617E-3</v>
      </c>
      <c r="R330">
        <f t="shared" si="51"/>
        <v>0</v>
      </c>
      <c r="S330">
        <f t="shared" si="52"/>
        <v>0</v>
      </c>
      <c r="T330">
        <f t="shared" si="53"/>
        <v>0</v>
      </c>
    </row>
    <row r="331" spans="1:20">
      <c r="A331" t="s">
        <v>632</v>
      </c>
      <c r="B331" t="s">
        <v>22</v>
      </c>
      <c r="C331" t="s">
        <v>16</v>
      </c>
      <c r="D331">
        <v>542</v>
      </c>
      <c r="E331" s="4">
        <v>46169</v>
      </c>
      <c r="F331" s="4">
        <v>46181</v>
      </c>
      <c r="G331" s="4">
        <v>46186</v>
      </c>
      <c r="H331">
        <v>520</v>
      </c>
      <c r="I331" t="s">
        <v>633</v>
      </c>
      <c r="J331">
        <v>43</v>
      </c>
      <c r="K331" t="s">
        <v>1563</v>
      </c>
      <c r="L331" t="str">
        <f t="shared" si="45"/>
        <v>N</v>
      </c>
      <c r="M331" t="str">
        <f t="shared" si="46"/>
        <v>N</v>
      </c>
      <c r="N331" t="str">
        <f t="shared" si="47"/>
        <v>N</v>
      </c>
      <c r="O331">
        <f t="shared" si="48"/>
        <v>17</v>
      </c>
      <c r="P331" s="6">
        <f t="shared" si="49"/>
        <v>0.95940959409594095</v>
      </c>
      <c r="Q331" s="6">
        <f t="shared" si="50"/>
        <v>8.269230769230769E-2</v>
      </c>
      <c r="R331">
        <f t="shared" si="51"/>
        <v>0</v>
      </c>
      <c r="S331">
        <f t="shared" si="52"/>
        <v>5</v>
      </c>
      <c r="T331">
        <f t="shared" si="53"/>
        <v>2500</v>
      </c>
    </row>
    <row r="332" spans="1:20">
      <c r="A332" t="s">
        <v>634</v>
      </c>
      <c r="B332" t="s">
        <v>32</v>
      </c>
      <c r="C332" t="s">
        <v>23</v>
      </c>
      <c r="D332">
        <v>455</v>
      </c>
      <c r="E332" s="4">
        <v>46078</v>
      </c>
      <c r="F332" s="4">
        <v>46088</v>
      </c>
      <c r="G332" s="4"/>
      <c r="I332" t="s">
        <v>636</v>
      </c>
      <c r="K332" t="s">
        <v>1565</v>
      </c>
      <c r="L332" t="str">
        <f t="shared" si="45"/>
        <v>N/A</v>
      </c>
      <c r="M332" t="str">
        <f t="shared" si="46"/>
        <v>N/A</v>
      </c>
      <c r="N332" t="str">
        <f t="shared" si="47"/>
        <v>N/A</v>
      </c>
      <c r="O332" t="str">
        <f t="shared" si="48"/>
        <v>N/A</v>
      </c>
      <c r="P332" s="6" t="str">
        <f t="shared" si="49"/>
        <v>N/A</v>
      </c>
      <c r="Q332" s="6" t="str">
        <f t="shared" si="50"/>
        <v>N/A</v>
      </c>
      <c r="R332" t="str">
        <f t="shared" si="51"/>
        <v/>
      </c>
      <c r="S332" t="str">
        <f t="shared" si="52"/>
        <v>N/A</v>
      </c>
      <c r="T332">
        <f t="shared" si="53"/>
        <v>0</v>
      </c>
    </row>
    <row r="333" spans="1:20">
      <c r="A333" t="s">
        <v>637</v>
      </c>
      <c r="B333" t="s">
        <v>22</v>
      </c>
      <c r="C333" t="s">
        <v>16</v>
      </c>
      <c r="D333">
        <v>652</v>
      </c>
      <c r="E333" s="4">
        <v>46171</v>
      </c>
      <c r="F333" s="4">
        <v>46179</v>
      </c>
      <c r="G333" s="4">
        <v>46179</v>
      </c>
      <c r="H333">
        <v>550</v>
      </c>
      <c r="I333" t="s">
        <v>448</v>
      </c>
      <c r="J333">
        <v>36</v>
      </c>
      <c r="K333" t="s">
        <v>1563</v>
      </c>
      <c r="L333" t="str">
        <f t="shared" si="45"/>
        <v>Y</v>
      </c>
      <c r="M333" t="str">
        <f t="shared" si="46"/>
        <v>N</v>
      </c>
      <c r="N333" t="str">
        <f t="shared" si="47"/>
        <v>N</v>
      </c>
      <c r="O333">
        <f t="shared" si="48"/>
        <v>8</v>
      </c>
      <c r="P333" s="6">
        <f t="shared" si="49"/>
        <v>0.84355828220858897</v>
      </c>
      <c r="Q333" s="6">
        <f t="shared" si="50"/>
        <v>6.545454545454546E-2</v>
      </c>
      <c r="R333">
        <f t="shared" si="51"/>
        <v>0</v>
      </c>
      <c r="S333">
        <f t="shared" si="52"/>
        <v>0</v>
      </c>
      <c r="T333">
        <f t="shared" si="53"/>
        <v>0</v>
      </c>
    </row>
    <row r="334" spans="1:20">
      <c r="A334" t="s">
        <v>638</v>
      </c>
      <c r="B334" t="s">
        <v>49</v>
      </c>
      <c r="C334" t="s">
        <v>23</v>
      </c>
      <c r="D334">
        <v>133</v>
      </c>
      <c r="E334" s="4">
        <v>46114</v>
      </c>
      <c r="F334" s="4">
        <v>46129</v>
      </c>
      <c r="G334" s="4"/>
      <c r="I334" t="s">
        <v>639</v>
      </c>
      <c r="K334" t="s">
        <v>1565</v>
      </c>
      <c r="L334" t="str">
        <f t="shared" si="45"/>
        <v>N/A</v>
      </c>
      <c r="M334" t="str">
        <f t="shared" si="46"/>
        <v>N/A</v>
      </c>
      <c r="N334" t="str">
        <f t="shared" si="47"/>
        <v>N/A</v>
      </c>
      <c r="O334" t="str">
        <f t="shared" si="48"/>
        <v>N/A</v>
      </c>
      <c r="P334" s="6" t="str">
        <f t="shared" si="49"/>
        <v>N/A</v>
      </c>
      <c r="Q334" s="6" t="str">
        <f t="shared" si="50"/>
        <v>N/A</v>
      </c>
      <c r="R334" t="str">
        <f t="shared" si="51"/>
        <v/>
      </c>
      <c r="S334" t="str">
        <f t="shared" si="52"/>
        <v>N/A</v>
      </c>
      <c r="T334">
        <f t="shared" si="53"/>
        <v>0</v>
      </c>
    </row>
    <row r="335" spans="1:20">
      <c r="A335" t="s">
        <v>640</v>
      </c>
      <c r="B335" t="s">
        <v>177</v>
      </c>
      <c r="C335" t="s">
        <v>16</v>
      </c>
      <c r="D335">
        <v>596</v>
      </c>
      <c r="E335" s="4">
        <v>46100</v>
      </c>
      <c r="F335" s="4">
        <v>46109</v>
      </c>
      <c r="G335" s="4">
        <v>46109</v>
      </c>
      <c r="H335">
        <v>586</v>
      </c>
      <c r="I335" t="s">
        <v>255</v>
      </c>
      <c r="J335">
        <v>28</v>
      </c>
      <c r="K335" t="s">
        <v>1563</v>
      </c>
      <c r="L335" t="str">
        <f t="shared" si="45"/>
        <v>Y</v>
      </c>
      <c r="M335" t="str">
        <f t="shared" si="46"/>
        <v>Y</v>
      </c>
      <c r="N335" t="str">
        <f t="shared" si="47"/>
        <v>Y</v>
      </c>
      <c r="O335">
        <f t="shared" si="48"/>
        <v>9</v>
      </c>
      <c r="P335" s="6">
        <f t="shared" si="49"/>
        <v>0.98322147651006708</v>
      </c>
      <c r="Q335" s="6">
        <f t="shared" si="50"/>
        <v>4.778156996587031E-2</v>
      </c>
      <c r="R335">
        <f t="shared" si="51"/>
        <v>1</v>
      </c>
      <c r="S335">
        <f t="shared" si="52"/>
        <v>0</v>
      </c>
      <c r="T335">
        <f t="shared" si="53"/>
        <v>0</v>
      </c>
    </row>
    <row r="336" spans="1:20">
      <c r="A336" t="s">
        <v>641</v>
      </c>
      <c r="B336" t="s">
        <v>70</v>
      </c>
      <c r="C336" t="s">
        <v>16</v>
      </c>
      <c r="D336">
        <v>114</v>
      </c>
      <c r="E336" s="4">
        <v>46163</v>
      </c>
      <c r="F336" s="4">
        <v>46171</v>
      </c>
      <c r="G336" s="4">
        <v>46171</v>
      </c>
      <c r="H336">
        <v>112</v>
      </c>
      <c r="I336" t="s">
        <v>643</v>
      </c>
      <c r="J336">
        <v>2</v>
      </c>
      <c r="K336" t="s">
        <v>1563</v>
      </c>
      <c r="L336" t="str">
        <f t="shared" si="45"/>
        <v>Y</v>
      </c>
      <c r="M336" t="str">
        <f t="shared" si="46"/>
        <v>Y</v>
      </c>
      <c r="N336" t="str">
        <f t="shared" si="47"/>
        <v>Y</v>
      </c>
      <c r="O336">
        <f t="shared" si="48"/>
        <v>8</v>
      </c>
      <c r="P336" s="6">
        <f t="shared" si="49"/>
        <v>0.98245614035087714</v>
      </c>
      <c r="Q336" s="6">
        <f t="shared" si="50"/>
        <v>1.7857142857142856E-2</v>
      </c>
      <c r="R336">
        <f t="shared" si="51"/>
        <v>1</v>
      </c>
      <c r="S336">
        <f t="shared" si="52"/>
        <v>0</v>
      </c>
      <c r="T336">
        <f t="shared" si="53"/>
        <v>0</v>
      </c>
    </row>
    <row r="337" spans="1:20">
      <c r="A337" t="s">
        <v>644</v>
      </c>
      <c r="B337" t="s">
        <v>46</v>
      </c>
      <c r="C337" t="s">
        <v>12</v>
      </c>
      <c r="D337">
        <v>483</v>
      </c>
      <c r="E337" s="4">
        <v>46108</v>
      </c>
      <c r="F337" s="4">
        <v>46123</v>
      </c>
      <c r="G337" s="4">
        <v>46122</v>
      </c>
      <c r="H337">
        <v>474</v>
      </c>
      <c r="I337" t="s">
        <v>645</v>
      </c>
      <c r="J337">
        <v>12</v>
      </c>
      <c r="K337" t="s">
        <v>1563</v>
      </c>
      <c r="L337" t="str">
        <f t="shared" si="45"/>
        <v>Y</v>
      </c>
      <c r="M337" t="str">
        <f t="shared" si="46"/>
        <v>Y</v>
      </c>
      <c r="N337" t="str">
        <f t="shared" si="47"/>
        <v>Y</v>
      </c>
      <c r="O337">
        <f t="shared" si="48"/>
        <v>14</v>
      </c>
      <c r="P337" s="6">
        <f t="shared" si="49"/>
        <v>0.98136645962732916</v>
      </c>
      <c r="Q337" s="6">
        <f t="shared" si="50"/>
        <v>2.5316455696202531E-2</v>
      </c>
      <c r="R337">
        <f t="shared" si="51"/>
        <v>1</v>
      </c>
      <c r="S337">
        <f t="shared" si="52"/>
        <v>0</v>
      </c>
      <c r="T337">
        <f t="shared" si="53"/>
        <v>0</v>
      </c>
    </row>
    <row r="338" spans="1:20">
      <c r="A338" t="s">
        <v>646</v>
      </c>
      <c r="B338" t="s">
        <v>29</v>
      </c>
      <c r="C338" t="s">
        <v>12</v>
      </c>
      <c r="D338">
        <v>598</v>
      </c>
      <c r="E338" s="4">
        <v>46119</v>
      </c>
      <c r="F338" s="4">
        <v>46124</v>
      </c>
      <c r="G338" s="4">
        <v>46126</v>
      </c>
      <c r="H338">
        <v>508</v>
      </c>
      <c r="I338" t="s">
        <v>647</v>
      </c>
      <c r="J338">
        <v>2</v>
      </c>
      <c r="K338" t="s">
        <v>1563</v>
      </c>
      <c r="L338" t="str">
        <f t="shared" si="45"/>
        <v>N</v>
      </c>
      <c r="M338" t="str">
        <f t="shared" si="46"/>
        <v>N</v>
      </c>
      <c r="N338" t="str">
        <f t="shared" si="47"/>
        <v>N</v>
      </c>
      <c r="O338">
        <f t="shared" si="48"/>
        <v>7</v>
      </c>
      <c r="P338" s="6">
        <f t="shared" si="49"/>
        <v>0.84949832775919731</v>
      </c>
      <c r="Q338" s="6">
        <f t="shared" si="50"/>
        <v>3.937007874015748E-3</v>
      </c>
      <c r="R338">
        <f t="shared" si="51"/>
        <v>0</v>
      </c>
      <c r="S338">
        <f t="shared" si="52"/>
        <v>2</v>
      </c>
      <c r="T338">
        <f t="shared" si="53"/>
        <v>1000</v>
      </c>
    </row>
    <row r="339" spans="1:20">
      <c r="A339" t="s">
        <v>648</v>
      </c>
      <c r="B339" t="s">
        <v>11</v>
      </c>
      <c r="C339" t="s">
        <v>12</v>
      </c>
      <c r="D339">
        <v>302</v>
      </c>
      <c r="E339" s="4">
        <v>46137</v>
      </c>
      <c r="F339" s="4">
        <v>46142</v>
      </c>
      <c r="G339" s="4">
        <v>46142</v>
      </c>
      <c r="H339">
        <v>301</v>
      </c>
      <c r="I339" t="s">
        <v>354</v>
      </c>
      <c r="J339">
        <v>3</v>
      </c>
      <c r="K339" t="s">
        <v>1563</v>
      </c>
      <c r="L339" t="str">
        <f t="shared" si="45"/>
        <v>Y</v>
      </c>
      <c r="M339" t="str">
        <f t="shared" si="46"/>
        <v>Y</v>
      </c>
      <c r="N339" t="str">
        <f t="shared" si="47"/>
        <v>Y</v>
      </c>
      <c r="O339">
        <f t="shared" si="48"/>
        <v>5</v>
      </c>
      <c r="P339" s="6">
        <f t="shared" si="49"/>
        <v>0.99668874172185429</v>
      </c>
      <c r="Q339" s="6">
        <f t="shared" si="50"/>
        <v>9.9667774086378731E-3</v>
      </c>
      <c r="R339">
        <f t="shared" si="51"/>
        <v>1</v>
      </c>
      <c r="S339">
        <f t="shared" si="52"/>
        <v>0</v>
      </c>
      <c r="T339">
        <f t="shared" si="53"/>
        <v>0</v>
      </c>
    </row>
    <row r="340" spans="1:20">
      <c r="A340" t="s">
        <v>649</v>
      </c>
      <c r="B340" t="s">
        <v>29</v>
      </c>
      <c r="C340" t="s">
        <v>16</v>
      </c>
      <c r="D340">
        <v>666</v>
      </c>
      <c r="E340" s="4">
        <v>46125</v>
      </c>
      <c r="F340" s="4">
        <v>46131</v>
      </c>
      <c r="G340" s="4">
        <v>46131</v>
      </c>
      <c r="H340">
        <v>663</v>
      </c>
      <c r="I340" t="s">
        <v>650</v>
      </c>
      <c r="J340">
        <v>0</v>
      </c>
      <c r="K340" t="s">
        <v>1563</v>
      </c>
      <c r="L340" t="str">
        <f t="shared" si="45"/>
        <v>Y</v>
      </c>
      <c r="M340" t="str">
        <f t="shared" si="46"/>
        <v>Y</v>
      </c>
      <c r="N340" t="str">
        <f t="shared" si="47"/>
        <v>Y</v>
      </c>
      <c r="O340">
        <f t="shared" si="48"/>
        <v>6</v>
      </c>
      <c r="P340" s="6">
        <f t="shared" si="49"/>
        <v>0.99549549549549554</v>
      </c>
      <c r="Q340" s="6">
        <f t="shared" si="50"/>
        <v>0</v>
      </c>
      <c r="R340">
        <f t="shared" si="51"/>
        <v>1</v>
      </c>
      <c r="S340">
        <f t="shared" si="52"/>
        <v>0</v>
      </c>
      <c r="T340">
        <f t="shared" si="53"/>
        <v>0</v>
      </c>
    </row>
    <row r="341" spans="1:20">
      <c r="A341" t="s">
        <v>651</v>
      </c>
      <c r="B341" t="s">
        <v>177</v>
      </c>
      <c r="C341" t="s">
        <v>23</v>
      </c>
      <c r="D341">
        <v>470</v>
      </c>
      <c r="E341" s="4">
        <v>46169</v>
      </c>
      <c r="F341" s="4">
        <v>46176</v>
      </c>
      <c r="G341" s="4">
        <v>46175</v>
      </c>
      <c r="H341">
        <v>462</v>
      </c>
      <c r="I341" t="s">
        <v>1564</v>
      </c>
      <c r="J341">
        <v>17</v>
      </c>
      <c r="K341" t="s">
        <v>1563</v>
      </c>
      <c r="L341" t="str">
        <f t="shared" si="45"/>
        <v>Y</v>
      </c>
      <c r="M341" t="str">
        <f t="shared" si="46"/>
        <v>Y</v>
      </c>
      <c r="N341" t="str">
        <f t="shared" si="47"/>
        <v>Y</v>
      </c>
      <c r="O341">
        <f t="shared" si="48"/>
        <v>6</v>
      </c>
      <c r="P341" s="6">
        <f t="shared" si="49"/>
        <v>0.98297872340425529</v>
      </c>
      <c r="Q341" s="6">
        <f t="shared" si="50"/>
        <v>3.67965367965368E-2</v>
      </c>
      <c r="R341">
        <f t="shared" si="51"/>
        <v>1</v>
      </c>
      <c r="S341">
        <f t="shared" si="52"/>
        <v>0</v>
      </c>
      <c r="T341">
        <f t="shared" si="53"/>
        <v>0</v>
      </c>
    </row>
    <row r="342" spans="1:20">
      <c r="A342" t="s">
        <v>652</v>
      </c>
      <c r="B342" t="s">
        <v>32</v>
      </c>
      <c r="C342" t="s">
        <v>12</v>
      </c>
      <c r="D342">
        <v>844</v>
      </c>
      <c r="E342" s="4">
        <v>46051</v>
      </c>
      <c r="F342" s="4">
        <v>46066</v>
      </c>
      <c r="G342" s="4">
        <v>46063</v>
      </c>
      <c r="H342">
        <v>850</v>
      </c>
      <c r="I342" t="s">
        <v>589</v>
      </c>
      <c r="J342">
        <v>16</v>
      </c>
      <c r="K342" t="s">
        <v>1563</v>
      </c>
      <c r="L342" t="str">
        <f t="shared" si="45"/>
        <v>Y</v>
      </c>
      <c r="M342" t="str">
        <f t="shared" si="46"/>
        <v>Y</v>
      </c>
      <c r="N342" t="str">
        <f t="shared" si="47"/>
        <v>Y</v>
      </c>
      <c r="O342">
        <f t="shared" si="48"/>
        <v>12</v>
      </c>
      <c r="P342" s="6">
        <f t="shared" si="49"/>
        <v>1.0071090047393365</v>
      </c>
      <c r="Q342" s="6">
        <f t="shared" si="50"/>
        <v>1.8823529411764704E-2</v>
      </c>
      <c r="R342">
        <f t="shared" si="51"/>
        <v>1</v>
      </c>
      <c r="S342">
        <f t="shared" si="52"/>
        <v>0</v>
      </c>
      <c r="T342">
        <f t="shared" si="53"/>
        <v>0</v>
      </c>
    </row>
    <row r="343" spans="1:20">
      <c r="A343" t="s">
        <v>653</v>
      </c>
      <c r="B343" t="s">
        <v>43</v>
      </c>
      <c r="C343" t="s">
        <v>12</v>
      </c>
      <c r="D343">
        <v>386</v>
      </c>
      <c r="E343" s="4">
        <v>46087</v>
      </c>
      <c r="F343" s="4">
        <v>46095</v>
      </c>
      <c r="G343" s="4">
        <v>46095</v>
      </c>
      <c r="H343">
        <v>393</v>
      </c>
      <c r="I343" t="s">
        <v>625</v>
      </c>
      <c r="J343">
        <v>11</v>
      </c>
      <c r="K343" t="s">
        <v>1563</v>
      </c>
      <c r="L343" t="str">
        <f t="shared" si="45"/>
        <v>Y</v>
      </c>
      <c r="M343" t="str">
        <f t="shared" si="46"/>
        <v>Y</v>
      </c>
      <c r="N343" t="str">
        <f t="shared" si="47"/>
        <v>Y</v>
      </c>
      <c r="O343">
        <f t="shared" si="48"/>
        <v>8</v>
      </c>
      <c r="P343" s="6">
        <f t="shared" si="49"/>
        <v>1.0181347150259068</v>
      </c>
      <c r="Q343" s="6">
        <f t="shared" si="50"/>
        <v>2.7989821882951654E-2</v>
      </c>
      <c r="R343">
        <f t="shared" si="51"/>
        <v>1</v>
      </c>
      <c r="S343">
        <f t="shared" si="52"/>
        <v>0</v>
      </c>
      <c r="T343">
        <f t="shared" si="53"/>
        <v>0</v>
      </c>
    </row>
    <row r="344" spans="1:20">
      <c r="A344" t="s">
        <v>654</v>
      </c>
      <c r="B344" t="s">
        <v>35</v>
      </c>
      <c r="C344" t="s">
        <v>12</v>
      </c>
      <c r="D344">
        <v>437</v>
      </c>
      <c r="E344" s="4">
        <v>46046</v>
      </c>
      <c r="F344" s="4">
        <v>46052</v>
      </c>
      <c r="G344" s="4">
        <v>46052</v>
      </c>
      <c r="H344">
        <v>431</v>
      </c>
      <c r="I344" t="s">
        <v>499</v>
      </c>
      <c r="J344">
        <v>27</v>
      </c>
      <c r="K344" t="s">
        <v>1563</v>
      </c>
      <c r="L344" t="str">
        <f t="shared" si="45"/>
        <v>Y</v>
      </c>
      <c r="M344" t="str">
        <f t="shared" si="46"/>
        <v>Y</v>
      </c>
      <c r="N344" t="str">
        <f t="shared" si="47"/>
        <v>Y</v>
      </c>
      <c r="O344">
        <f t="shared" si="48"/>
        <v>6</v>
      </c>
      <c r="P344" s="6">
        <f t="shared" si="49"/>
        <v>0.98627002288329524</v>
      </c>
      <c r="Q344" s="6">
        <f t="shared" si="50"/>
        <v>6.2645011600928072E-2</v>
      </c>
      <c r="R344">
        <f t="shared" si="51"/>
        <v>1</v>
      </c>
      <c r="S344">
        <f t="shared" si="52"/>
        <v>0</v>
      </c>
      <c r="T344">
        <f t="shared" si="53"/>
        <v>0</v>
      </c>
    </row>
    <row r="345" spans="1:20">
      <c r="A345" t="s">
        <v>655</v>
      </c>
      <c r="B345" t="s">
        <v>49</v>
      </c>
      <c r="C345" t="s">
        <v>16</v>
      </c>
      <c r="D345">
        <v>471</v>
      </c>
      <c r="E345" s="4">
        <v>46128</v>
      </c>
      <c r="F345" s="4">
        <v>46141</v>
      </c>
      <c r="G345" s="4">
        <v>46140</v>
      </c>
      <c r="H345">
        <v>396</v>
      </c>
      <c r="I345" t="s">
        <v>395</v>
      </c>
      <c r="J345">
        <v>6</v>
      </c>
      <c r="K345" t="s">
        <v>1563</v>
      </c>
      <c r="L345" t="str">
        <f t="shared" si="45"/>
        <v>Y</v>
      </c>
      <c r="M345" t="str">
        <f t="shared" si="46"/>
        <v>N</v>
      </c>
      <c r="N345" t="str">
        <f t="shared" si="47"/>
        <v>N</v>
      </c>
      <c r="O345">
        <f t="shared" si="48"/>
        <v>12</v>
      </c>
      <c r="P345" s="6">
        <f t="shared" si="49"/>
        <v>0.84076433121019112</v>
      </c>
      <c r="Q345" s="6">
        <f t="shared" si="50"/>
        <v>1.5151515151515152E-2</v>
      </c>
      <c r="R345">
        <f t="shared" si="51"/>
        <v>0</v>
      </c>
      <c r="S345">
        <f t="shared" si="52"/>
        <v>0</v>
      </c>
      <c r="T345">
        <f t="shared" si="53"/>
        <v>0</v>
      </c>
    </row>
    <row r="346" spans="1:20">
      <c r="A346" t="s">
        <v>656</v>
      </c>
      <c r="B346" t="s">
        <v>67</v>
      </c>
      <c r="C346" t="s">
        <v>12</v>
      </c>
      <c r="D346">
        <v>197</v>
      </c>
      <c r="E346" s="4">
        <v>46069</v>
      </c>
      <c r="F346" s="4">
        <v>46081</v>
      </c>
      <c r="G346" s="4">
        <v>46079</v>
      </c>
      <c r="H346">
        <v>197</v>
      </c>
      <c r="I346" t="s">
        <v>101</v>
      </c>
      <c r="J346">
        <v>4</v>
      </c>
      <c r="K346" t="s">
        <v>1563</v>
      </c>
      <c r="L346" t="str">
        <f t="shared" si="45"/>
        <v>Y</v>
      </c>
      <c r="M346" t="str">
        <f t="shared" si="46"/>
        <v>Y</v>
      </c>
      <c r="N346" t="str">
        <f t="shared" si="47"/>
        <v>Y</v>
      </c>
      <c r="O346">
        <f t="shared" si="48"/>
        <v>10</v>
      </c>
      <c r="P346" s="6">
        <f t="shared" si="49"/>
        <v>1</v>
      </c>
      <c r="Q346" s="6">
        <f t="shared" si="50"/>
        <v>2.030456852791878E-2</v>
      </c>
      <c r="R346">
        <f t="shared" si="51"/>
        <v>1</v>
      </c>
      <c r="S346">
        <f t="shared" si="52"/>
        <v>0</v>
      </c>
      <c r="T346">
        <f t="shared" si="53"/>
        <v>0</v>
      </c>
    </row>
    <row r="347" spans="1:20">
      <c r="A347" t="s">
        <v>657</v>
      </c>
      <c r="B347" t="s">
        <v>70</v>
      </c>
      <c r="C347" t="s">
        <v>12</v>
      </c>
      <c r="D347">
        <v>358</v>
      </c>
      <c r="E347" s="4">
        <v>46153</v>
      </c>
      <c r="F347" s="4">
        <v>46166</v>
      </c>
      <c r="G347" s="4">
        <v>46164</v>
      </c>
      <c r="H347">
        <v>361</v>
      </c>
      <c r="I347" t="s">
        <v>658</v>
      </c>
      <c r="J347">
        <v>4</v>
      </c>
      <c r="K347" t="s">
        <v>1563</v>
      </c>
      <c r="L347" t="str">
        <f t="shared" si="45"/>
        <v>Y</v>
      </c>
      <c r="M347" t="str">
        <f t="shared" si="46"/>
        <v>Y</v>
      </c>
      <c r="N347" t="str">
        <f t="shared" si="47"/>
        <v>Y</v>
      </c>
      <c r="O347">
        <f t="shared" si="48"/>
        <v>11</v>
      </c>
      <c r="P347" s="6">
        <f t="shared" si="49"/>
        <v>1.0083798882681565</v>
      </c>
      <c r="Q347" s="6">
        <f t="shared" si="50"/>
        <v>1.1080332409972299E-2</v>
      </c>
      <c r="R347">
        <f t="shared" si="51"/>
        <v>1</v>
      </c>
      <c r="S347">
        <f t="shared" si="52"/>
        <v>0</v>
      </c>
      <c r="T347">
        <f t="shared" si="53"/>
        <v>0</v>
      </c>
    </row>
    <row r="348" spans="1:20">
      <c r="A348" t="s">
        <v>659</v>
      </c>
      <c r="B348" t="s">
        <v>46</v>
      </c>
      <c r="C348" t="s">
        <v>23</v>
      </c>
      <c r="D348">
        <v>812</v>
      </c>
      <c r="E348" s="4">
        <v>46078</v>
      </c>
      <c r="F348" s="4">
        <v>46088</v>
      </c>
      <c r="G348" s="4">
        <v>46089</v>
      </c>
      <c r="H348">
        <v>815</v>
      </c>
      <c r="I348" t="s">
        <v>660</v>
      </c>
      <c r="J348">
        <v>51</v>
      </c>
      <c r="K348" t="s">
        <v>1563</v>
      </c>
      <c r="L348" t="str">
        <f t="shared" si="45"/>
        <v>N</v>
      </c>
      <c r="M348" t="str">
        <f t="shared" si="46"/>
        <v>Y</v>
      </c>
      <c r="N348" t="str">
        <f t="shared" si="47"/>
        <v>N</v>
      </c>
      <c r="O348">
        <f t="shared" si="48"/>
        <v>11</v>
      </c>
      <c r="P348" s="6">
        <f t="shared" si="49"/>
        <v>1.0036945812807883</v>
      </c>
      <c r="Q348" s="6">
        <f t="shared" si="50"/>
        <v>6.2576687116564417E-2</v>
      </c>
      <c r="R348">
        <f t="shared" si="51"/>
        <v>0</v>
      </c>
      <c r="S348">
        <f t="shared" si="52"/>
        <v>1</v>
      </c>
      <c r="T348">
        <f t="shared" si="53"/>
        <v>500</v>
      </c>
    </row>
    <row r="349" spans="1:20">
      <c r="A349" t="s">
        <v>661</v>
      </c>
      <c r="B349" t="s">
        <v>32</v>
      </c>
      <c r="C349" t="s">
        <v>12</v>
      </c>
      <c r="D349">
        <v>954</v>
      </c>
      <c r="E349" s="4">
        <v>46088</v>
      </c>
      <c r="F349" s="4">
        <v>46094</v>
      </c>
      <c r="G349" s="4">
        <v>46092</v>
      </c>
      <c r="H349">
        <v>961</v>
      </c>
      <c r="I349" t="s">
        <v>391</v>
      </c>
      <c r="J349">
        <v>12</v>
      </c>
      <c r="K349" t="s">
        <v>1563</v>
      </c>
      <c r="L349" t="str">
        <f t="shared" si="45"/>
        <v>Y</v>
      </c>
      <c r="M349" t="str">
        <f t="shared" si="46"/>
        <v>Y</v>
      </c>
      <c r="N349" t="str">
        <f t="shared" si="47"/>
        <v>Y</v>
      </c>
      <c r="O349">
        <f t="shared" si="48"/>
        <v>4</v>
      </c>
      <c r="P349" s="6">
        <f t="shared" si="49"/>
        <v>1.0073375262054507</v>
      </c>
      <c r="Q349" s="6">
        <f t="shared" si="50"/>
        <v>1.2486992715920915E-2</v>
      </c>
      <c r="R349">
        <f t="shared" si="51"/>
        <v>1</v>
      </c>
      <c r="S349">
        <f t="shared" si="52"/>
        <v>0</v>
      </c>
      <c r="T349">
        <f t="shared" si="53"/>
        <v>0</v>
      </c>
    </row>
    <row r="350" spans="1:20">
      <c r="A350" t="s">
        <v>662</v>
      </c>
      <c r="B350" t="s">
        <v>11</v>
      </c>
      <c r="C350" t="s">
        <v>12</v>
      </c>
      <c r="D350">
        <v>965</v>
      </c>
      <c r="E350" s="4">
        <v>46127</v>
      </c>
      <c r="F350" s="4">
        <v>46135</v>
      </c>
      <c r="G350" s="4">
        <v>46135</v>
      </c>
      <c r="H350">
        <v>969</v>
      </c>
      <c r="I350" t="s">
        <v>664</v>
      </c>
      <c r="J350">
        <v>15</v>
      </c>
      <c r="K350" t="s">
        <v>1563</v>
      </c>
      <c r="L350" t="str">
        <f t="shared" si="45"/>
        <v>Y</v>
      </c>
      <c r="M350" t="str">
        <f t="shared" si="46"/>
        <v>Y</v>
      </c>
      <c r="N350" t="str">
        <f t="shared" si="47"/>
        <v>Y</v>
      </c>
      <c r="O350">
        <f t="shared" si="48"/>
        <v>8</v>
      </c>
      <c r="P350" s="6">
        <f t="shared" si="49"/>
        <v>1.0041450777202072</v>
      </c>
      <c r="Q350" s="6">
        <f t="shared" si="50"/>
        <v>1.5479876160990712E-2</v>
      </c>
      <c r="R350">
        <f t="shared" si="51"/>
        <v>1</v>
      </c>
      <c r="S350">
        <f t="shared" si="52"/>
        <v>0</v>
      </c>
      <c r="T350">
        <f t="shared" si="53"/>
        <v>0</v>
      </c>
    </row>
    <row r="351" spans="1:20">
      <c r="A351" t="s">
        <v>665</v>
      </c>
      <c r="B351" t="s">
        <v>22</v>
      </c>
      <c r="C351" t="s">
        <v>16</v>
      </c>
      <c r="D351">
        <v>92</v>
      </c>
      <c r="E351" s="4">
        <v>46164</v>
      </c>
      <c r="F351" s="4">
        <v>46170</v>
      </c>
      <c r="G351" s="4">
        <v>46170</v>
      </c>
      <c r="H351">
        <v>84</v>
      </c>
      <c r="I351" t="s">
        <v>666</v>
      </c>
      <c r="J351">
        <v>6</v>
      </c>
      <c r="K351" t="s">
        <v>1563</v>
      </c>
      <c r="L351" t="str">
        <f t="shared" si="45"/>
        <v>Y</v>
      </c>
      <c r="M351" t="str">
        <f t="shared" si="46"/>
        <v>N</v>
      </c>
      <c r="N351" t="str">
        <f t="shared" si="47"/>
        <v>N</v>
      </c>
      <c r="O351">
        <f t="shared" si="48"/>
        <v>6</v>
      </c>
      <c r="P351" s="6">
        <f t="shared" si="49"/>
        <v>0.91304347826086951</v>
      </c>
      <c r="Q351" s="6">
        <f t="shared" si="50"/>
        <v>7.1428571428571425E-2</v>
      </c>
      <c r="R351">
        <f t="shared" si="51"/>
        <v>0</v>
      </c>
      <c r="S351">
        <f t="shared" si="52"/>
        <v>0</v>
      </c>
      <c r="T351">
        <f t="shared" si="53"/>
        <v>0</v>
      </c>
    </row>
    <row r="352" spans="1:20">
      <c r="A352" t="s">
        <v>667</v>
      </c>
      <c r="B352" t="s">
        <v>19</v>
      </c>
      <c r="C352" t="s">
        <v>12</v>
      </c>
      <c r="D352">
        <v>124</v>
      </c>
      <c r="E352" s="4">
        <v>46029</v>
      </c>
      <c r="F352" s="4">
        <v>46035</v>
      </c>
      <c r="G352" s="4">
        <v>46034</v>
      </c>
      <c r="H352">
        <v>125</v>
      </c>
      <c r="I352" t="s">
        <v>668</v>
      </c>
      <c r="J352">
        <v>1</v>
      </c>
      <c r="K352" t="s">
        <v>1563</v>
      </c>
      <c r="L352" t="str">
        <f t="shared" si="45"/>
        <v>Y</v>
      </c>
      <c r="M352" t="str">
        <f t="shared" si="46"/>
        <v>Y</v>
      </c>
      <c r="N352" t="str">
        <f t="shared" si="47"/>
        <v>Y</v>
      </c>
      <c r="O352">
        <f t="shared" si="48"/>
        <v>5</v>
      </c>
      <c r="P352" s="6">
        <f t="shared" si="49"/>
        <v>1.0080645161290323</v>
      </c>
      <c r="Q352" s="6">
        <f t="shared" si="50"/>
        <v>8.0000000000000002E-3</v>
      </c>
      <c r="R352">
        <f t="shared" si="51"/>
        <v>1</v>
      </c>
      <c r="S352">
        <f t="shared" si="52"/>
        <v>0</v>
      </c>
      <c r="T352">
        <f t="shared" si="53"/>
        <v>0</v>
      </c>
    </row>
    <row r="353" spans="1:20">
      <c r="A353" t="s">
        <v>669</v>
      </c>
      <c r="B353" t="s">
        <v>49</v>
      </c>
      <c r="C353" t="s">
        <v>12</v>
      </c>
      <c r="D353">
        <v>836</v>
      </c>
      <c r="E353" s="4">
        <v>46145</v>
      </c>
      <c r="F353" s="4">
        <v>46150</v>
      </c>
      <c r="G353" s="4">
        <v>46148</v>
      </c>
      <c r="H353">
        <v>829</v>
      </c>
      <c r="I353" t="s">
        <v>670</v>
      </c>
      <c r="J353">
        <v>8</v>
      </c>
      <c r="K353" t="s">
        <v>1563</v>
      </c>
      <c r="L353" t="str">
        <f t="shared" si="45"/>
        <v>Y</v>
      </c>
      <c r="M353" t="str">
        <f t="shared" si="46"/>
        <v>Y</v>
      </c>
      <c r="N353" t="str">
        <f t="shared" si="47"/>
        <v>Y</v>
      </c>
      <c r="O353">
        <f t="shared" si="48"/>
        <v>3</v>
      </c>
      <c r="P353" s="6">
        <f t="shared" si="49"/>
        <v>0.99162679425837319</v>
      </c>
      <c r="Q353" s="6">
        <f t="shared" si="50"/>
        <v>9.6501809408926411E-3</v>
      </c>
      <c r="R353">
        <f t="shared" si="51"/>
        <v>1</v>
      </c>
      <c r="S353">
        <f t="shared" si="52"/>
        <v>0</v>
      </c>
      <c r="T353">
        <f t="shared" si="53"/>
        <v>0</v>
      </c>
    </row>
    <row r="354" spans="1:20">
      <c r="A354" t="s">
        <v>671</v>
      </c>
      <c r="B354" t="s">
        <v>19</v>
      </c>
      <c r="C354" t="s">
        <v>23</v>
      </c>
      <c r="D354">
        <v>748</v>
      </c>
      <c r="E354" s="4">
        <v>46065</v>
      </c>
      <c r="F354" s="4">
        <v>46080</v>
      </c>
      <c r="G354" s="4">
        <v>46080</v>
      </c>
      <c r="H354">
        <v>736</v>
      </c>
      <c r="I354" t="s">
        <v>672</v>
      </c>
      <c r="J354">
        <v>25</v>
      </c>
      <c r="K354" t="s">
        <v>1563</v>
      </c>
      <c r="L354" t="str">
        <f t="shared" si="45"/>
        <v>Y</v>
      </c>
      <c r="M354" t="str">
        <f t="shared" si="46"/>
        <v>Y</v>
      </c>
      <c r="N354" t="str">
        <f t="shared" si="47"/>
        <v>Y</v>
      </c>
      <c r="O354">
        <f t="shared" si="48"/>
        <v>15</v>
      </c>
      <c r="P354" s="6">
        <f t="shared" si="49"/>
        <v>0.98395721925133695</v>
      </c>
      <c r="Q354" s="6">
        <f t="shared" si="50"/>
        <v>3.3967391304347824E-2</v>
      </c>
      <c r="R354">
        <f t="shared" si="51"/>
        <v>1</v>
      </c>
      <c r="S354">
        <f t="shared" si="52"/>
        <v>0</v>
      </c>
      <c r="T354">
        <f t="shared" si="53"/>
        <v>0</v>
      </c>
    </row>
    <row r="355" spans="1:20">
      <c r="A355" t="s">
        <v>673</v>
      </c>
      <c r="B355" t="s">
        <v>120</v>
      </c>
      <c r="C355" t="s">
        <v>23</v>
      </c>
      <c r="D355">
        <v>408</v>
      </c>
      <c r="E355" s="4">
        <v>46146</v>
      </c>
      <c r="F355" s="4">
        <v>46159</v>
      </c>
      <c r="G355" s="4">
        <v>46156</v>
      </c>
      <c r="H355">
        <v>387</v>
      </c>
      <c r="I355" t="s">
        <v>674</v>
      </c>
      <c r="J355">
        <v>7</v>
      </c>
      <c r="K355" t="s">
        <v>1563</v>
      </c>
      <c r="L355" t="str">
        <f t="shared" si="45"/>
        <v>Y</v>
      </c>
      <c r="M355" t="str">
        <f t="shared" si="46"/>
        <v>N</v>
      </c>
      <c r="N355" t="str">
        <f t="shared" si="47"/>
        <v>N</v>
      </c>
      <c r="O355">
        <f t="shared" si="48"/>
        <v>10</v>
      </c>
      <c r="P355" s="6">
        <f t="shared" si="49"/>
        <v>0.94852941176470584</v>
      </c>
      <c r="Q355" s="6">
        <f t="shared" si="50"/>
        <v>1.8087855297157621E-2</v>
      </c>
      <c r="R355">
        <f t="shared" si="51"/>
        <v>0</v>
      </c>
      <c r="S355">
        <f t="shared" si="52"/>
        <v>0</v>
      </c>
      <c r="T355">
        <f t="shared" si="53"/>
        <v>0</v>
      </c>
    </row>
    <row r="356" spans="1:20">
      <c r="A356" t="s">
        <v>675</v>
      </c>
      <c r="B356" t="s">
        <v>70</v>
      </c>
      <c r="C356" t="s">
        <v>12</v>
      </c>
      <c r="D356">
        <v>959</v>
      </c>
      <c r="E356" s="4">
        <v>46059</v>
      </c>
      <c r="F356" s="4">
        <v>46065</v>
      </c>
      <c r="G356" s="4">
        <v>46071</v>
      </c>
      <c r="H356">
        <v>942</v>
      </c>
      <c r="I356" t="s">
        <v>101</v>
      </c>
      <c r="J356">
        <v>9</v>
      </c>
      <c r="K356" t="s">
        <v>1563</v>
      </c>
      <c r="L356" t="str">
        <f t="shared" si="45"/>
        <v>N</v>
      </c>
      <c r="M356" t="str">
        <f t="shared" si="46"/>
        <v>Y</v>
      </c>
      <c r="N356" t="str">
        <f t="shared" si="47"/>
        <v>N</v>
      </c>
      <c r="O356">
        <f t="shared" si="48"/>
        <v>12</v>
      </c>
      <c r="P356" s="6">
        <f t="shared" si="49"/>
        <v>0.98227320125130346</v>
      </c>
      <c r="Q356" s="6">
        <f t="shared" si="50"/>
        <v>9.5541401273885346E-3</v>
      </c>
      <c r="R356">
        <f t="shared" si="51"/>
        <v>0</v>
      </c>
      <c r="S356">
        <f t="shared" si="52"/>
        <v>6</v>
      </c>
      <c r="T356">
        <f t="shared" si="53"/>
        <v>3000</v>
      </c>
    </row>
    <row r="357" spans="1:20">
      <c r="A357" t="s">
        <v>676</v>
      </c>
      <c r="B357" t="s">
        <v>70</v>
      </c>
      <c r="C357" t="s">
        <v>16</v>
      </c>
      <c r="D357">
        <v>648</v>
      </c>
      <c r="E357" s="4">
        <v>46146</v>
      </c>
      <c r="F357" s="4">
        <v>46151</v>
      </c>
      <c r="G357" s="4">
        <v>46148</v>
      </c>
      <c r="H357">
        <v>637</v>
      </c>
      <c r="I357" t="s">
        <v>677</v>
      </c>
      <c r="J357">
        <v>2</v>
      </c>
      <c r="K357" t="s">
        <v>1563</v>
      </c>
      <c r="L357" t="str">
        <f t="shared" si="45"/>
        <v>Y</v>
      </c>
      <c r="M357" t="str">
        <f t="shared" si="46"/>
        <v>Y</v>
      </c>
      <c r="N357" t="str">
        <f t="shared" si="47"/>
        <v>Y</v>
      </c>
      <c r="O357">
        <f t="shared" si="48"/>
        <v>2</v>
      </c>
      <c r="P357" s="6">
        <f t="shared" si="49"/>
        <v>0.98302469135802473</v>
      </c>
      <c r="Q357" s="6">
        <f t="shared" si="50"/>
        <v>3.1397174254317113E-3</v>
      </c>
      <c r="R357">
        <f t="shared" si="51"/>
        <v>1</v>
      </c>
      <c r="S357">
        <f t="shared" si="52"/>
        <v>0</v>
      </c>
      <c r="T357">
        <f t="shared" si="53"/>
        <v>0</v>
      </c>
    </row>
    <row r="358" spans="1:20">
      <c r="A358" t="s">
        <v>678</v>
      </c>
      <c r="B358" t="s">
        <v>35</v>
      </c>
      <c r="C358" t="s">
        <v>16</v>
      </c>
      <c r="D358">
        <v>953</v>
      </c>
      <c r="E358" s="4">
        <v>46136</v>
      </c>
      <c r="F358" s="4">
        <v>46142</v>
      </c>
      <c r="G358" s="4">
        <v>46139</v>
      </c>
      <c r="H358">
        <v>957</v>
      </c>
      <c r="I358" t="s">
        <v>1564</v>
      </c>
      <c r="J358">
        <v>10</v>
      </c>
      <c r="K358" t="s">
        <v>1563</v>
      </c>
      <c r="L358" t="str">
        <f t="shared" si="45"/>
        <v>Y</v>
      </c>
      <c r="M358" t="str">
        <f t="shared" si="46"/>
        <v>Y</v>
      </c>
      <c r="N358" t="str">
        <f t="shared" si="47"/>
        <v>Y</v>
      </c>
      <c r="O358">
        <f t="shared" si="48"/>
        <v>3</v>
      </c>
      <c r="P358" s="6">
        <f t="shared" si="49"/>
        <v>1.0041972717733474</v>
      </c>
      <c r="Q358" s="6">
        <f t="shared" si="50"/>
        <v>1.0449320794148381E-2</v>
      </c>
      <c r="R358">
        <f t="shared" si="51"/>
        <v>1</v>
      </c>
      <c r="S358">
        <f t="shared" si="52"/>
        <v>0</v>
      </c>
      <c r="T358">
        <f t="shared" si="53"/>
        <v>0</v>
      </c>
    </row>
    <row r="359" spans="1:20">
      <c r="A359" t="s">
        <v>679</v>
      </c>
      <c r="B359" t="s">
        <v>67</v>
      </c>
      <c r="C359" t="s">
        <v>12</v>
      </c>
      <c r="D359">
        <v>730</v>
      </c>
      <c r="E359" s="4">
        <v>46110</v>
      </c>
      <c r="F359" s="4">
        <v>46118</v>
      </c>
      <c r="G359" s="4">
        <v>46127</v>
      </c>
      <c r="H359">
        <v>724</v>
      </c>
      <c r="I359" t="s">
        <v>680</v>
      </c>
      <c r="J359">
        <v>30</v>
      </c>
      <c r="K359" t="s">
        <v>1563</v>
      </c>
      <c r="L359" t="str">
        <f t="shared" si="45"/>
        <v>N</v>
      </c>
      <c r="M359" t="str">
        <f t="shared" si="46"/>
        <v>Y</v>
      </c>
      <c r="N359" t="str">
        <f t="shared" si="47"/>
        <v>N</v>
      </c>
      <c r="O359">
        <f t="shared" si="48"/>
        <v>17</v>
      </c>
      <c r="P359" s="6">
        <f t="shared" si="49"/>
        <v>0.99178082191780825</v>
      </c>
      <c r="Q359" s="6">
        <f t="shared" si="50"/>
        <v>4.1436464088397788E-2</v>
      </c>
      <c r="R359">
        <f t="shared" si="51"/>
        <v>0</v>
      </c>
      <c r="S359">
        <f t="shared" si="52"/>
        <v>9</v>
      </c>
      <c r="T359">
        <f t="shared" si="53"/>
        <v>4500</v>
      </c>
    </row>
    <row r="360" spans="1:20">
      <c r="A360" t="s">
        <v>681</v>
      </c>
      <c r="B360" t="s">
        <v>49</v>
      </c>
      <c r="C360" t="s">
        <v>12</v>
      </c>
      <c r="D360">
        <v>443</v>
      </c>
      <c r="E360" s="4">
        <v>46116</v>
      </c>
      <c r="F360" s="4">
        <v>46126</v>
      </c>
      <c r="G360" s="4">
        <v>46130</v>
      </c>
      <c r="H360">
        <v>444</v>
      </c>
      <c r="I360" t="s">
        <v>682</v>
      </c>
      <c r="J360">
        <v>2</v>
      </c>
      <c r="K360" t="s">
        <v>1563</v>
      </c>
      <c r="L360" t="str">
        <f t="shared" si="45"/>
        <v>N</v>
      </c>
      <c r="M360" t="str">
        <f t="shared" si="46"/>
        <v>Y</v>
      </c>
      <c r="N360" t="str">
        <f t="shared" si="47"/>
        <v>N</v>
      </c>
      <c r="O360">
        <f t="shared" si="48"/>
        <v>14</v>
      </c>
      <c r="P360" s="6">
        <f t="shared" si="49"/>
        <v>1.0022573363431151</v>
      </c>
      <c r="Q360" s="6">
        <f t="shared" si="50"/>
        <v>4.5045045045045045E-3</v>
      </c>
      <c r="R360">
        <f t="shared" si="51"/>
        <v>0</v>
      </c>
      <c r="S360">
        <f t="shared" si="52"/>
        <v>4</v>
      </c>
      <c r="T360">
        <f t="shared" si="53"/>
        <v>2000</v>
      </c>
    </row>
    <row r="361" spans="1:20">
      <c r="A361" t="s">
        <v>683</v>
      </c>
      <c r="B361" t="s">
        <v>43</v>
      </c>
      <c r="C361" t="s">
        <v>12</v>
      </c>
      <c r="D361">
        <v>388</v>
      </c>
      <c r="E361" s="4">
        <v>46172</v>
      </c>
      <c r="F361" s="4">
        <v>46184</v>
      </c>
      <c r="G361" s="4"/>
      <c r="I361" t="s">
        <v>684</v>
      </c>
      <c r="K361" t="s">
        <v>1565</v>
      </c>
      <c r="L361" t="str">
        <f t="shared" si="45"/>
        <v>N/A</v>
      </c>
      <c r="M361" t="str">
        <f t="shared" si="46"/>
        <v>N/A</v>
      </c>
      <c r="N361" t="str">
        <f t="shared" si="47"/>
        <v>N/A</v>
      </c>
      <c r="O361" t="str">
        <f t="shared" si="48"/>
        <v>N/A</v>
      </c>
      <c r="P361" s="6" t="str">
        <f t="shared" si="49"/>
        <v>N/A</v>
      </c>
      <c r="Q361" s="6" t="str">
        <f t="shared" si="50"/>
        <v>N/A</v>
      </c>
      <c r="R361" t="str">
        <f t="shared" si="51"/>
        <v/>
      </c>
      <c r="S361" t="str">
        <f t="shared" si="52"/>
        <v>N/A</v>
      </c>
      <c r="T361">
        <f t="shared" si="53"/>
        <v>0</v>
      </c>
    </row>
    <row r="362" spans="1:20">
      <c r="A362" t="s">
        <v>685</v>
      </c>
      <c r="B362" t="s">
        <v>19</v>
      </c>
      <c r="C362" t="s">
        <v>12</v>
      </c>
      <c r="D362">
        <v>967</v>
      </c>
      <c r="E362" s="4">
        <v>46052</v>
      </c>
      <c r="F362" s="4">
        <v>46057</v>
      </c>
      <c r="G362" s="4">
        <v>46054</v>
      </c>
      <c r="H362">
        <v>958</v>
      </c>
      <c r="I362" t="s">
        <v>687</v>
      </c>
      <c r="J362">
        <v>50</v>
      </c>
      <c r="K362" t="s">
        <v>1563</v>
      </c>
      <c r="L362" t="str">
        <f t="shared" si="45"/>
        <v>Y</v>
      </c>
      <c r="M362" t="str">
        <f t="shared" si="46"/>
        <v>Y</v>
      </c>
      <c r="N362" t="str">
        <f t="shared" si="47"/>
        <v>Y</v>
      </c>
      <c r="O362">
        <f t="shared" si="48"/>
        <v>2</v>
      </c>
      <c r="P362" s="6">
        <f t="shared" si="49"/>
        <v>0.99069286452947258</v>
      </c>
      <c r="Q362" s="6">
        <f t="shared" si="50"/>
        <v>5.2192066805845511E-2</v>
      </c>
      <c r="R362">
        <f t="shared" si="51"/>
        <v>1</v>
      </c>
      <c r="S362">
        <f t="shared" si="52"/>
        <v>0</v>
      </c>
      <c r="T362">
        <f t="shared" si="53"/>
        <v>0</v>
      </c>
    </row>
    <row r="363" spans="1:20">
      <c r="A363" t="s">
        <v>688</v>
      </c>
      <c r="B363" t="s">
        <v>43</v>
      </c>
      <c r="C363" t="s">
        <v>12</v>
      </c>
      <c r="D363">
        <v>956</v>
      </c>
      <c r="E363" s="4">
        <v>46078</v>
      </c>
      <c r="F363" s="4">
        <v>46087</v>
      </c>
      <c r="G363" s="4">
        <v>46086</v>
      </c>
      <c r="H363">
        <v>958</v>
      </c>
      <c r="I363" t="s">
        <v>690</v>
      </c>
      <c r="J363">
        <v>36</v>
      </c>
      <c r="K363" t="s">
        <v>1563</v>
      </c>
      <c r="L363" t="str">
        <f t="shared" si="45"/>
        <v>Y</v>
      </c>
      <c r="M363" t="str">
        <f t="shared" si="46"/>
        <v>Y</v>
      </c>
      <c r="N363" t="str">
        <f t="shared" si="47"/>
        <v>Y</v>
      </c>
      <c r="O363">
        <f t="shared" si="48"/>
        <v>8</v>
      </c>
      <c r="P363" s="6">
        <f t="shared" si="49"/>
        <v>1.002092050209205</v>
      </c>
      <c r="Q363" s="6">
        <f t="shared" si="50"/>
        <v>3.7578288100208766E-2</v>
      </c>
      <c r="R363">
        <f t="shared" si="51"/>
        <v>1</v>
      </c>
      <c r="S363">
        <f t="shared" si="52"/>
        <v>0</v>
      </c>
      <c r="T363">
        <f t="shared" si="53"/>
        <v>0</v>
      </c>
    </row>
    <row r="364" spans="1:20">
      <c r="A364" t="s">
        <v>691</v>
      </c>
      <c r="B364" t="s">
        <v>32</v>
      </c>
      <c r="C364" t="s">
        <v>16</v>
      </c>
      <c r="D364">
        <v>863</v>
      </c>
      <c r="E364" s="4">
        <v>46158</v>
      </c>
      <c r="F364" s="4">
        <v>46169</v>
      </c>
      <c r="G364" s="4">
        <v>46174</v>
      </c>
      <c r="H364">
        <v>834</v>
      </c>
      <c r="I364" t="s">
        <v>181</v>
      </c>
      <c r="J364">
        <v>7</v>
      </c>
      <c r="K364" t="s">
        <v>1563</v>
      </c>
      <c r="L364" t="str">
        <f t="shared" si="45"/>
        <v>N</v>
      </c>
      <c r="M364" t="str">
        <f t="shared" si="46"/>
        <v>N</v>
      </c>
      <c r="N364" t="str">
        <f t="shared" si="47"/>
        <v>N</v>
      </c>
      <c r="O364">
        <f t="shared" si="48"/>
        <v>16</v>
      </c>
      <c r="P364" s="6">
        <f t="shared" si="49"/>
        <v>0.96639629200463495</v>
      </c>
      <c r="Q364" s="6">
        <f t="shared" si="50"/>
        <v>8.3932853717026377E-3</v>
      </c>
      <c r="R364">
        <f t="shared" si="51"/>
        <v>0</v>
      </c>
      <c r="S364">
        <f t="shared" si="52"/>
        <v>5</v>
      </c>
      <c r="T364">
        <f t="shared" si="53"/>
        <v>2500</v>
      </c>
    </row>
    <row r="365" spans="1:20">
      <c r="A365" t="s">
        <v>692</v>
      </c>
      <c r="B365" t="s">
        <v>35</v>
      </c>
      <c r="C365" t="s">
        <v>23</v>
      </c>
      <c r="D365">
        <v>523</v>
      </c>
      <c r="E365" s="4">
        <v>46036</v>
      </c>
      <c r="F365" s="4">
        <v>46046</v>
      </c>
      <c r="G365" s="4">
        <v>46043</v>
      </c>
      <c r="H365">
        <v>482</v>
      </c>
      <c r="I365" t="s">
        <v>693</v>
      </c>
      <c r="J365">
        <v>9</v>
      </c>
      <c r="K365" t="s">
        <v>1563</v>
      </c>
      <c r="L365" t="str">
        <f t="shared" si="45"/>
        <v>Y</v>
      </c>
      <c r="M365" t="str">
        <f t="shared" si="46"/>
        <v>N</v>
      </c>
      <c r="N365" t="str">
        <f t="shared" si="47"/>
        <v>N</v>
      </c>
      <c r="O365">
        <f t="shared" si="48"/>
        <v>7</v>
      </c>
      <c r="P365" s="6">
        <f t="shared" si="49"/>
        <v>0.92160611854684515</v>
      </c>
      <c r="Q365" s="6">
        <f t="shared" si="50"/>
        <v>1.8672199170124481E-2</v>
      </c>
      <c r="R365">
        <f t="shared" si="51"/>
        <v>0</v>
      </c>
      <c r="S365">
        <f t="shared" si="52"/>
        <v>0</v>
      </c>
      <c r="T365">
        <f t="shared" si="53"/>
        <v>0</v>
      </c>
    </row>
    <row r="366" spans="1:20">
      <c r="A366" t="s">
        <v>694</v>
      </c>
      <c r="B366" t="s">
        <v>49</v>
      </c>
      <c r="C366" t="s">
        <v>16</v>
      </c>
      <c r="D366">
        <v>758</v>
      </c>
      <c r="E366" s="4">
        <v>46171</v>
      </c>
      <c r="F366" s="4">
        <v>46177</v>
      </c>
      <c r="G366" s="4">
        <v>46175</v>
      </c>
      <c r="H366">
        <v>769</v>
      </c>
      <c r="I366" t="s">
        <v>695</v>
      </c>
      <c r="J366">
        <v>12</v>
      </c>
      <c r="K366" t="s">
        <v>1563</v>
      </c>
      <c r="L366" t="str">
        <f t="shared" si="45"/>
        <v>Y</v>
      </c>
      <c r="M366" t="str">
        <f t="shared" si="46"/>
        <v>Y</v>
      </c>
      <c r="N366" t="str">
        <f t="shared" si="47"/>
        <v>Y</v>
      </c>
      <c r="O366">
        <f t="shared" si="48"/>
        <v>4</v>
      </c>
      <c r="P366" s="6">
        <f t="shared" si="49"/>
        <v>1.0145118733509235</v>
      </c>
      <c r="Q366" s="6">
        <f t="shared" si="50"/>
        <v>1.5604681404421327E-2</v>
      </c>
      <c r="R366">
        <f t="shared" si="51"/>
        <v>1</v>
      </c>
      <c r="S366">
        <f t="shared" si="52"/>
        <v>0</v>
      </c>
      <c r="T366">
        <f t="shared" si="53"/>
        <v>0</v>
      </c>
    </row>
    <row r="367" spans="1:20">
      <c r="A367" t="s">
        <v>696</v>
      </c>
      <c r="B367" t="s">
        <v>35</v>
      </c>
      <c r="C367" t="s">
        <v>12</v>
      </c>
      <c r="D367">
        <v>296</v>
      </c>
      <c r="E367" s="4">
        <v>46172</v>
      </c>
      <c r="F367" s="4">
        <v>46177</v>
      </c>
      <c r="G367" s="4">
        <v>46182</v>
      </c>
      <c r="H367">
        <v>297</v>
      </c>
      <c r="I367" t="s">
        <v>493</v>
      </c>
      <c r="J367">
        <v>13</v>
      </c>
      <c r="K367" t="s">
        <v>1563</v>
      </c>
      <c r="L367" t="str">
        <f t="shared" si="45"/>
        <v>N</v>
      </c>
      <c r="M367" t="str">
        <f t="shared" si="46"/>
        <v>Y</v>
      </c>
      <c r="N367" t="str">
        <f t="shared" si="47"/>
        <v>N</v>
      </c>
      <c r="O367">
        <f t="shared" si="48"/>
        <v>10</v>
      </c>
      <c r="P367" s="6">
        <f t="shared" si="49"/>
        <v>1.0033783783783783</v>
      </c>
      <c r="Q367" s="6">
        <f t="shared" si="50"/>
        <v>4.3771043771043773E-2</v>
      </c>
      <c r="R367">
        <f t="shared" si="51"/>
        <v>0</v>
      </c>
      <c r="S367">
        <f t="shared" si="52"/>
        <v>5</v>
      </c>
      <c r="T367">
        <f t="shared" si="53"/>
        <v>2500</v>
      </c>
    </row>
    <row r="368" spans="1:20">
      <c r="A368" t="s">
        <v>697</v>
      </c>
      <c r="B368" t="s">
        <v>46</v>
      </c>
      <c r="C368" t="s">
        <v>16</v>
      </c>
      <c r="D368">
        <v>373</v>
      </c>
      <c r="E368" s="4">
        <v>46044</v>
      </c>
      <c r="F368" s="4">
        <v>46054</v>
      </c>
      <c r="G368" s="4">
        <v>46054</v>
      </c>
      <c r="H368">
        <v>366</v>
      </c>
      <c r="I368" t="s">
        <v>698</v>
      </c>
      <c r="J368">
        <v>9</v>
      </c>
      <c r="K368" t="s">
        <v>1563</v>
      </c>
      <c r="L368" t="str">
        <f t="shared" si="45"/>
        <v>Y</v>
      </c>
      <c r="M368" t="str">
        <f t="shared" si="46"/>
        <v>Y</v>
      </c>
      <c r="N368" t="str">
        <f t="shared" si="47"/>
        <v>Y</v>
      </c>
      <c r="O368">
        <f t="shared" si="48"/>
        <v>10</v>
      </c>
      <c r="P368" s="6">
        <f t="shared" si="49"/>
        <v>0.98123324396782841</v>
      </c>
      <c r="Q368" s="6">
        <f t="shared" si="50"/>
        <v>2.4590163934426229E-2</v>
      </c>
      <c r="R368">
        <f t="shared" si="51"/>
        <v>1</v>
      </c>
      <c r="S368">
        <f t="shared" si="52"/>
        <v>0</v>
      </c>
      <c r="T368">
        <f t="shared" si="53"/>
        <v>0</v>
      </c>
    </row>
    <row r="369" spans="1:20">
      <c r="A369" t="s">
        <v>699</v>
      </c>
      <c r="B369" t="s">
        <v>40</v>
      </c>
      <c r="C369" t="s">
        <v>12</v>
      </c>
      <c r="D369">
        <v>226</v>
      </c>
      <c r="E369" s="4">
        <v>46147</v>
      </c>
      <c r="F369" s="4">
        <v>46155</v>
      </c>
      <c r="G369" s="4">
        <v>46152</v>
      </c>
      <c r="H369">
        <v>228</v>
      </c>
      <c r="I369" t="s">
        <v>700</v>
      </c>
      <c r="J369">
        <v>5</v>
      </c>
      <c r="K369" t="s">
        <v>1563</v>
      </c>
      <c r="L369" t="str">
        <f t="shared" si="45"/>
        <v>Y</v>
      </c>
      <c r="M369" t="str">
        <f t="shared" si="46"/>
        <v>Y</v>
      </c>
      <c r="N369" t="str">
        <f t="shared" si="47"/>
        <v>Y</v>
      </c>
      <c r="O369">
        <f t="shared" si="48"/>
        <v>5</v>
      </c>
      <c r="P369" s="6">
        <f t="shared" si="49"/>
        <v>1.0088495575221239</v>
      </c>
      <c r="Q369" s="6">
        <f t="shared" si="50"/>
        <v>2.1929824561403508E-2</v>
      </c>
      <c r="R369">
        <f t="shared" si="51"/>
        <v>1</v>
      </c>
      <c r="S369">
        <f t="shared" si="52"/>
        <v>0</v>
      </c>
      <c r="T369">
        <f t="shared" si="53"/>
        <v>0</v>
      </c>
    </row>
    <row r="370" spans="1:20">
      <c r="A370" t="s">
        <v>701</v>
      </c>
      <c r="B370" t="s">
        <v>19</v>
      </c>
      <c r="C370" t="s">
        <v>23</v>
      </c>
      <c r="D370">
        <v>989</v>
      </c>
      <c r="E370" s="4">
        <v>46052</v>
      </c>
      <c r="F370" s="4">
        <v>46065</v>
      </c>
      <c r="G370" s="4">
        <v>46064</v>
      </c>
      <c r="H370">
        <v>998</v>
      </c>
      <c r="I370" t="s">
        <v>702</v>
      </c>
      <c r="J370">
        <v>18</v>
      </c>
      <c r="K370" t="s">
        <v>1563</v>
      </c>
      <c r="L370" t="str">
        <f t="shared" si="45"/>
        <v>Y</v>
      </c>
      <c r="M370" t="str">
        <f t="shared" si="46"/>
        <v>Y</v>
      </c>
      <c r="N370" t="str">
        <f t="shared" si="47"/>
        <v>Y</v>
      </c>
      <c r="O370">
        <f t="shared" si="48"/>
        <v>12</v>
      </c>
      <c r="P370" s="6">
        <f t="shared" si="49"/>
        <v>1.0091001011122345</v>
      </c>
      <c r="Q370" s="6">
        <f t="shared" si="50"/>
        <v>1.8036072144288578E-2</v>
      </c>
      <c r="R370">
        <f t="shared" si="51"/>
        <v>1</v>
      </c>
      <c r="S370">
        <f t="shared" si="52"/>
        <v>0</v>
      </c>
      <c r="T370">
        <f t="shared" si="53"/>
        <v>0</v>
      </c>
    </row>
    <row r="371" spans="1:20">
      <c r="A371" t="s">
        <v>703</v>
      </c>
      <c r="B371" t="s">
        <v>52</v>
      </c>
      <c r="C371" t="s">
        <v>23</v>
      </c>
      <c r="D371">
        <v>112</v>
      </c>
      <c r="E371" s="4">
        <v>46038</v>
      </c>
      <c r="F371" s="4">
        <v>46044</v>
      </c>
      <c r="G371" s="4">
        <v>46051</v>
      </c>
      <c r="H371">
        <v>113</v>
      </c>
      <c r="I371" t="s">
        <v>636</v>
      </c>
      <c r="J371">
        <v>2</v>
      </c>
      <c r="K371" t="s">
        <v>1563</v>
      </c>
      <c r="L371" t="str">
        <f t="shared" si="45"/>
        <v>N</v>
      </c>
      <c r="M371" t="str">
        <f t="shared" si="46"/>
        <v>Y</v>
      </c>
      <c r="N371" t="str">
        <f t="shared" si="47"/>
        <v>N</v>
      </c>
      <c r="O371">
        <f t="shared" si="48"/>
        <v>13</v>
      </c>
      <c r="P371" s="6">
        <f t="shared" si="49"/>
        <v>1.0089285714285714</v>
      </c>
      <c r="Q371" s="6">
        <f t="shared" si="50"/>
        <v>1.7699115044247787E-2</v>
      </c>
      <c r="R371">
        <f t="shared" si="51"/>
        <v>0</v>
      </c>
      <c r="S371">
        <f t="shared" si="52"/>
        <v>7</v>
      </c>
      <c r="T371">
        <f t="shared" si="53"/>
        <v>3500</v>
      </c>
    </row>
    <row r="372" spans="1:20">
      <c r="A372" t="s">
        <v>704</v>
      </c>
      <c r="B372" t="s">
        <v>64</v>
      </c>
      <c r="C372" t="s">
        <v>12</v>
      </c>
      <c r="D372">
        <v>386</v>
      </c>
      <c r="E372" s="4">
        <v>46060</v>
      </c>
      <c r="F372" s="4">
        <v>46073</v>
      </c>
      <c r="G372" s="4">
        <v>46082</v>
      </c>
      <c r="H372">
        <v>347</v>
      </c>
      <c r="I372" t="s">
        <v>705</v>
      </c>
      <c r="J372">
        <v>21</v>
      </c>
      <c r="K372" t="s">
        <v>1563</v>
      </c>
      <c r="L372" t="str">
        <f t="shared" si="45"/>
        <v>N</v>
      </c>
      <c r="M372" t="str">
        <f t="shared" si="46"/>
        <v>N</v>
      </c>
      <c r="N372" t="str">
        <f t="shared" si="47"/>
        <v>N</v>
      </c>
      <c r="O372">
        <f t="shared" si="48"/>
        <v>22</v>
      </c>
      <c r="P372" s="6">
        <f t="shared" si="49"/>
        <v>0.89896373056994816</v>
      </c>
      <c r="Q372" s="6">
        <f t="shared" si="50"/>
        <v>6.0518731988472622E-2</v>
      </c>
      <c r="R372">
        <f t="shared" si="51"/>
        <v>0</v>
      </c>
      <c r="S372">
        <f t="shared" si="52"/>
        <v>9</v>
      </c>
      <c r="T372">
        <f t="shared" si="53"/>
        <v>4500</v>
      </c>
    </row>
    <row r="373" spans="1:20">
      <c r="A373" t="s">
        <v>706</v>
      </c>
      <c r="B373" t="s">
        <v>49</v>
      </c>
      <c r="C373" t="s">
        <v>23</v>
      </c>
      <c r="D373">
        <v>569</v>
      </c>
      <c r="E373" s="4">
        <v>46038</v>
      </c>
      <c r="F373" s="4">
        <v>46045</v>
      </c>
      <c r="G373" s="4">
        <v>46043</v>
      </c>
      <c r="H373">
        <v>573</v>
      </c>
      <c r="I373" t="s">
        <v>707</v>
      </c>
      <c r="J373">
        <v>5</v>
      </c>
      <c r="K373" t="s">
        <v>1563</v>
      </c>
      <c r="L373" t="str">
        <f t="shared" si="45"/>
        <v>Y</v>
      </c>
      <c r="M373" t="str">
        <f t="shared" si="46"/>
        <v>Y</v>
      </c>
      <c r="N373" t="str">
        <f t="shared" si="47"/>
        <v>Y</v>
      </c>
      <c r="O373">
        <f t="shared" si="48"/>
        <v>5</v>
      </c>
      <c r="P373" s="6">
        <f t="shared" si="49"/>
        <v>1.0070298769771528</v>
      </c>
      <c r="Q373" s="6">
        <f t="shared" si="50"/>
        <v>8.7260034904013961E-3</v>
      </c>
      <c r="R373">
        <f t="shared" si="51"/>
        <v>1</v>
      </c>
      <c r="S373">
        <f t="shared" si="52"/>
        <v>0</v>
      </c>
      <c r="T373">
        <f t="shared" si="53"/>
        <v>0</v>
      </c>
    </row>
    <row r="374" spans="1:20">
      <c r="A374" t="s">
        <v>708</v>
      </c>
      <c r="B374" t="s">
        <v>19</v>
      </c>
      <c r="C374" t="s">
        <v>16</v>
      </c>
      <c r="D374">
        <v>582</v>
      </c>
      <c r="E374" s="4">
        <v>46135</v>
      </c>
      <c r="F374" s="4">
        <v>46146</v>
      </c>
      <c r="G374" s="4">
        <v>46146</v>
      </c>
      <c r="H374">
        <v>572</v>
      </c>
      <c r="I374" t="s">
        <v>594</v>
      </c>
      <c r="J374">
        <v>19</v>
      </c>
      <c r="K374" t="s">
        <v>1563</v>
      </c>
      <c r="L374" t="str">
        <f t="shared" si="45"/>
        <v>Y</v>
      </c>
      <c r="M374" t="str">
        <f t="shared" si="46"/>
        <v>Y</v>
      </c>
      <c r="N374" t="str">
        <f t="shared" si="47"/>
        <v>Y</v>
      </c>
      <c r="O374">
        <f t="shared" si="48"/>
        <v>11</v>
      </c>
      <c r="P374" s="6">
        <f t="shared" si="49"/>
        <v>0.98281786941580751</v>
      </c>
      <c r="Q374" s="6">
        <f t="shared" si="50"/>
        <v>3.3216783216783216E-2</v>
      </c>
      <c r="R374">
        <f t="shared" si="51"/>
        <v>1</v>
      </c>
      <c r="S374">
        <f t="shared" si="52"/>
        <v>0</v>
      </c>
      <c r="T374">
        <f t="shared" si="53"/>
        <v>0</v>
      </c>
    </row>
    <row r="375" spans="1:20">
      <c r="A375" t="s">
        <v>709</v>
      </c>
      <c r="B375" t="s">
        <v>19</v>
      </c>
      <c r="C375" t="s">
        <v>12</v>
      </c>
      <c r="D375">
        <v>686</v>
      </c>
      <c r="E375" s="4">
        <v>46134</v>
      </c>
      <c r="F375" s="4">
        <v>46149</v>
      </c>
      <c r="G375" s="4">
        <v>46149</v>
      </c>
      <c r="H375">
        <v>680</v>
      </c>
      <c r="I375" t="s">
        <v>403</v>
      </c>
      <c r="J375">
        <v>20</v>
      </c>
      <c r="K375" t="s">
        <v>1563</v>
      </c>
      <c r="L375" t="str">
        <f t="shared" si="45"/>
        <v>Y</v>
      </c>
      <c r="M375" t="str">
        <f t="shared" si="46"/>
        <v>Y</v>
      </c>
      <c r="N375" t="str">
        <f t="shared" si="47"/>
        <v>Y</v>
      </c>
      <c r="O375">
        <f t="shared" si="48"/>
        <v>15</v>
      </c>
      <c r="P375" s="6">
        <f t="shared" si="49"/>
        <v>0.99125364431486884</v>
      </c>
      <c r="Q375" s="6">
        <f t="shared" si="50"/>
        <v>2.9411764705882353E-2</v>
      </c>
      <c r="R375">
        <f t="shared" si="51"/>
        <v>1</v>
      </c>
      <c r="S375">
        <f t="shared" si="52"/>
        <v>0</v>
      </c>
      <c r="T375">
        <f t="shared" si="53"/>
        <v>0</v>
      </c>
    </row>
    <row r="376" spans="1:20">
      <c r="A376" t="s">
        <v>710</v>
      </c>
      <c r="B376" t="s">
        <v>81</v>
      </c>
      <c r="C376" t="s">
        <v>12</v>
      </c>
      <c r="D376">
        <v>150</v>
      </c>
      <c r="E376" s="4">
        <v>46110</v>
      </c>
      <c r="F376" s="4">
        <v>46122</v>
      </c>
      <c r="G376" s="4">
        <v>46122</v>
      </c>
      <c r="H376">
        <v>149</v>
      </c>
      <c r="I376" t="s">
        <v>711</v>
      </c>
      <c r="J376">
        <v>2</v>
      </c>
      <c r="K376" t="s">
        <v>1563</v>
      </c>
      <c r="L376" t="str">
        <f t="shared" si="45"/>
        <v>Y</v>
      </c>
      <c r="M376" t="str">
        <f t="shared" si="46"/>
        <v>Y</v>
      </c>
      <c r="N376" t="str">
        <f t="shared" si="47"/>
        <v>Y</v>
      </c>
      <c r="O376">
        <f t="shared" si="48"/>
        <v>12</v>
      </c>
      <c r="P376" s="6">
        <f t="shared" si="49"/>
        <v>0.99333333333333329</v>
      </c>
      <c r="Q376" s="6">
        <f t="shared" si="50"/>
        <v>1.3422818791946308E-2</v>
      </c>
      <c r="R376">
        <f t="shared" si="51"/>
        <v>1</v>
      </c>
      <c r="S376">
        <f t="shared" si="52"/>
        <v>0</v>
      </c>
      <c r="T376">
        <f t="shared" si="53"/>
        <v>0</v>
      </c>
    </row>
    <row r="377" spans="1:20">
      <c r="A377" t="s">
        <v>712</v>
      </c>
      <c r="B377" t="s">
        <v>120</v>
      </c>
      <c r="C377" t="s">
        <v>12</v>
      </c>
      <c r="D377">
        <v>187</v>
      </c>
      <c r="E377" s="4">
        <v>46049</v>
      </c>
      <c r="F377" s="4">
        <v>46060</v>
      </c>
      <c r="G377" s="4">
        <v>46060</v>
      </c>
      <c r="H377">
        <v>184</v>
      </c>
      <c r="I377" t="s">
        <v>714</v>
      </c>
      <c r="J377">
        <v>7</v>
      </c>
      <c r="K377" t="s">
        <v>1563</v>
      </c>
      <c r="L377" t="str">
        <f t="shared" si="45"/>
        <v>Y</v>
      </c>
      <c r="M377" t="str">
        <f t="shared" si="46"/>
        <v>Y</v>
      </c>
      <c r="N377" t="str">
        <f t="shared" si="47"/>
        <v>Y</v>
      </c>
      <c r="O377">
        <f t="shared" si="48"/>
        <v>11</v>
      </c>
      <c r="P377" s="6">
        <f t="shared" si="49"/>
        <v>0.98395721925133695</v>
      </c>
      <c r="Q377" s="6">
        <f t="shared" si="50"/>
        <v>3.8043478260869568E-2</v>
      </c>
      <c r="R377">
        <f t="shared" si="51"/>
        <v>1</v>
      </c>
      <c r="S377">
        <f t="shared" si="52"/>
        <v>0</v>
      </c>
      <c r="T377">
        <f t="shared" si="53"/>
        <v>0</v>
      </c>
    </row>
    <row r="378" spans="1:20">
      <c r="A378" t="s">
        <v>715</v>
      </c>
      <c r="B378" t="s">
        <v>35</v>
      </c>
      <c r="C378" t="s">
        <v>16</v>
      </c>
      <c r="D378">
        <v>805</v>
      </c>
      <c r="E378" s="4">
        <v>46130</v>
      </c>
      <c r="F378" s="4">
        <v>46140</v>
      </c>
      <c r="G378" s="4">
        <v>46137</v>
      </c>
      <c r="H378">
        <v>794</v>
      </c>
      <c r="I378" t="s">
        <v>716</v>
      </c>
      <c r="J378">
        <v>1</v>
      </c>
      <c r="K378" t="s">
        <v>1563</v>
      </c>
      <c r="L378" t="str">
        <f t="shared" si="45"/>
        <v>Y</v>
      </c>
      <c r="M378" t="str">
        <f t="shared" si="46"/>
        <v>Y</v>
      </c>
      <c r="N378" t="str">
        <f t="shared" si="47"/>
        <v>Y</v>
      </c>
      <c r="O378">
        <f t="shared" si="48"/>
        <v>7</v>
      </c>
      <c r="P378" s="6">
        <f t="shared" si="49"/>
        <v>0.98633540372670803</v>
      </c>
      <c r="Q378" s="6">
        <f t="shared" si="50"/>
        <v>1.2594458438287153E-3</v>
      </c>
      <c r="R378">
        <f t="shared" si="51"/>
        <v>1</v>
      </c>
      <c r="S378">
        <f t="shared" si="52"/>
        <v>0</v>
      </c>
      <c r="T378">
        <f t="shared" si="53"/>
        <v>0</v>
      </c>
    </row>
    <row r="379" spans="1:20">
      <c r="A379" t="s">
        <v>717</v>
      </c>
      <c r="B379" t="s">
        <v>26</v>
      </c>
      <c r="C379" t="s">
        <v>12</v>
      </c>
      <c r="D379">
        <v>894</v>
      </c>
      <c r="E379" s="4">
        <v>46088</v>
      </c>
      <c r="F379" s="4">
        <v>46097</v>
      </c>
      <c r="G379" s="4">
        <v>46094</v>
      </c>
      <c r="H379">
        <v>881</v>
      </c>
      <c r="I379" t="s">
        <v>379</v>
      </c>
      <c r="J379">
        <v>4</v>
      </c>
      <c r="K379" t="s">
        <v>1563</v>
      </c>
      <c r="L379" t="str">
        <f t="shared" si="45"/>
        <v>Y</v>
      </c>
      <c r="M379" t="str">
        <f t="shared" si="46"/>
        <v>Y</v>
      </c>
      <c r="N379" t="str">
        <f t="shared" si="47"/>
        <v>Y</v>
      </c>
      <c r="O379">
        <f t="shared" si="48"/>
        <v>6</v>
      </c>
      <c r="P379" s="6">
        <f t="shared" si="49"/>
        <v>0.9854586129753915</v>
      </c>
      <c r="Q379" s="6">
        <f t="shared" si="50"/>
        <v>4.5402951191827468E-3</v>
      </c>
      <c r="R379">
        <f t="shared" si="51"/>
        <v>1</v>
      </c>
      <c r="S379">
        <f t="shared" si="52"/>
        <v>0</v>
      </c>
      <c r="T379">
        <f t="shared" si="53"/>
        <v>0</v>
      </c>
    </row>
    <row r="380" spans="1:20">
      <c r="A380" t="s">
        <v>718</v>
      </c>
      <c r="B380" t="s">
        <v>29</v>
      </c>
      <c r="C380" t="s">
        <v>16</v>
      </c>
      <c r="D380">
        <v>340</v>
      </c>
      <c r="E380" s="4">
        <v>46122</v>
      </c>
      <c r="F380" s="4">
        <v>46136</v>
      </c>
      <c r="G380" s="4">
        <v>46136</v>
      </c>
      <c r="H380">
        <v>313</v>
      </c>
      <c r="I380" t="s">
        <v>268</v>
      </c>
      <c r="J380">
        <v>2</v>
      </c>
      <c r="K380" t="s">
        <v>1563</v>
      </c>
      <c r="L380" t="str">
        <f t="shared" si="45"/>
        <v>Y</v>
      </c>
      <c r="M380" t="str">
        <f t="shared" si="46"/>
        <v>N</v>
      </c>
      <c r="N380" t="str">
        <f t="shared" si="47"/>
        <v>N</v>
      </c>
      <c r="O380">
        <f t="shared" si="48"/>
        <v>14</v>
      </c>
      <c r="P380" s="6">
        <f t="shared" si="49"/>
        <v>0.9205882352941176</v>
      </c>
      <c r="Q380" s="6">
        <f t="shared" si="50"/>
        <v>6.3897763578274758E-3</v>
      </c>
      <c r="R380">
        <f t="shared" si="51"/>
        <v>0</v>
      </c>
      <c r="S380">
        <f t="shared" si="52"/>
        <v>0</v>
      </c>
      <c r="T380">
        <f t="shared" si="53"/>
        <v>0</v>
      </c>
    </row>
    <row r="381" spans="1:20">
      <c r="A381" t="s">
        <v>719</v>
      </c>
      <c r="B381" t="s">
        <v>54</v>
      </c>
      <c r="C381" t="s">
        <v>12</v>
      </c>
      <c r="D381">
        <v>820</v>
      </c>
      <c r="E381" s="4">
        <v>46135</v>
      </c>
      <c r="F381" s="4">
        <v>46145</v>
      </c>
      <c r="G381" s="4">
        <v>46142</v>
      </c>
      <c r="H381">
        <v>677</v>
      </c>
      <c r="I381" t="s">
        <v>101</v>
      </c>
      <c r="J381">
        <v>4</v>
      </c>
      <c r="K381" t="s">
        <v>1563</v>
      </c>
      <c r="L381" t="str">
        <f t="shared" si="45"/>
        <v>Y</v>
      </c>
      <c r="M381" t="str">
        <f t="shared" si="46"/>
        <v>N</v>
      </c>
      <c r="N381" t="str">
        <f t="shared" si="47"/>
        <v>N</v>
      </c>
      <c r="O381">
        <f t="shared" si="48"/>
        <v>7</v>
      </c>
      <c r="P381" s="6">
        <f t="shared" si="49"/>
        <v>0.82560975609756093</v>
      </c>
      <c r="Q381" s="6">
        <f t="shared" si="50"/>
        <v>5.9084194977843431E-3</v>
      </c>
      <c r="R381">
        <f t="shared" si="51"/>
        <v>0</v>
      </c>
      <c r="S381">
        <f t="shared" si="52"/>
        <v>0</v>
      </c>
      <c r="T381">
        <f t="shared" si="53"/>
        <v>0</v>
      </c>
    </row>
    <row r="382" spans="1:20">
      <c r="A382" t="s">
        <v>720</v>
      </c>
      <c r="B382" t="s">
        <v>64</v>
      </c>
      <c r="C382" t="s">
        <v>12</v>
      </c>
      <c r="D382">
        <v>767</v>
      </c>
      <c r="E382" s="4">
        <v>46105</v>
      </c>
      <c r="F382" s="4">
        <v>46118</v>
      </c>
      <c r="G382" s="4">
        <v>46127</v>
      </c>
      <c r="H382">
        <v>776</v>
      </c>
      <c r="I382" t="s">
        <v>664</v>
      </c>
      <c r="J382">
        <v>17</v>
      </c>
      <c r="K382" t="s">
        <v>1563</v>
      </c>
      <c r="L382" t="str">
        <f t="shared" si="45"/>
        <v>N</v>
      </c>
      <c r="M382" t="str">
        <f t="shared" si="46"/>
        <v>Y</v>
      </c>
      <c r="N382" t="str">
        <f t="shared" si="47"/>
        <v>N</v>
      </c>
      <c r="O382">
        <f t="shared" si="48"/>
        <v>22</v>
      </c>
      <c r="P382" s="6">
        <f t="shared" si="49"/>
        <v>1.0117340286831813</v>
      </c>
      <c r="Q382" s="6">
        <f t="shared" si="50"/>
        <v>2.1907216494845359E-2</v>
      </c>
      <c r="R382">
        <f t="shared" si="51"/>
        <v>0</v>
      </c>
      <c r="S382">
        <f t="shared" si="52"/>
        <v>9</v>
      </c>
      <c r="T382">
        <f t="shared" si="53"/>
        <v>4500</v>
      </c>
    </row>
    <row r="383" spans="1:20">
      <c r="A383" t="s">
        <v>721</v>
      </c>
      <c r="B383" t="s">
        <v>49</v>
      </c>
      <c r="C383" t="s">
        <v>16</v>
      </c>
      <c r="D383">
        <v>571</v>
      </c>
      <c r="E383" s="4">
        <v>46035</v>
      </c>
      <c r="F383" s="4">
        <v>46049</v>
      </c>
      <c r="G383" s="4">
        <v>46047</v>
      </c>
      <c r="H383">
        <v>525</v>
      </c>
      <c r="I383" t="s">
        <v>722</v>
      </c>
      <c r="J383">
        <v>1</v>
      </c>
      <c r="K383" t="s">
        <v>1563</v>
      </c>
      <c r="L383" t="str">
        <f t="shared" si="45"/>
        <v>Y</v>
      </c>
      <c r="M383" t="str">
        <f t="shared" si="46"/>
        <v>N</v>
      </c>
      <c r="N383" t="str">
        <f t="shared" si="47"/>
        <v>N</v>
      </c>
      <c r="O383">
        <f t="shared" si="48"/>
        <v>12</v>
      </c>
      <c r="P383" s="6">
        <f t="shared" si="49"/>
        <v>0.91943957968476353</v>
      </c>
      <c r="Q383" s="6">
        <f t="shared" si="50"/>
        <v>1.9047619047619048E-3</v>
      </c>
      <c r="R383">
        <f t="shared" si="51"/>
        <v>0</v>
      </c>
      <c r="S383">
        <f t="shared" si="52"/>
        <v>0</v>
      </c>
      <c r="T383">
        <f t="shared" si="53"/>
        <v>0</v>
      </c>
    </row>
    <row r="384" spans="1:20">
      <c r="A384" t="s">
        <v>723</v>
      </c>
      <c r="B384" t="s">
        <v>49</v>
      </c>
      <c r="C384" t="s">
        <v>16</v>
      </c>
      <c r="D384">
        <v>411</v>
      </c>
      <c r="E384" s="4">
        <v>46056</v>
      </c>
      <c r="F384" s="4">
        <v>46071</v>
      </c>
      <c r="G384" s="4">
        <v>46070</v>
      </c>
      <c r="H384">
        <v>414</v>
      </c>
      <c r="I384" t="s">
        <v>395</v>
      </c>
      <c r="J384">
        <v>6</v>
      </c>
      <c r="K384" t="s">
        <v>1563</v>
      </c>
      <c r="L384" t="str">
        <f t="shared" si="45"/>
        <v>Y</v>
      </c>
      <c r="M384" t="str">
        <f t="shared" si="46"/>
        <v>Y</v>
      </c>
      <c r="N384" t="str">
        <f t="shared" si="47"/>
        <v>Y</v>
      </c>
      <c r="O384">
        <f t="shared" si="48"/>
        <v>14</v>
      </c>
      <c r="P384" s="6">
        <f t="shared" si="49"/>
        <v>1.0072992700729928</v>
      </c>
      <c r="Q384" s="6">
        <f t="shared" si="50"/>
        <v>1.4492753623188406E-2</v>
      </c>
      <c r="R384">
        <f t="shared" si="51"/>
        <v>1</v>
      </c>
      <c r="S384">
        <f t="shared" si="52"/>
        <v>0</v>
      </c>
      <c r="T384">
        <f t="shared" si="53"/>
        <v>0</v>
      </c>
    </row>
    <row r="385" spans="1:20">
      <c r="A385" t="s">
        <v>724</v>
      </c>
      <c r="B385" t="s">
        <v>26</v>
      </c>
      <c r="C385" t="s">
        <v>12</v>
      </c>
      <c r="D385">
        <v>233</v>
      </c>
      <c r="E385" s="4">
        <v>46035</v>
      </c>
      <c r="F385" s="4">
        <v>46048</v>
      </c>
      <c r="G385" s="4">
        <v>46048</v>
      </c>
      <c r="H385">
        <v>208</v>
      </c>
      <c r="I385" t="s">
        <v>670</v>
      </c>
      <c r="J385">
        <v>5</v>
      </c>
      <c r="K385" t="s">
        <v>1563</v>
      </c>
      <c r="L385" t="str">
        <f t="shared" si="45"/>
        <v>Y</v>
      </c>
      <c r="M385" t="str">
        <f t="shared" si="46"/>
        <v>N</v>
      </c>
      <c r="N385" t="str">
        <f t="shared" si="47"/>
        <v>N</v>
      </c>
      <c r="O385">
        <f t="shared" si="48"/>
        <v>13</v>
      </c>
      <c r="P385" s="6">
        <f t="shared" si="49"/>
        <v>0.89270386266094426</v>
      </c>
      <c r="Q385" s="6">
        <f t="shared" si="50"/>
        <v>2.403846153846154E-2</v>
      </c>
      <c r="R385">
        <f t="shared" si="51"/>
        <v>0</v>
      </c>
      <c r="S385">
        <f t="shared" si="52"/>
        <v>0</v>
      </c>
      <c r="T385">
        <f t="shared" si="53"/>
        <v>0</v>
      </c>
    </row>
    <row r="386" spans="1:20">
      <c r="A386" t="s">
        <v>725</v>
      </c>
      <c r="B386" t="s">
        <v>67</v>
      </c>
      <c r="C386" t="s">
        <v>23</v>
      </c>
      <c r="D386">
        <v>93</v>
      </c>
      <c r="E386" s="4">
        <v>46145</v>
      </c>
      <c r="F386" s="4">
        <v>46159</v>
      </c>
      <c r="G386" s="4">
        <v>46159</v>
      </c>
      <c r="H386">
        <v>93</v>
      </c>
      <c r="I386" t="s">
        <v>726</v>
      </c>
      <c r="J386">
        <v>0</v>
      </c>
      <c r="K386" t="s">
        <v>1563</v>
      </c>
      <c r="L386" t="str">
        <f t="shared" ref="L386:L449" si="54">IF(G386="","N/A",IF(G386&lt;=F386,"Y","N"))</f>
        <v>Y</v>
      </c>
      <c r="M386" t="str">
        <f t="shared" ref="M386:M449" si="55">IF(H386="","N/A",IF(H386&gt;=D386*0.98,"Y","N"))</f>
        <v>Y</v>
      </c>
      <c r="N386" t="str">
        <f t="shared" ref="N386:N449" si="56">IF(OR(L386="N/A",M386="N/A"),"N/A",IF(AND(L386="Y",M386="Y"),"Y","N"))</f>
        <v>Y</v>
      </c>
      <c r="O386">
        <f t="shared" ref="O386:O449" si="57">IF(G386="","N/A",G386-E386)</f>
        <v>14</v>
      </c>
      <c r="P386" s="6">
        <f t="shared" ref="P386:P449" si="58">IF(H386="","N/A",H386/D386)</f>
        <v>1</v>
      </c>
      <c r="Q386" s="6">
        <f t="shared" ref="Q386:Q449" si="59">IF(H386="","N/A",IF(H386=0,0,J386/H386))</f>
        <v>0</v>
      </c>
      <c r="R386">
        <f t="shared" ref="R386:R449" si="60">IF(N386="Y",1,IF(N386="N",0,""))</f>
        <v>1</v>
      </c>
      <c r="S386">
        <f t="shared" ref="S386:S449" si="61">IF(G386="","N/A",MAX(G386-F386,0))</f>
        <v>0</v>
      </c>
      <c r="T386">
        <f t="shared" ref="T386:T449" si="62">IF(S386="N/A",0,S386*500)</f>
        <v>0</v>
      </c>
    </row>
    <row r="387" spans="1:20">
      <c r="A387" t="s">
        <v>727</v>
      </c>
      <c r="B387" t="s">
        <v>40</v>
      </c>
      <c r="C387" t="s">
        <v>23</v>
      </c>
      <c r="D387">
        <v>961</v>
      </c>
      <c r="E387" s="4">
        <v>46060</v>
      </c>
      <c r="F387" s="4">
        <v>46071</v>
      </c>
      <c r="G387" s="4">
        <v>46079</v>
      </c>
      <c r="H387">
        <v>945</v>
      </c>
      <c r="I387" t="s">
        <v>728</v>
      </c>
      <c r="J387">
        <v>42</v>
      </c>
      <c r="K387" t="s">
        <v>1563</v>
      </c>
      <c r="L387" t="str">
        <f t="shared" si="54"/>
        <v>N</v>
      </c>
      <c r="M387" t="str">
        <f t="shared" si="55"/>
        <v>Y</v>
      </c>
      <c r="N387" t="str">
        <f t="shared" si="56"/>
        <v>N</v>
      </c>
      <c r="O387">
        <f t="shared" si="57"/>
        <v>19</v>
      </c>
      <c r="P387" s="6">
        <f t="shared" si="58"/>
        <v>0.98335067637877216</v>
      </c>
      <c r="Q387" s="6">
        <f t="shared" si="59"/>
        <v>4.4444444444444446E-2</v>
      </c>
      <c r="R387">
        <f t="shared" si="60"/>
        <v>0</v>
      </c>
      <c r="S387">
        <f t="shared" si="61"/>
        <v>8</v>
      </c>
      <c r="T387">
        <f t="shared" si="62"/>
        <v>4000</v>
      </c>
    </row>
    <row r="388" spans="1:20">
      <c r="A388" t="s">
        <v>729</v>
      </c>
      <c r="B388" t="s">
        <v>177</v>
      </c>
      <c r="C388" t="s">
        <v>16</v>
      </c>
      <c r="D388">
        <v>125</v>
      </c>
      <c r="E388" s="4">
        <v>46052</v>
      </c>
      <c r="F388" s="4">
        <v>46064</v>
      </c>
      <c r="G388" s="4">
        <v>46062</v>
      </c>
      <c r="H388">
        <v>127</v>
      </c>
      <c r="I388" t="s">
        <v>235</v>
      </c>
      <c r="J388">
        <v>1</v>
      </c>
      <c r="K388" t="s">
        <v>1563</v>
      </c>
      <c r="L388" t="str">
        <f t="shared" si="54"/>
        <v>Y</v>
      </c>
      <c r="M388" t="str">
        <f t="shared" si="55"/>
        <v>Y</v>
      </c>
      <c r="N388" t="str">
        <f t="shared" si="56"/>
        <v>Y</v>
      </c>
      <c r="O388">
        <f t="shared" si="57"/>
        <v>10</v>
      </c>
      <c r="P388" s="6">
        <f t="shared" si="58"/>
        <v>1.016</v>
      </c>
      <c r="Q388" s="6">
        <f t="shared" si="59"/>
        <v>7.874015748031496E-3</v>
      </c>
      <c r="R388">
        <f t="shared" si="60"/>
        <v>1</v>
      </c>
      <c r="S388">
        <f t="shared" si="61"/>
        <v>0</v>
      </c>
      <c r="T388">
        <f t="shared" si="62"/>
        <v>0</v>
      </c>
    </row>
    <row r="389" spans="1:20">
      <c r="A389" t="s">
        <v>730</v>
      </c>
      <c r="B389" t="s">
        <v>46</v>
      </c>
      <c r="C389" t="s">
        <v>12</v>
      </c>
      <c r="D389">
        <v>653</v>
      </c>
      <c r="E389" s="4">
        <v>46084</v>
      </c>
      <c r="F389" s="4">
        <v>46097</v>
      </c>
      <c r="G389" s="4">
        <v>46094</v>
      </c>
      <c r="H389">
        <v>652</v>
      </c>
      <c r="I389" t="s">
        <v>731</v>
      </c>
      <c r="J389">
        <v>18</v>
      </c>
      <c r="K389" t="s">
        <v>1563</v>
      </c>
      <c r="L389" t="str">
        <f t="shared" si="54"/>
        <v>Y</v>
      </c>
      <c r="M389" t="str">
        <f t="shared" si="55"/>
        <v>Y</v>
      </c>
      <c r="N389" t="str">
        <f t="shared" si="56"/>
        <v>Y</v>
      </c>
      <c r="O389">
        <f t="shared" si="57"/>
        <v>10</v>
      </c>
      <c r="P389" s="6">
        <f t="shared" si="58"/>
        <v>0.99846860643185298</v>
      </c>
      <c r="Q389" s="6">
        <f t="shared" si="59"/>
        <v>2.7607361963190184E-2</v>
      </c>
      <c r="R389">
        <f t="shared" si="60"/>
        <v>1</v>
      </c>
      <c r="S389">
        <f t="shared" si="61"/>
        <v>0</v>
      </c>
      <c r="T389">
        <f t="shared" si="62"/>
        <v>0</v>
      </c>
    </row>
    <row r="390" spans="1:20">
      <c r="A390" t="s">
        <v>732</v>
      </c>
      <c r="B390" t="s">
        <v>54</v>
      </c>
      <c r="C390" t="s">
        <v>16</v>
      </c>
      <c r="D390">
        <v>529</v>
      </c>
      <c r="E390" s="4">
        <v>46128</v>
      </c>
      <c r="F390" s="4">
        <v>46134</v>
      </c>
      <c r="G390" s="4">
        <v>46134</v>
      </c>
      <c r="H390">
        <v>523</v>
      </c>
      <c r="I390" t="s">
        <v>79</v>
      </c>
      <c r="J390">
        <v>4</v>
      </c>
      <c r="K390" t="s">
        <v>1563</v>
      </c>
      <c r="L390" t="str">
        <f t="shared" si="54"/>
        <v>Y</v>
      </c>
      <c r="M390" t="str">
        <f t="shared" si="55"/>
        <v>Y</v>
      </c>
      <c r="N390" t="str">
        <f t="shared" si="56"/>
        <v>Y</v>
      </c>
      <c r="O390">
        <f t="shared" si="57"/>
        <v>6</v>
      </c>
      <c r="P390" s="6">
        <f t="shared" si="58"/>
        <v>0.98865784499054821</v>
      </c>
      <c r="Q390" s="6">
        <f t="shared" si="59"/>
        <v>7.6481835564053535E-3</v>
      </c>
      <c r="R390">
        <f t="shared" si="60"/>
        <v>1</v>
      </c>
      <c r="S390">
        <f t="shared" si="61"/>
        <v>0</v>
      </c>
      <c r="T390">
        <f t="shared" si="62"/>
        <v>0</v>
      </c>
    </row>
    <row r="391" spans="1:20">
      <c r="A391" t="s">
        <v>733</v>
      </c>
      <c r="B391" t="s">
        <v>19</v>
      </c>
      <c r="C391" t="s">
        <v>12</v>
      </c>
      <c r="D391">
        <v>513</v>
      </c>
      <c r="E391" s="4">
        <v>46086</v>
      </c>
      <c r="F391" s="4">
        <v>46097</v>
      </c>
      <c r="G391" s="4">
        <v>46096</v>
      </c>
      <c r="H391">
        <v>504</v>
      </c>
      <c r="I391" t="s">
        <v>734</v>
      </c>
      <c r="J391">
        <v>18</v>
      </c>
      <c r="K391" t="s">
        <v>1563</v>
      </c>
      <c r="L391" t="str">
        <f t="shared" si="54"/>
        <v>Y</v>
      </c>
      <c r="M391" t="str">
        <f t="shared" si="55"/>
        <v>Y</v>
      </c>
      <c r="N391" t="str">
        <f t="shared" si="56"/>
        <v>Y</v>
      </c>
      <c r="O391">
        <f t="shared" si="57"/>
        <v>10</v>
      </c>
      <c r="P391" s="6">
        <f t="shared" si="58"/>
        <v>0.98245614035087714</v>
      </c>
      <c r="Q391" s="6">
        <f t="shared" si="59"/>
        <v>3.5714285714285712E-2</v>
      </c>
      <c r="R391">
        <f t="shared" si="60"/>
        <v>1</v>
      </c>
      <c r="S391">
        <f t="shared" si="61"/>
        <v>0</v>
      </c>
      <c r="T391">
        <f t="shared" si="62"/>
        <v>0</v>
      </c>
    </row>
    <row r="392" spans="1:20">
      <c r="A392" t="s">
        <v>735</v>
      </c>
      <c r="B392" t="s">
        <v>67</v>
      </c>
      <c r="C392" t="s">
        <v>16</v>
      </c>
      <c r="D392">
        <v>187</v>
      </c>
      <c r="E392" s="4">
        <v>46057</v>
      </c>
      <c r="F392" s="4">
        <v>46067</v>
      </c>
      <c r="G392" s="4">
        <v>46065</v>
      </c>
      <c r="H392">
        <v>189</v>
      </c>
      <c r="I392" t="s">
        <v>737</v>
      </c>
      <c r="J392">
        <v>1</v>
      </c>
      <c r="K392" t="s">
        <v>1563</v>
      </c>
      <c r="L392" t="str">
        <f t="shared" si="54"/>
        <v>Y</v>
      </c>
      <c r="M392" t="str">
        <f t="shared" si="55"/>
        <v>Y</v>
      </c>
      <c r="N392" t="str">
        <f t="shared" si="56"/>
        <v>Y</v>
      </c>
      <c r="O392">
        <f t="shared" si="57"/>
        <v>8</v>
      </c>
      <c r="P392" s="6">
        <f t="shared" si="58"/>
        <v>1.0106951871657754</v>
      </c>
      <c r="Q392" s="6">
        <f t="shared" si="59"/>
        <v>5.2910052910052907E-3</v>
      </c>
      <c r="R392">
        <f t="shared" si="60"/>
        <v>1</v>
      </c>
      <c r="S392">
        <f t="shared" si="61"/>
        <v>0</v>
      </c>
      <c r="T392">
        <f t="shared" si="62"/>
        <v>0</v>
      </c>
    </row>
    <row r="393" spans="1:20">
      <c r="A393" t="s">
        <v>738</v>
      </c>
      <c r="B393" t="s">
        <v>52</v>
      </c>
      <c r="C393" t="s">
        <v>23</v>
      </c>
      <c r="D393">
        <v>309</v>
      </c>
      <c r="E393" s="4">
        <v>46036</v>
      </c>
      <c r="F393" s="4">
        <v>46042</v>
      </c>
      <c r="G393" s="4">
        <v>46048</v>
      </c>
      <c r="H393">
        <v>306</v>
      </c>
      <c r="I393" t="s">
        <v>739</v>
      </c>
      <c r="J393">
        <v>4</v>
      </c>
      <c r="K393" t="s">
        <v>1563</v>
      </c>
      <c r="L393" t="str">
        <f t="shared" si="54"/>
        <v>N</v>
      </c>
      <c r="M393" t="str">
        <f t="shared" si="55"/>
        <v>Y</v>
      </c>
      <c r="N393" t="str">
        <f t="shared" si="56"/>
        <v>N</v>
      </c>
      <c r="O393">
        <f t="shared" si="57"/>
        <v>12</v>
      </c>
      <c r="P393" s="6">
        <f t="shared" si="58"/>
        <v>0.99029126213592233</v>
      </c>
      <c r="Q393" s="6">
        <f t="shared" si="59"/>
        <v>1.3071895424836602E-2</v>
      </c>
      <c r="R393">
        <f t="shared" si="60"/>
        <v>0</v>
      </c>
      <c r="S393">
        <f t="shared" si="61"/>
        <v>6</v>
      </c>
      <c r="T393">
        <f t="shared" si="62"/>
        <v>3000</v>
      </c>
    </row>
    <row r="394" spans="1:20">
      <c r="A394" t="s">
        <v>740</v>
      </c>
      <c r="B394" t="s">
        <v>54</v>
      </c>
      <c r="C394" t="s">
        <v>12</v>
      </c>
      <c r="D394">
        <v>461</v>
      </c>
      <c r="E394" s="4">
        <v>46173</v>
      </c>
      <c r="F394" s="4">
        <v>46188</v>
      </c>
      <c r="G394" s="4">
        <v>46188</v>
      </c>
      <c r="H394">
        <v>465</v>
      </c>
      <c r="I394" t="s">
        <v>30</v>
      </c>
      <c r="J394">
        <v>1</v>
      </c>
      <c r="K394" t="s">
        <v>1563</v>
      </c>
      <c r="L394" t="str">
        <f t="shared" si="54"/>
        <v>Y</v>
      </c>
      <c r="M394" t="str">
        <f t="shared" si="55"/>
        <v>Y</v>
      </c>
      <c r="N394" t="str">
        <f t="shared" si="56"/>
        <v>Y</v>
      </c>
      <c r="O394">
        <f t="shared" si="57"/>
        <v>15</v>
      </c>
      <c r="P394" s="6">
        <f t="shared" si="58"/>
        <v>1.0086767895878526</v>
      </c>
      <c r="Q394" s="6">
        <f t="shared" si="59"/>
        <v>2.1505376344086021E-3</v>
      </c>
      <c r="R394">
        <f t="shared" si="60"/>
        <v>1</v>
      </c>
      <c r="S394">
        <f t="shared" si="61"/>
        <v>0</v>
      </c>
      <c r="T394">
        <f t="shared" si="62"/>
        <v>0</v>
      </c>
    </row>
    <row r="395" spans="1:20">
      <c r="A395" t="s">
        <v>741</v>
      </c>
      <c r="B395" t="s">
        <v>19</v>
      </c>
      <c r="C395" t="s">
        <v>23</v>
      </c>
      <c r="D395">
        <v>927</v>
      </c>
      <c r="E395" s="4">
        <v>46160</v>
      </c>
      <c r="F395" s="4">
        <v>46167</v>
      </c>
      <c r="G395" s="4">
        <v>46165</v>
      </c>
      <c r="H395">
        <v>805</v>
      </c>
      <c r="I395" t="s">
        <v>742</v>
      </c>
      <c r="J395">
        <v>8</v>
      </c>
      <c r="K395" t="s">
        <v>1563</v>
      </c>
      <c r="L395" t="str">
        <f t="shared" si="54"/>
        <v>Y</v>
      </c>
      <c r="M395" t="str">
        <f t="shared" si="55"/>
        <v>N</v>
      </c>
      <c r="N395" t="str">
        <f t="shared" si="56"/>
        <v>N</v>
      </c>
      <c r="O395">
        <f t="shared" si="57"/>
        <v>5</v>
      </c>
      <c r="P395" s="6">
        <f t="shared" si="58"/>
        <v>0.86839266450916941</v>
      </c>
      <c r="Q395" s="6">
        <f t="shared" si="59"/>
        <v>9.9378881987577643E-3</v>
      </c>
      <c r="R395">
        <f t="shared" si="60"/>
        <v>0</v>
      </c>
      <c r="S395">
        <f t="shared" si="61"/>
        <v>0</v>
      </c>
      <c r="T395">
        <f t="shared" si="62"/>
        <v>0</v>
      </c>
    </row>
    <row r="396" spans="1:20">
      <c r="A396" t="s">
        <v>743</v>
      </c>
      <c r="B396" t="s">
        <v>32</v>
      </c>
      <c r="C396" t="s">
        <v>16</v>
      </c>
      <c r="D396">
        <v>833</v>
      </c>
      <c r="E396" s="4">
        <v>46110</v>
      </c>
      <c r="F396" s="4">
        <v>46122</v>
      </c>
      <c r="G396" s="4">
        <v>46120</v>
      </c>
      <c r="H396">
        <v>844</v>
      </c>
      <c r="I396" t="s">
        <v>169</v>
      </c>
      <c r="J396">
        <v>50</v>
      </c>
      <c r="K396" t="s">
        <v>1563</v>
      </c>
      <c r="L396" t="str">
        <f t="shared" si="54"/>
        <v>Y</v>
      </c>
      <c r="M396" t="str">
        <f t="shared" si="55"/>
        <v>Y</v>
      </c>
      <c r="N396" t="str">
        <f t="shared" si="56"/>
        <v>Y</v>
      </c>
      <c r="O396">
        <f t="shared" si="57"/>
        <v>10</v>
      </c>
      <c r="P396" s="6">
        <f t="shared" si="58"/>
        <v>1.0132052821128452</v>
      </c>
      <c r="Q396" s="6">
        <f t="shared" si="59"/>
        <v>5.9241706161137442E-2</v>
      </c>
      <c r="R396">
        <f t="shared" si="60"/>
        <v>1</v>
      </c>
      <c r="S396">
        <f t="shared" si="61"/>
        <v>0</v>
      </c>
      <c r="T396">
        <f t="shared" si="62"/>
        <v>0</v>
      </c>
    </row>
    <row r="397" spans="1:20">
      <c r="A397" t="s">
        <v>744</v>
      </c>
      <c r="B397" t="s">
        <v>19</v>
      </c>
      <c r="C397" t="s">
        <v>23</v>
      </c>
      <c r="D397">
        <v>461</v>
      </c>
      <c r="E397" s="4">
        <v>46166</v>
      </c>
      <c r="F397" s="4">
        <v>46181</v>
      </c>
      <c r="G397" s="4">
        <v>46185</v>
      </c>
      <c r="H397">
        <v>467</v>
      </c>
      <c r="I397" t="s">
        <v>745</v>
      </c>
      <c r="J397">
        <v>5</v>
      </c>
      <c r="K397" t="s">
        <v>1563</v>
      </c>
      <c r="L397" t="str">
        <f t="shared" si="54"/>
        <v>N</v>
      </c>
      <c r="M397" t="str">
        <f t="shared" si="55"/>
        <v>Y</v>
      </c>
      <c r="N397" t="str">
        <f t="shared" si="56"/>
        <v>N</v>
      </c>
      <c r="O397">
        <f t="shared" si="57"/>
        <v>19</v>
      </c>
      <c r="P397" s="6">
        <f t="shared" si="58"/>
        <v>1.0130151843817787</v>
      </c>
      <c r="Q397" s="6">
        <f t="shared" si="59"/>
        <v>1.0706638115631691E-2</v>
      </c>
      <c r="R397">
        <f t="shared" si="60"/>
        <v>0</v>
      </c>
      <c r="S397">
        <f t="shared" si="61"/>
        <v>4</v>
      </c>
      <c r="T397">
        <f t="shared" si="62"/>
        <v>2000</v>
      </c>
    </row>
    <row r="398" spans="1:20">
      <c r="A398" t="s">
        <v>746</v>
      </c>
      <c r="B398" t="s">
        <v>177</v>
      </c>
      <c r="C398" t="s">
        <v>16</v>
      </c>
      <c r="D398">
        <v>666</v>
      </c>
      <c r="E398" s="4">
        <v>46147</v>
      </c>
      <c r="F398" s="4">
        <v>46155</v>
      </c>
      <c r="G398" s="4">
        <v>46154</v>
      </c>
      <c r="H398">
        <v>676</v>
      </c>
      <c r="I398" t="s">
        <v>158</v>
      </c>
      <c r="J398">
        <v>37</v>
      </c>
      <c r="K398" t="s">
        <v>1563</v>
      </c>
      <c r="L398" t="str">
        <f t="shared" si="54"/>
        <v>Y</v>
      </c>
      <c r="M398" t="str">
        <f t="shared" si="55"/>
        <v>Y</v>
      </c>
      <c r="N398" t="str">
        <f t="shared" si="56"/>
        <v>Y</v>
      </c>
      <c r="O398">
        <f t="shared" si="57"/>
        <v>7</v>
      </c>
      <c r="P398" s="6">
        <f t="shared" si="58"/>
        <v>1.015015015015015</v>
      </c>
      <c r="Q398" s="6">
        <f t="shared" si="59"/>
        <v>5.473372781065089E-2</v>
      </c>
      <c r="R398">
        <f t="shared" si="60"/>
        <v>1</v>
      </c>
      <c r="S398">
        <f t="shared" si="61"/>
        <v>0</v>
      </c>
      <c r="T398">
        <f t="shared" si="62"/>
        <v>0</v>
      </c>
    </row>
    <row r="399" spans="1:20">
      <c r="A399" t="s">
        <v>747</v>
      </c>
      <c r="B399" t="s">
        <v>81</v>
      </c>
      <c r="C399" t="s">
        <v>23</v>
      </c>
      <c r="D399">
        <v>516</v>
      </c>
      <c r="E399" s="4">
        <v>46146</v>
      </c>
      <c r="F399" s="4">
        <v>46156</v>
      </c>
      <c r="G399" s="4">
        <v>46156</v>
      </c>
      <c r="H399">
        <v>417</v>
      </c>
      <c r="I399" t="s">
        <v>748</v>
      </c>
      <c r="J399">
        <v>4</v>
      </c>
      <c r="K399" t="s">
        <v>1563</v>
      </c>
      <c r="L399" t="str">
        <f t="shared" si="54"/>
        <v>Y</v>
      </c>
      <c r="M399" t="str">
        <f t="shared" si="55"/>
        <v>N</v>
      </c>
      <c r="N399" t="str">
        <f t="shared" si="56"/>
        <v>N</v>
      </c>
      <c r="O399">
        <f t="shared" si="57"/>
        <v>10</v>
      </c>
      <c r="P399" s="6">
        <f t="shared" si="58"/>
        <v>0.80813953488372092</v>
      </c>
      <c r="Q399" s="6">
        <f t="shared" si="59"/>
        <v>9.5923261390887284E-3</v>
      </c>
      <c r="R399">
        <f t="shared" si="60"/>
        <v>0</v>
      </c>
      <c r="S399">
        <f t="shared" si="61"/>
        <v>0</v>
      </c>
      <c r="T399">
        <f t="shared" si="62"/>
        <v>0</v>
      </c>
    </row>
    <row r="400" spans="1:20">
      <c r="A400" t="s">
        <v>749</v>
      </c>
      <c r="B400" t="s">
        <v>32</v>
      </c>
      <c r="C400" t="s">
        <v>12</v>
      </c>
      <c r="D400">
        <v>240</v>
      </c>
      <c r="E400" s="4">
        <v>46085</v>
      </c>
      <c r="F400" s="4">
        <v>46094</v>
      </c>
      <c r="G400" s="4">
        <v>46092</v>
      </c>
      <c r="H400">
        <v>239</v>
      </c>
      <c r="I400" t="s">
        <v>750</v>
      </c>
      <c r="J400">
        <v>9</v>
      </c>
      <c r="K400" t="s">
        <v>1563</v>
      </c>
      <c r="L400" t="str">
        <f t="shared" si="54"/>
        <v>Y</v>
      </c>
      <c r="M400" t="str">
        <f t="shared" si="55"/>
        <v>Y</v>
      </c>
      <c r="N400" t="str">
        <f t="shared" si="56"/>
        <v>Y</v>
      </c>
      <c r="O400">
        <f t="shared" si="57"/>
        <v>7</v>
      </c>
      <c r="P400" s="6">
        <f t="shared" si="58"/>
        <v>0.99583333333333335</v>
      </c>
      <c r="Q400" s="6">
        <f t="shared" si="59"/>
        <v>3.7656903765690378E-2</v>
      </c>
      <c r="R400">
        <f t="shared" si="60"/>
        <v>1</v>
      </c>
      <c r="S400">
        <f t="shared" si="61"/>
        <v>0</v>
      </c>
      <c r="T400">
        <f t="shared" si="62"/>
        <v>0</v>
      </c>
    </row>
    <row r="401" spans="1:20">
      <c r="A401" t="s">
        <v>751</v>
      </c>
      <c r="B401" t="s">
        <v>32</v>
      </c>
      <c r="C401" t="s">
        <v>16</v>
      </c>
      <c r="D401">
        <v>107</v>
      </c>
      <c r="E401" s="4">
        <v>46087</v>
      </c>
      <c r="F401" s="4">
        <v>46093</v>
      </c>
      <c r="G401" s="4">
        <v>46090</v>
      </c>
      <c r="H401">
        <v>107</v>
      </c>
      <c r="I401" t="s">
        <v>556</v>
      </c>
      <c r="J401">
        <v>5</v>
      </c>
      <c r="K401" t="s">
        <v>1563</v>
      </c>
      <c r="L401" t="str">
        <f t="shared" si="54"/>
        <v>Y</v>
      </c>
      <c r="M401" t="str">
        <f t="shared" si="55"/>
        <v>Y</v>
      </c>
      <c r="N401" t="str">
        <f t="shared" si="56"/>
        <v>Y</v>
      </c>
      <c r="O401">
        <f t="shared" si="57"/>
        <v>3</v>
      </c>
      <c r="P401" s="6">
        <f t="shared" si="58"/>
        <v>1</v>
      </c>
      <c r="Q401" s="6">
        <f t="shared" si="59"/>
        <v>4.6728971962616821E-2</v>
      </c>
      <c r="R401">
        <f t="shared" si="60"/>
        <v>1</v>
      </c>
      <c r="S401">
        <f t="shared" si="61"/>
        <v>0</v>
      </c>
      <c r="T401">
        <f t="shared" si="62"/>
        <v>0</v>
      </c>
    </row>
    <row r="402" spans="1:20">
      <c r="A402" t="s">
        <v>752</v>
      </c>
      <c r="B402" t="s">
        <v>177</v>
      </c>
      <c r="C402" t="s">
        <v>12</v>
      </c>
      <c r="D402">
        <v>630</v>
      </c>
      <c r="E402" s="4">
        <v>46037</v>
      </c>
      <c r="F402" s="4">
        <v>46051</v>
      </c>
      <c r="G402" s="4">
        <v>46051</v>
      </c>
      <c r="H402">
        <v>634</v>
      </c>
      <c r="I402" t="s">
        <v>753</v>
      </c>
      <c r="J402">
        <v>18</v>
      </c>
      <c r="K402" t="s">
        <v>1563</v>
      </c>
      <c r="L402" t="str">
        <f t="shared" si="54"/>
        <v>Y</v>
      </c>
      <c r="M402" t="str">
        <f t="shared" si="55"/>
        <v>Y</v>
      </c>
      <c r="N402" t="str">
        <f t="shared" si="56"/>
        <v>Y</v>
      </c>
      <c r="O402">
        <f t="shared" si="57"/>
        <v>14</v>
      </c>
      <c r="P402" s="6">
        <f t="shared" si="58"/>
        <v>1.0063492063492063</v>
      </c>
      <c r="Q402" s="6">
        <f t="shared" si="59"/>
        <v>2.8391167192429023E-2</v>
      </c>
      <c r="R402">
        <f t="shared" si="60"/>
        <v>1</v>
      </c>
      <c r="S402">
        <f t="shared" si="61"/>
        <v>0</v>
      </c>
      <c r="T402">
        <f t="shared" si="62"/>
        <v>0</v>
      </c>
    </row>
    <row r="403" spans="1:20">
      <c r="A403" t="s">
        <v>754</v>
      </c>
      <c r="B403" t="s">
        <v>11</v>
      </c>
      <c r="C403" t="s">
        <v>16</v>
      </c>
      <c r="D403">
        <v>476</v>
      </c>
      <c r="E403" s="4">
        <v>46058</v>
      </c>
      <c r="F403" s="4">
        <v>46067</v>
      </c>
      <c r="G403" s="4">
        <v>46065</v>
      </c>
      <c r="H403">
        <v>472</v>
      </c>
      <c r="I403" t="s">
        <v>253</v>
      </c>
      <c r="J403">
        <v>6</v>
      </c>
      <c r="K403" t="s">
        <v>1563</v>
      </c>
      <c r="L403" t="str">
        <f t="shared" si="54"/>
        <v>Y</v>
      </c>
      <c r="M403" t="str">
        <f t="shared" si="55"/>
        <v>Y</v>
      </c>
      <c r="N403" t="str">
        <f t="shared" si="56"/>
        <v>Y</v>
      </c>
      <c r="O403">
        <f t="shared" si="57"/>
        <v>7</v>
      </c>
      <c r="P403" s="6">
        <f t="shared" si="58"/>
        <v>0.99159663865546221</v>
      </c>
      <c r="Q403" s="6">
        <f t="shared" si="59"/>
        <v>1.2711864406779662E-2</v>
      </c>
      <c r="R403">
        <f t="shared" si="60"/>
        <v>1</v>
      </c>
      <c r="S403">
        <f t="shared" si="61"/>
        <v>0</v>
      </c>
      <c r="T403">
        <f t="shared" si="62"/>
        <v>0</v>
      </c>
    </row>
    <row r="404" spans="1:20">
      <c r="A404" t="s">
        <v>755</v>
      </c>
      <c r="B404" t="s">
        <v>81</v>
      </c>
      <c r="C404" t="s">
        <v>12</v>
      </c>
      <c r="D404">
        <v>436</v>
      </c>
      <c r="E404" s="4">
        <v>46135</v>
      </c>
      <c r="F404" s="4">
        <v>46143</v>
      </c>
      <c r="G404" s="4">
        <v>46147</v>
      </c>
      <c r="H404">
        <v>366</v>
      </c>
      <c r="I404" t="s">
        <v>191</v>
      </c>
      <c r="J404">
        <v>1</v>
      </c>
      <c r="K404" t="s">
        <v>1563</v>
      </c>
      <c r="L404" t="str">
        <f t="shared" si="54"/>
        <v>N</v>
      </c>
      <c r="M404" t="str">
        <f t="shared" si="55"/>
        <v>N</v>
      </c>
      <c r="N404" t="str">
        <f t="shared" si="56"/>
        <v>N</v>
      </c>
      <c r="O404">
        <f t="shared" si="57"/>
        <v>12</v>
      </c>
      <c r="P404" s="6">
        <f t="shared" si="58"/>
        <v>0.83944954128440363</v>
      </c>
      <c r="Q404" s="6">
        <f t="shared" si="59"/>
        <v>2.7322404371584699E-3</v>
      </c>
      <c r="R404">
        <f t="shared" si="60"/>
        <v>0</v>
      </c>
      <c r="S404">
        <f t="shared" si="61"/>
        <v>4</v>
      </c>
      <c r="T404">
        <f t="shared" si="62"/>
        <v>2000</v>
      </c>
    </row>
    <row r="405" spans="1:20">
      <c r="A405" t="s">
        <v>756</v>
      </c>
      <c r="B405" t="s">
        <v>120</v>
      </c>
      <c r="C405" t="s">
        <v>16</v>
      </c>
      <c r="D405">
        <v>548</v>
      </c>
      <c r="E405" s="4">
        <v>46102</v>
      </c>
      <c r="F405" s="4">
        <v>46113</v>
      </c>
      <c r="G405" s="4">
        <v>46112</v>
      </c>
      <c r="H405">
        <v>538</v>
      </c>
      <c r="I405" t="s">
        <v>757</v>
      </c>
      <c r="J405">
        <v>15</v>
      </c>
      <c r="K405" t="s">
        <v>1563</v>
      </c>
      <c r="L405" t="str">
        <f t="shared" si="54"/>
        <v>Y</v>
      </c>
      <c r="M405" t="str">
        <f t="shared" si="55"/>
        <v>Y</v>
      </c>
      <c r="N405" t="str">
        <f t="shared" si="56"/>
        <v>Y</v>
      </c>
      <c r="O405">
        <f t="shared" si="57"/>
        <v>10</v>
      </c>
      <c r="P405" s="6">
        <f t="shared" si="58"/>
        <v>0.98175182481751821</v>
      </c>
      <c r="Q405" s="6">
        <f t="shared" si="59"/>
        <v>2.7881040892193308E-2</v>
      </c>
      <c r="R405">
        <f t="shared" si="60"/>
        <v>1</v>
      </c>
      <c r="S405">
        <f t="shared" si="61"/>
        <v>0</v>
      </c>
      <c r="T405">
        <f t="shared" si="62"/>
        <v>0</v>
      </c>
    </row>
    <row r="406" spans="1:20">
      <c r="A406" t="s">
        <v>758</v>
      </c>
      <c r="B406" t="s">
        <v>64</v>
      </c>
      <c r="C406" t="s">
        <v>16</v>
      </c>
      <c r="D406">
        <v>839</v>
      </c>
      <c r="E406" s="4">
        <v>46035</v>
      </c>
      <c r="F406" s="4">
        <v>46045</v>
      </c>
      <c r="G406" s="4">
        <v>46043</v>
      </c>
      <c r="H406">
        <v>824</v>
      </c>
      <c r="I406" t="s">
        <v>759</v>
      </c>
      <c r="J406">
        <v>52</v>
      </c>
      <c r="K406" t="s">
        <v>1563</v>
      </c>
      <c r="L406" t="str">
        <f t="shared" si="54"/>
        <v>Y</v>
      </c>
      <c r="M406" t="str">
        <f t="shared" si="55"/>
        <v>Y</v>
      </c>
      <c r="N406" t="str">
        <f t="shared" si="56"/>
        <v>Y</v>
      </c>
      <c r="O406">
        <f t="shared" si="57"/>
        <v>8</v>
      </c>
      <c r="P406" s="6">
        <f t="shared" si="58"/>
        <v>0.98212157330154948</v>
      </c>
      <c r="Q406" s="6">
        <f t="shared" si="59"/>
        <v>6.3106796116504854E-2</v>
      </c>
      <c r="R406">
        <f t="shared" si="60"/>
        <v>1</v>
      </c>
      <c r="S406">
        <f t="shared" si="61"/>
        <v>0</v>
      </c>
      <c r="T406">
        <f t="shared" si="62"/>
        <v>0</v>
      </c>
    </row>
    <row r="407" spans="1:20">
      <c r="A407" t="s">
        <v>760</v>
      </c>
      <c r="B407" t="s">
        <v>11</v>
      </c>
      <c r="C407" t="s">
        <v>16</v>
      </c>
      <c r="D407">
        <v>313</v>
      </c>
      <c r="E407" s="4">
        <v>46164</v>
      </c>
      <c r="F407" s="4">
        <v>46173</v>
      </c>
      <c r="G407" s="4">
        <v>46172</v>
      </c>
      <c r="H407">
        <v>314</v>
      </c>
      <c r="I407" t="s">
        <v>92</v>
      </c>
      <c r="J407">
        <v>6</v>
      </c>
      <c r="K407" t="s">
        <v>1563</v>
      </c>
      <c r="L407" t="str">
        <f t="shared" si="54"/>
        <v>Y</v>
      </c>
      <c r="M407" t="str">
        <f t="shared" si="55"/>
        <v>Y</v>
      </c>
      <c r="N407" t="str">
        <f t="shared" si="56"/>
        <v>Y</v>
      </c>
      <c r="O407">
        <f t="shared" si="57"/>
        <v>8</v>
      </c>
      <c r="P407" s="6">
        <f t="shared" si="58"/>
        <v>1.0031948881789137</v>
      </c>
      <c r="Q407" s="6">
        <f t="shared" si="59"/>
        <v>1.9108280254777069E-2</v>
      </c>
      <c r="R407">
        <f t="shared" si="60"/>
        <v>1</v>
      </c>
      <c r="S407">
        <f t="shared" si="61"/>
        <v>0</v>
      </c>
      <c r="T407">
        <f t="shared" si="62"/>
        <v>0</v>
      </c>
    </row>
    <row r="408" spans="1:20">
      <c r="A408" t="s">
        <v>761</v>
      </c>
      <c r="B408" t="s">
        <v>29</v>
      </c>
      <c r="C408" t="s">
        <v>23</v>
      </c>
      <c r="D408">
        <v>736</v>
      </c>
      <c r="E408" s="4">
        <v>46039</v>
      </c>
      <c r="F408" s="4">
        <v>46050</v>
      </c>
      <c r="G408" s="4">
        <v>46050</v>
      </c>
      <c r="H408">
        <v>751</v>
      </c>
      <c r="I408" t="s">
        <v>763</v>
      </c>
      <c r="J408">
        <v>4</v>
      </c>
      <c r="K408" t="s">
        <v>1563</v>
      </c>
      <c r="L408" t="str">
        <f t="shared" si="54"/>
        <v>Y</v>
      </c>
      <c r="M408" t="str">
        <f t="shared" si="55"/>
        <v>Y</v>
      </c>
      <c r="N408" t="str">
        <f t="shared" si="56"/>
        <v>Y</v>
      </c>
      <c r="O408">
        <f t="shared" si="57"/>
        <v>11</v>
      </c>
      <c r="P408" s="6">
        <f t="shared" si="58"/>
        <v>1.0203804347826086</v>
      </c>
      <c r="Q408" s="6">
        <f t="shared" si="59"/>
        <v>5.3262316910785623E-3</v>
      </c>
      <c r="R408">
        <f t="shared" si="60"/>
        <v>1</v>
      </c>
      <c r="S408">
        <f t="shared" si="61"/>
        <v>0</v>
      </c>
      <c r="T408">
        <f t="shared" si="62"/>
        <v>0</v>
      </c>
    </row>
    <row r="409" spans="1:20">
      <c r="A409" t="s">
        <v>764</v>
      </c>
      <c r="B409" t="s">
        <v>54</v>
      </c>
      <c r="C409" t="s">
        <v>23</v>
      </c>
      <c r="D409">
        <v>523</v>
      </c>
      <c r="E409" s="4">
        <v>46127</v>
      </c>
      <c r="F409" s="4">
        <v>46137</v>
      </c>
      <c r="G409" s="4">
        <v>46135</v>
      </c>
      <c r="H409">
        <v>530</v>
      </c>
      <c r="I409" t="s">
        <v>765</v>
      </c>
      <c r="J409">
        <v>7</v>
      </c>
      <c r="K409" t="s">
        <v>1563</v>
      </c>
      <c r="L409" t="str">
        <f t="shared" si="54"/>
        <v>Y</v>
      </c>
      <c r="M409" t="str">
        <f t="shared" si="55"/>
        <v>Y</v>
      </c>
      <c r="N409" t="str">
        <f t="shared" si="56"/>
        <v>Y</v>
      </c>
      <c r="O409">
        <f t="shared" si="57"/>
        <v>8</v>
      </c>
      <c r="P409" s="6">
        <f t="shared" si="58"/>
        <v>1.0133843212237095</v>
      </c>
      <c r="Q409" s="6">
        <f t="shared" si="59"/>
        <v>1.3207547169811321E-2</v>
      </c>
      <c r="R409">
        <f t="shared" si="60"/>
        <v>1</v>
      </c>
      <c r="S409">
        <f t="shared" si="61"/>
        <v>0</v>
      </c>
      <c r="T409">
        <f t="shared" si="62"/>
        <v>0</v>
      </c>
    </row>
    <row r="410" spans="1:20">
      <c r="A410" t="s">
        <v>766</v>
      </c>
      <c r="B410" t="s">
        <v>70</v>
      </c>
      <c r="C410" t="s">
        <v>16</v>
      </c>
      <c r="D410">
        <v>372</v>
      </c>
      <c r="E410" s="4">
        <v>46124</v>
      </c>
      <c r="F410" s="4">
        <v>46136</v>
      </c>
      <c r="G410" s="4">
        <v>46133</v>
      </c>
      <c r="H410">
        <v>368</v>
      </c>
      <c r="I410" t="s">
        <v>767</v>
      </c>
      <c r="J410">
        <v>2</v>
      </c>
      <c r="K410" t="s">
        <v>1563</v>
      </c>
      <c r="L410" t="str">
        <f t="shared" si="54"/>
        <v>Y</v>
      </c>
      <c r="M410" t="str">
        <f t="shared" si="55"/>
        <v>Y</v>
      </c>
      <c r="N410" t="str">
        <f t="shared" si="56"/>
        <v>Y</v>
      </c>
      <c r="O410">
        <f t="shared" si="57"/>
        <v>9</v>
      </c>
      <c r="P410" s="6">
        <f t="shared" si="58"/>
        <v>0.989247311827957</v>
      </c>
      <c r="Q410" s="6">
        <f t="shared" si="59"/>
        <v>5.434782608695652E-3</v>
      </c>
      <c r="R410">
        <f t="shared" si="60"/>
        <v>1</v>
      </c>
      <c r="S410">
        <f t="shared" si="61"/>
        <v>0</v>
      </c>
      <c r="T410">
        <f t="shared" si="62"/>
        <v>0</v>
      </c>
    </row>
    <row r="411" spans="1:20">
      <c r="A411" t="s">
        <v>768</v>
      </c>
      <c r="B411" t="s">
        <v>35</v>
      </c>
      <c r="C411" t="s">
        <v>16</v>
      </c>
      <c r="D411">
        <v>705</v>
      </c>
      <c r="E411" s="4">
        <v>46039</v>
      </c>
      <c r="F411" s="4">
        <v>46053</v>
      </c>
      <c r="G411" s="4">
        <v>46057</v>
      </c>
      <c r="H411">
        <v>695</v>
      </c>
      <c r="I411" t="s">
        <v>769</v>
      </c>
      <c r="J411">
        <v>21</v>
      </c>
      <c r="K411" t="s">
        <v>1563</v>
      </c>
      <c r="L411" t="str">
        <f t="shared" si="54"/>
        <v>N</v>
      </c>
      <c r="M411" t="str">
        <f t="shared" si="55"/>
        <v>Y</v>
      </c>
      <c r="N411" t="str">
        <f t="shared" si="56"/>
        <v>N</v>
      </c>
      <c r="O411">
        <f t="shared" si="57"/>
        <v>18</v>
      </c>
      <c r="P411" s="6">
        <f t="shared" si="58"/>
        <v>0.98581560283687941</v>
      </c>
      <c r="Q411" s="6">
        <f t="shared" si="59"/>
        <v>3.0215827338129497E-2</v>
      </c>
      <c r="R411">
        <f t="shared" si="60"/>
        <v>0</v>
      </c>
      <c r="S411">
        <f t="shared" si="61"/>
        <v>4</v>
      </c>
      <c r="T411">
        <f t="shared" si="62"/>
        <v>2000</v>
      </c>
    </row>
    <row r="412" spans="1:20">
      <c r="A412" t="s">
        <v>770</v>
      </c>
      <c r="B412" t="s">
        <v>22</v>
      </c>
      <c r="C412" t="s">
        <v>23</v>
      </c>
      <c r="D412">
        <v>548</v>
      </c>
      <c r="E412" s="4">
        <v>46075</v>
      </c>
      <c r="F412" s="4">
        <v>46086</v>
      </c>
      <c r="G412" s="4">
        <v>46093</v>
      </c>
      <c r="H412">
        <v>444</v>
      </c>
      <c r="I412" t="s">
        <v>771</v>
      </c>
      <c r="J412">
        <v>33</v>
      </c>
      <c r="K412" t="s">
        <v>1563</v>
      </c>
      <c r="L412" t="str">
        <f t="shared" si="54"/>
        <v>N</v>
      </c>
      <c r="M412" t="str">
        <f t="shared" si="55"/>
        <v>N</v>
      </c>
      <c r="N412" t="str">
        <f t="shared" si="56"/>
        <v>N</v>
      </c>
      <c r="O412">
        <f t="shared" si="57"/>
        <v>18</v>
      </c>
      <c r="P412" s="6">
        <f t="shared" si="58"/>
        <v>0.81021897810218979</v>
      </c>
      <c r="Q412" s="6">
        <f t="shared" si="59"/>
        <v>7.4324324324324328E-2</v>
      </c>
      <c r="R412">
        <f t="shared" si="60"/>
        <v>0</v>
      </c>
      <c r="S412">
        <f t="shared" si="61"/>
        <v>7</v>
      </c>
      <c r="T412">
        <f t="shared" si="62"/>
        <v>3500</v>
      </c>
    </row>
    <row r="413" spans="1:20">
      <c r="A413" t="s">
        <v>772</v>
      </c>
      <c r="B413" t="s">
        <v>120</v>
      </c>
      <c r="C413" t="s">
        <v>23</v>
      </c>
      <c r="D413">
        <v>781</v>
      </c>
      <c r="E413" s="4">
        <v>46085</v>
      </c>
      <c r="F413" s="4">
        <v>46094</v>
      </c>
      <c r="G413" s="4">
        <v>46093</v>
      </c>
      <c r="H413">
        <v>654</v>
      </c>
      <c r="I413" t="s">
        <v>773</v>
      </c>
      <c r="J413">
        <v>37</v>
      </c>
      <c r="K413" t="s">
        <v>1563</v>
      </c>
      <c r="L413" t="str">
        <f t="shared" si="54"/>
        <v>Y</v>
      </c>
      <c r="M413" t="str">
        <f t="shared" si="55"/>
        <v>N</v>
      </c>
      <c r="N413" t="str">
        <f t="shared" si="56"/>
        <v>N</v>
      </c>
      <c r="O413">
        <f t="shared" si="57"/>
        <v>8</v>
      </c>
      <c r="P413" s="6">
        <f t="shared" si="58"/>
        <v>0.83738796414852756</v>
      </c>
      <c r="Q413" s="6">
        <f t="shared" si="59"/>
        <v>5.657492354740061E-2</v>
      </c>
      <c r="R413">
        <f t="shared" si="60"/>
        <v>0</v>
      </c>
      <c r="S413">
        <f t="shared" si="61"/>
        <v>0</v>
      </c>
      <c r="T413">
        <f t="shared" si="62"/>
        <v>0</v>
      </c>
    </row>
    <row r="414" spans="1:20">
      <c r="A414" t="s">
        <v>774</v>
      </c>
      <c r="B414" t="s">
        <v>81</v>
      </c>
      <c r="C414" t="s">
        <v>16</v>
      </c>
      <c r="D414">
        <v>476</v>
      </c>
      <c r="E414" s="4">
        <v>46030</v>
      </c>
      <c r="F414" s="4">
        <v>46044</v>
      </c>
      <c r="G414" s="4">
        <v>46041</v>
      </c>
      <c r="H414">
        <v>485</v>
      </c>
      <c r="I414" t="s">
        <v>775</v>
      </c>
      <c r="J414">
        <v>6</v>
      </c>
      <c r="K414" t="s">
        <v>1563</v>
      </c>
      <c r="L414" t="str">
        <f t="shared" si="54"/>
        <v>Y</v>
      </c>
      <c r="M414" t="str">
        <f t="shared" si="55"/>
        <v>Y</v>
      </c>
      <c r="N414" t="str">
        <f t="shared" si="56"/>
        <v>Y</v>
      </c>
      <c r="O414">
        <f t="shared" si="57"/>
        <v>11</v>
      </c>
      <c r="P414" s="6">
        <f t="shared" si="58"/>
        <v>1.01890756302521</v>
      </c>
      <c r="Q414" s="6">
        <f t="shared" si="59"/>
        <v>1.2371134020618556E-2</v>
      </c>
      <c r="R414">
        <f t="shared" si="60"/>
        <v>1</v>
      </c>
      <c r="S414">
        <f t="shared" si="61"/>
        <v>0</v>
      </c>
      <c r="T414">
        <f t="shared" si="62"/>
        <v>0</v>
      </c>
    </row>
    <row r="415" spans="1:20">
      <c r="A415" t="s">
        <v>776</v>
      </c>
      <c r="B415" t="s">
        <v>35</v>
      </c>
      <c r="C415" t="s">
        <v>12</v>
      </c>
      <c r="D415">
        <v>81</v>
      </c>
      <c r="E415" s="4">
        <v>46042</v>
      </c>
      <c r="F415" s="4">
        <v>46053</v>
      </c>
      <c r="G415" s="4">
        <v>46052</v>
      </c>
      <c r="H415">
        <v>83</v>
      </c>
      <c r="I415" t="s">
        <v>212</v>
      </c>
      <c r="J415">
        <v>4</v>
      </c>
      <c r="K415" t="s">
        <v>1563</v>
      </c>
      <c r="L415" t="str">
        <f t="shared" si="54"/>
        <v>Y</v>
      </c>
      <c r="M415" t="str">
        <f t="shared" si="55"/>
        <v>Y</v>
      </c>
      <c r="N415" t="str">
        <f t="shared" si="56"/>
        <v>Y</v>
      </c>
      <c r="O415">
        <f t="shared" si="57"/>
        <v>10</v>
      </c>
      <c r="P415" s="6">
        <f t="shared" si="58"/>
        <v>1.0246913580246915</v>
      </c>
      <c r="Q415" s="6">
        <f t="shared" si="59"/>
        <v>4.8192771084337352E-2</v>
      </c>
      <c r="R415">
        <f t="shared" si="60"/>
        <v>1</v>
      </c>
      <c r="S415">
        <f t="shared" si="61"/>
        <v>0</v>
      </c>
      <c r="T415">
        <f t="shared" si="62"/>
        <v>0</v>
      </c>
    </row>
    <row r="416" spans="1:20">
      <c r="A416" t="s">
        <v>777</v>
      </c>
      <c r="B416" t="s">
        <v>70</v>
      </c>
      <c r="C416" t="s">
        <v>16</v>
      </c>
      <c r="D416">
        <v>632</v>
      </c>
      <c r="E416" s="4">
        <v>46133</v>
      </c>
      <c r="F416" s="4">
        <v>46148</v>
      </c>
      <c r="G416" s="4">
        <v>46148</v>
      </c>
      <c r="H416">
        <v>643</v>
      </c>
      <c r="I416" t="s">
        <v>426</v>
      </c>
      <c r="J416">
        <v>6</v>
      </c>
      <c r="K416" t="s">
        <v>1563</v>
      </c>
      <c r="L416" t="str">
        <f t="shared" si="54"/>
        <v>Y</v>
      </c>
      <c r="M416" t="str">
        <f t="shared" si="55"/>
        <v>Y</v>
      </c>
      <c r="N416" t="str">
        <f t="shared" si="56"/>
        <v>Y</v>
      </c>
      <c r="O416">
        <f t="shared" si="57"/>
        <v>15</v>
      </c>
      <c r="P416" s="6">
        <f t="shared" si="58"/>
        <v>1.0174050632911393</v>
      </c>
      <c r="Q416" s="6">
        <f t="shared" si="59"/>
        <v>9.3312597200622092E-3</v>
      </c>
      <c r="R416">
        <f t="shared" si="60"/>
        <v>1</v>
      </c>
      <c r="S416">
        <f t="shared" si="61"/>
        <v>0</v>
      </c>
      <c r="T416">
        <f t="shared" si="62"/>
        <v>0</v>
      </c>
    </row>
    <row r="417" spans="1:20">
      <c r="A417" t="s">
        <v>778</v>
      </c>
      <c r="B417" t="s">
        <v>81</v>
      </c>
      <c r="C417" t="s">
        <v>23</v>
      </c>
      <c r="D417">
        <v>218</v>
      </c>
      <c r="E417" s="4">
        <v>46041</v>
      </c>
      <c r="F417" s="4">
        <v>46048</v>
      </c>
      <c r="G417" s="4">
        <v>46057</v>
      </c>
      <c r="H417">
        <v>222</v>
      </c>
      <c r="I417" t="s">
        <v>779</v>
      </c>
      <c r="J417">
        <v>1</v>
      </c>
      <c r="K417" t="s">
        <v>1563</v>
      </c>
      <c r="L417" t="str">
        <f t="shared" si="54"/>
        <v>N</v>
      </c>
      <c r="M417" t="str">
        <f t="shared" si="55"/>
        <v>Y</v>
      </c>
      <c r="N417" t="str">
        <f t="shared" si="56"/>
        <v>N</v>
      </c>
      <c r="O417">
        <f t="shared" si="57"/>
        <v>16</v>
      </c>
      <c r="P417" s="6">
        <f t="shared" si="58"/>
        <v>1.0183486238532109</v>
      </c>
      <c r="Q417" s="6">
        <f t="shared" si="59"/>
        <v>4.5045045045045045E-3</v>
      </c>
      <c r="R417">
        <f t="shared" si="60"/>
        <v>0</v>
      </c>
      <c r="S417">
        <f t="shared" si="61"/>
        <v>9</v>
      </c>
      <c r="T417">
        <f t="shared" si="62"/>
        <v>4500</v>
      </c>
    </row>
    <row r="418" spans="1:20">
      <c r="A418" t="s">
        <v>780</v>
      </c>
      <c r="B418" t="s">
        <v>46</v>
      </c>
      <c r="C418" t="s">
        <v>12</v>
      </c>
      <c r="D418">
        <v>248</v>
      </c>
      <c r="E418" s="4">
        <v>46104</v>
      </c>
      <c r="F418" s="4">
        <v>46117</v>
      </c>
      <c r="G418" s="4">
        <v>46116</v>
      </c>
      <c r="H418">
        <v>239</v>
      </c>
      <c r="I418" t="s">
        <v>183</v>
      </c>
      <c r="J418">
        <v>19</v>
      </c>
      <c r="K418" t="s">
        <v>1563</v>
      </c>
      <c r="L418" t="str">
        <f t="shared" si="54"/>
        <v>Y</v>
      </c>
      <c r="M418" t="str">
        <f t="shared" si="55"/>
        <v>N</v>
      </c>
      <c r="N418" t="str">
        <f t="shared" si="56"/>
        <v>N</v>
      </c>
      <c r="O418">
        <f t="shared" si="57"/>
        <v>12</v>
      </c>
      <c r="P418" s="6">
        <f t="shared" si="58"/>
        <v>0.96370967741935487</v>
      </c>
      <c r="Q418" s="6">
        <f t="shared" si="59"/>
        <v>7.9497907949790794E-2</v>
      </c>
      <c r="R418">
        <f t="shared" si="60"/>
        <v>0</v>
      </c>
      <c r="S418">
        <f t="shared" si="61"/>
        <v>0</v>
      </c>
      <c r="T418">
        <f t="shared" si="62"/>
        <v>0</v>
      </c>
    </row>
    <row r="419" spans="1:20">
      <c r="A419" t="s">
        <v>782</v>
      </c>
      <c r="B419" t="s">
        <v>67</v>
      </c>
      <c r="C419" t="s">
        <v>16</v>
      </c>
      <c r="D419">
        <v>354</v>
      </c>
      <c r="E419" s="4">
        <v>46157</v>
      </c>
      <c r="F419" s="4">
        <v>46171</v>
      </c>
      <c r="G419" s="4">
        <v>46171</v>
      </c>
      <c r="H419">
        <v>356</v>
      </c>
      <c r="I419" t="s">
        <v>783</v>
      </c>
      <c r="J419">
        <v>11</v>
      </c>
      <c r="K419" t="s">
        <v>1563</v>
      </c>
      <c r="L419" t="str">
        <f t="shared" si="54"/>
        <v>Y</v>
      </c>
      <c r="M419" t="str">
        <f t="shared" si="55"/>
        <v>Y</v>
      </c>
      <c r="N419" t="str">
        <f t="shared" si="56"/>
        <v>Y</v>
      </c>
      <c r="O419">
        <f t="shared" si="57"/>
        <v>14</v>
      </c>
      <c r="P419" s="6">
        <f t="shared" si="58"/>
        <v>1.0056497175141244</v>
      </c>
      <c r="Q419" s="6">
        <f t="shared" si="59"/>
        <v>3.0898876404494381E-2</v>
      </c>
      <c r="R419">
        <f t="shared" si="60"/>
        <v>1</v>
      </c>
      <c r="S419">
        <f t="shared" si="61"/>
        <v>0</v>
      </c>
      <c r="T419">
        <f t="shared" si="62"/>
        <v>0</v>
      </c>
    </row>
    <row r="420" spans="1:20">
      <c r="A420" t="s">
        <v>784</v>
      </c>
      <c r="B420" t="s">
        <v>19</v>
      </c>
      <c r="C420" t="s">
        <v>23</v>
      </c>
      <c r="D420">
        <v>916</v>
      </c>
      <c r="E420" s="4">
        <v>46048</v>
      </c>
      <c r="F420" s="4">
        <v>46054</v>
      </c>
      <c r="G420" s="4">
        <v>46051</v>
      </c>
      <c r="H420">
        <v>915</v>
      </c>
      <c r="I420" t="s">
        <v>785</v>
      </c>
      <c r="J420">
        <v>7</v>
      </c>
      <c r="K420" t="s">
        <v>1563</v>
      </c>
      <c r="L420" t="str">
        <f t="shared" si="54"/>
        <v>Y</v>
      </c>
      <c r="M420" t="str">
        <f t="shared" si="55"/>
        <v>Y</v>
      </c>
      <c r="N420" t="str">
        <f t="shared" si="56"/>
        <v>Y</v>
      </c>
      <c r="O420">
        <f t="shared" si="57"/>
        <v>3</v>
      </c>
      <c r="P420" s="6">
        <f t="shared" si="58"/>
        <v>0.99890829694323147</v>
      </c>
      <c r="Q420" s="6">
        <f t="shared" si="59"/>
        <v>7.6502732240437158E-3</v>
      </c>
      <c r="R420">
        <f t="shared" si="60"/>
        <v>1</v>
      </c>
      <c r="S420">
        <f t="shared" si="61"/>
        <v>0</v>
      </c>
      <c r="T420">
        <f t="shared" si="62"/>
        <v>0</v>
      </c>
    </row>
    <row r="421" spans="1:20">
      <c r="A421" t="s">
        <v>786</v>
      </c>
      <c r="B421" t="s">
        <v>22</v>
      </c>
      <c r="C421" t="s">
        <v>12</v>
      </c>
      <c r="D421">
        <v>813</v>
      </c>
      <c r="E421" s="4">
        <v>46113</v>
      </c>
      <c r="F421" s="4">
        <v>46118</v>
      </c>
      <c r="G421" s="4">
        <v>46116</v>
      </c>
      <c r="H421">
        <v>808</v>
      </c>
      <c r="I421" t="s">
        <v>204</v>
      </c>
      <c r="J421">
        <v>44</v>
      </c>
      <c r="K421" t="s">
        <v>1563</v>
      </c>
      <c r="L421" t="str">
        <f t="shared" si="54"/>
        <v>Y</v>
      </c>
      <c r="M421" t="str">
        <f t="shared" si="55"/>
        <v>Y</v>
      </c>
      <c r="N421" t="str">
        <f t="shared" si="56"/>
        <v>Y</v>
      </c>
      <c r="O421">
        <f t="shared" si="57"/>
        <v>3</v>
      </c>
      <c r="P421" s="6">
        <f t="shared" si="58"/>
        <v>0.99384993849938497</v>
      </c>
      <c r="Q421" s="6">
        <f t="shared" si="59"/>
        <v>5.4455445544554455E-2</v>
      </c>
      <c r="R421">
        <f t="shared" si="60"/>
        <v>1</v>
      </c>
      <c r="S421">
        <f t="shared" si="61"/>
        <v>0</v>
      </c>
      <c r="T421">
        <f t="shared" si="62"/>
        <v>0</v>
      </c>
    </row>
    <row r="422" spans="1:20">
      <c r="A422" t="s">
        <v>787</v>
      </c>
      <c r="B422" t="s">
        <v>19</v>
      </c>
      <c r="C422" t="s">
        <v>16</v>
      </c>
      <c r="D422">
        <v>185</v>
      </c>
      <c r="E422" s="4">
        <v>46056</v>
      </c>
      <c r="F422" s="4">
        <v>46067</v>
      </c>
      <c r="G422" s="4">
        <v>46064</v>
      </c>
      <c r="H422">
        <v>185</v>
      </c>
      <c r="I422" t="s">
        <v>788</v>
      </c>
      <c r="J422">
        <v>9</v>
      </c>
      <c r="K422" t="s">
        <v>1563</v>
      </c>
      <c r="L422" t="str">
        <f t="shared" si="54"/>
        <v>Y</v>
      </c>
      <c r="M422" t="str">
        <f t="shared" si="55"/>
        <v>Y</v>
      </c>
      <c r="N422" t="str">
        <f t="shared" si="56"/>
        <v>Y</v>
      </c>
      <c r="O422">
        <f t="shared" si="57"/>
        <v>8</v>
      </c>
      <c r="P422" s="6">
        <f t="shared" si="58"/>
        <v>1</v>
      </c>
      <c r="Q422" s="6">
        <f t="shared" si="59"/>
        <v>4.8648648648648651E-2</v>
      </c>
      <c r="R422">
        <f t="shared" si="60"/>
        <v>1</v>
      </c>
      <c r="S422">
        <f t="shared" si="61"/>
        <v>0</v>
      </c>
      <c r="T422">
        <f t="shared" si="62"/>
        <v>0</v>
      </c>
    </row>
    <row r="423" spans="1:20">
      <c r="A423" t="s">
        <v>789</v>
      </c>
      <c r="B423" t="s">
        <v>26</v>
      </c>
      <c r="C423" t="s">
        <v>12</v>
      </c>
      <c r="D423">
        <v>402</v>
      </c>
      <c r="E423" s="4">
        <v>46072</v>
      </c>
      <c r="F423" s="4">
        <v>46085</v>
      </c>
      <c r="G423" s="4">
        <v>46083</v>
      </c>
      <c r="H423">
        <v>399</v>
      </c>
      <c r="I423" t="s">
        <v>183</v>
      </c>
      <c r="J423">
        <v>5</v>
      </c>
      <c r="K423" t="s">
        <v>1563</v>
      </c>
      <c r="L423" t="str">
        <f t="shared" si="54"/>
        <v>Y</v>
      </c>
      <c r="M423" t="str">
        <f t="shared" si="55"/>
        <v>Y</v>
      </c>
      <c r="N423" t="str">
        <f t="shared" si="56"/>
        <v>Y</v>
      </c>
      <c r="O423">
        <f t="shared" si="57"/>
        <v>11</v>
      </c>
      <c r="P423" s="6">
        <f t="shared" si="58"/>
        <v>0.9925373134328358</v>
      </c>
      <c r="Q423" s="6">
        <f t="shared" si="59"/>
        <v>1.2531328320802004E-2</v>
      </c>
      <c r="R423">
        <f t="shared" si="60"/>
        <v>1</v>
      </c>
      <c r="S423">
        <f t="shared" si="61"/>
        <v>0</v>
      </c>
      <c r="T423">
        <f t="shared" si="62"/>
        <v>0</v>
      </c>
    </row>
    <row r="424" spans="1:20">
      <c r="A424" t="s">
        <v>790</v>
      </c>
      <c r="B424" t="s">
        <v>49</v>
      </c>
      <c r="C424" t="s">
        <v>12</v>
      </c>
      <c r="D424">
        <v>806</v>
      </c>
      <c r="E424" s="4">
        <v>46055</v>
      </c>
      <c r="F424" s="4">
        <v>46061</v>
      </c>
      <c r="G424" s="4">
        <v>46059</v>
      </c>
      <c r="H424">
        <v>794</v>
      </c>
      <c r="I424" t="s">
        <v>700</v>
      </c>
      <c r="J424">
        <v>7</v>
      </c>
      <c r="K424" t="s">
        <v>1563</v>
      </c>
      <c r="L424" t="str">
        <f t="shared" si="54"/>
        <v>Y</v>
      </c>
      <c r="M424" t="str">
        <f t="shared" si="55"/>
        <v>Y</v>
      </c>
      <c r="N424" t="str">
        <f t="shared" si="56"/>
        <v>Y</v>
      </c>
      <c r="O424">
        <f t="shared" si="57"/>
        <v>4</v>
      </c>
      <c r="P424" s="6">
        <f t="shared" si="58"/>
        <v>0.98511166253101734</v>
      </c>
      <c r="Q424" s="6">
        <f t="shared" si="59"/>
        <v>8.8161209068010078E-3</v>
      </c>
      <c r="R424">
        <f t="shared" si="60"/>
        <v>1</v>
      </c>
      <c r="S424">
        <f t="shared" si="61"/>
        <v>0</v>
      </c>
      <c r="T424">
        <f t="shared" si="62"/>
        <v>0</v>
      </c>
    </row>
    <row r="425" spans="1:20">
      <c r="A425" t="s">
        <v>791</v>
      </c>
      <c r="B425" t="s">
        <v>40</v>
      </c>
      <c r="C425" t="s">
        <v>16</v>
      </c>
      <c r="D425">
        <v>641</v>
      </c>
      <c r="E425" s="4">
        <v>46046</v>
      </c>
      <c r="F425" s="4">
        <v>46058</v>
      </c>
      <c r="G425" s="4">
        <v>46058</v>
      </c>
      <c r="H425">
        <v>629</v>
      </c>
      <c r="I425" t="s">
        <v>792</v>
      </c>
      <c r="J425">
        <v>24</v>
      </c>
      <c r="K425" t="s">
        <v>1563</v>
      </c>
      <c r="L425" t="str">
        <f t="shared" si="54"/>
        <v>Y</v>
      </c>
      <c r="M425" t="str">
        <f t="shared" si="55"/>
        <v>Y</v>
      </c>
      <c r="N425" t="str">
        <f t="shared" si="56"/>
        <v>Y</v>
      </c>
      <c r="O425">
        <f t="shared" si="57"/>
        <v>12</v>
      </c>
      <c r="P425" s="6">
        <f t="shared" si="58"/>
        <v>0.98127925117004677</v>
      </c>
      <c r="Q425" s="6">
        <f t="shared" si="59"/>
        <v>3.8155802861685212E-2</v>
      </c>
      <c r="R425">
        <f t="shared" si="60"/>
        <v>1</v>
      </c>
      <c r="S425">
        <f t="shared" si="61"/>
        <v>0</v>
      </c>
      <c r="T425">
        <f t="shared" si="62"/>
        <v>0</v>
      </c>
    </row>
    <row r="426" spans="1:20">
      <c r="A426" t="s">
        <v>793</v>
      </c>
      <c r="B426" t="s">
        <v>43</v>
      </c>
      <c r="C426" t="s">
        <v>23</v>
      </c>
      <c r="D426">
        <v>880</v>
      </c>
      <c r="E426" s="4">
        <v>46132</v>
      </c>
      <c r="F426" s="4">
        <v>46145</v>
      </c>
      <c r="G426" s="4">
        <v>46144</v>
      </c>
      <c r="H426">
        <v>887</v>
      </c>
      <c r="I426" t="s">
        <v>512</v>
      </c>
      <c r="J426">
        <v>46</v>
      </c>
      <c r="K426" t="s">
        <v>1563</v>
      </c>
      <c r="L426" t="str">
        <f t="shared" si="54"/>
        <v>Y</v>
      </c>
      <c r="M426" t="str">
        <f t="shared" si="55"/>
        <v>Y</v>
      </c>
      <c r="N426" t="str">
        <f t="shared" si="56"/>
        <v>Y</v>
      </c>
      <c r="O426">
        <f t="shared" si="57"/>
        <v>12</v>
      </c>
      <c r="P426" s="6">
        <f t="shared" si="58"/>
        <v>1.0079545454545455</v>
      </c>
      <c r="Q426" s="6">
        <f t="shared" si="59"/>
        <v>5.1860202931228859E-2</v>
      </c>
      <c r="R426">
        <f t="shared" si="60"/>
        <v>1</v>
      </c>
      <c r="S426">
        <f t="shared" si="61"/>
        <v>0</v>
      </c>
      <c r="T426">
        <f t="shared" si="62"/>
        <v>0</v>
      </c>
    </row>
    <row r="427" spans="1:20">
      <c r="A427" t="s">
        <v>794</v>
      </c>
      <c r="B427" t="s">
        <v>64</v>
      </c>
      <c r="C427" t="s">
        <v>16</v>
      </c>
      <c r="D427">
        <v>917</v>
      </c>
      <c r="E427" s="4">
        <v>46027</v>
      </c>
      <c r="F427" s="4">
        <v>46034</v>
      </c>
      <c r="G427" s="4">
        <v>46039</v>
      </c>
      <c r="H427">
        <v>919</v>
      </c>
      <c r="I427" t="s">
        <v>795</v>
      </c>
      <c r="J427">
        <v>48</v>
      </c>
      <c r="K427" t="s">
        <v>1563</v>
      </c>
      <c r="L427" t="str">
        <f t="shared" si="54"/>
        <v>N</v>
      </c>
      <c r="M427" t="str">
        <f t="shared" si="55"/>
        <v>Y</v>
      </c>
      <c r="N427" t="str">
        <f t="shared" si="56"/>
        <v>N</v>
      </c>
      <c r="O427">
        <f t="shared" si="57"/>
        <v>12</v>
      </c>
      <c r="P427" s="6">
        <f t="shared" si="58"/>
        <v>1.0021810250817884</v>
      </c>
      <c r="Q427" s="6">
        <f t="shared" si="59"/>
        <v>5.2230685527747553E-2</v>
      </c>
      <c r="R427">
        <f t="shared" si="60"/>
        <v>0</v>
      </c>
      <c r="S427">
        <f t="shared" si="61"/>
        <v>5</v>
      </c>
      <c r="T427">
        <f t="shared" si="62"/>
        <v>2500</v>
      </c>
    </row>
    <row r="428" spans="1:20">
      <c r="A428" t="s">
        <v>796</v>
      </c>
      <c r="B428" t="s">
        <v>29</v>
      </c>
      <c r="C428" t="s">
        <v>16</v>
      </c>
      <c r="D428">
        <v>136</v>
      </c>
      <c r="E428" s="4">
        <v>46049</v>
      </c>
      <c r="F428" s="4">
        <v>46055</v>
      </c>
      <c r="G428" s="4">
        <v>46062</v>
      </c>
      <c r="H428">
        <v>110</v>
      </c>
      <c r="I428" t="s">
        <v>452</v>
      </c>
      <c r="J428">
        <v>1</v>
      </c>
      <c r="K428" t="s">
        <v>1563</v>
      </c>
      <c r="L428" t="str">
        <f t="shared" si="54"/>
        <v>N</v>
      </c>
      <c r="M428" t="str">
        <f t="shared" si="55"/>
        <v>N</v>
      </c>
      <c r="N428" t="str">
        <f t="shared" si="56"/>
        <v>N</v>
      </c>
      <c r="O428">
        <f t="shared" si="57"/>
        <v>13</v>
      </c>
      <c r="P428" s="6">
        <f t="shared" si="58"/>
        <v>0.80882352941176472</v>
      </c>
      <c r="Q428" s="6">
        <f t="shared" si="59"/>
        <v>9.0909090909090905E-3</v>
      </c>
      <c r="R428">
        <f t="shared" si="60"/>
        <v>0</v>
      </c>
      <c r="S428">
        <f t="shared" si="61"/>
        <v>7</v>
      </c>
      <c r="T428">
        <f t="shared" si="62"/>
        <v>3500</v>
      </c>
    </row>
    <row r="429" spans="1:20">
      <c r="A429" t="s">
        <v>797</v>
      </c>
      <c r="B429" t="s">
        <v>120</v>
      </c>
      <c r="C429" t="s">
        <v>16</v>
      </c>
      <c r="D429">
        <v>907</v>
      </c>
      <c r="E429" s="4">
        <v>46055</v>
      </c>
      <c r="F429" s="4">
        <v>46066</v>
      </c>
      <c r="G429" s="4">
        <v>46066</v>
      </c>
      <c r="H429">
        <v>765</v>
      </c>
      <c r="I429" t="s">
        <v>150</v>
      </c>
      <c r="J429">
        <v>24</v>
      </c>
      <c r="K429" t="s">
        <v>1563</v>
      </c>
      <c r="L429" t="str">
        <f t="shared" si="54"/>
        <v>Y</v>
      </c>
      <c r="M429" t="str">
        <f t="shared" si="55"/>
        <v>N</v>
      </c>
      <c r="N429" t="str">
        <f t="shared" si="56"/>
        <v>N</v>
      </c>
      <c r="O429">
        <f t="shared" si="57"/>
        <v>11</v>
      </c>
      <c r="P429" s="6">
        <f t="shared" si="58"/>
        <v>0.8434399117971334</v>
      </c>
      <c r="Q429" s="6">
        <f t="shared" si="59"/>
        <v>3.1372549019607843E-2</v>
      </c>
      <c r="R429">
        <f t="shared" si="60"/>
        <v>0</v>
      </c>
      <c r="S429">
        <f t="shared" si="61"/>
        <v>0</v>
      </c>
      <c r="T429">
        <f t="shared" si="62"/>
        <v>0</v>
      </c>
    </row>
    <row r="430" spans="1:20">
      <c r="A430" t="s">
        <v>798</v>
      </c>
      <c r="B430" t="s">
        <v>49</v>
      </c>
      <c r="C430" t="s">
        <v>12</v>
      </c>
      <c r="D430">
        <v>337</v>
      </c>
      <c r="E430" s="4">
        <v>46108</v>
      </c>
      <c r="F430" s="4">
        <v>46116</v>
      </c>
      <c r="G430" s="4">
        <v>46113</v>
      </c>
      <c r="H430">
        <v>333</v>
      </c>
      <c r="I430" t="s">
        <v>59</v>
      </c>
      <c r="J430">
        <v>0</v>
      </c>
      <c r="K430" t="s">
        <v>1563</v>
      </c>
      <c r="L430" t="str">
        <f t="shared" si="54"/>
        <v>Y</v>
      </c>
      <c r="M430" t="str">
        <f t="shared" si="55"/>
        <v>Y</v>
      </c>
      <c r="N430" t="str">
        <f t="shared" si="56"/>
        <v>Y</v>
      </c>
      <c r="O430">
        <f t="shared" si="57"/>
        <v>5</v>
      </c>
      <c r="P430" s="6">
        <f t="shared" si="58"/>
        <v>0.98813056379821962</v>
      </c>
      <c r="Q430" s="6">
        <f t="shared" si="59"/>
        <v>0</v>
      </c>
      <c r="R430">
        <f t="shared" si="60"/>
        <v>1</v>
      </c>
      <c r="S430">
        <f t="shared" si="61"/>
        <v>0</v>
      </c>
      <c r="T430">
        <f t="shared" si="62"/>
        <v>0</v>
      </c>
    </row>
    <row r="431" spans="1:20">
      <c r="A431" t="s">
        <v>799</v>
      </c>
      <c r="B431" t="s">
        <v>11</v>
      </c>
      <c r="C431" t="s">
        <v>16</v>
      </c>
      <c r="D431">
        <v>367</v>
      </c>
      <c r="E431" s="4">
        <v>46100</v>
      </c>
      <c r="F431" s="4">
        <v>46115</v>
      </c>
      <c r="G431" s="4">
        <v>46113</v>
      </c>
      <c r="H431">
        <v>368</v>
      </c>
      <c r="I431" t="s">
        <v>272</v>
      </c>
      <c r="J431">
        <v>1</v>
      </c>
      <c r="K431" t="s">
        <v>1563</v>
      </c>
      <c r="L431" t="str">
        <f t="shared" si="54"/>
        <v>Y</v>
      </c>
      <c r="M431" t="str">
        <f t="shared" si="55"/>
        <v>Y</v>
      </c>
      <c r="N431" t="str">
        <f t="shared" si="56"/>
        <v>Y</v>
      </c>
      <c r="O431">
        <f t="shared" si="57"/>
        <v>13</v>
      </c>
      <c r="P431" s="6">
        <f t="shared" si="58"/>
        <v>1.0027247956403269</v>
      </c>
      <c r="Q431" s="6">
        <f t="shared" si="59"/>
        <v>2.717391304347826E-3</v>
      </c>
      <c r="R431">
        <f t="shared" si="60"/>
        <v>1</v>
      </c>
      <c r="S431">
        <f t="shared" si="61"/>
        <v>0</v>
      </c>
      <c r="T431">
        <f t="shared" si="62"/>
        <v>0</v>
      </c>
    </row>
    <row r="432" spans="1:20">
      <c r="A432" t="s">
        <v>801</v>
      </c>
      <c r="B432" t="s">
        <v>22</v>
      </c>
      <c r="C432" t="s">
        <v>12</v>
      </c>
      <c r="D432">
        <v>883</v>
      </c>
      <c r="E432" s="4">
        <v>46123</v>
      </c>
      <c r="F432" s="4">
        <v>46138</v>
      </c>
      <c r="G432" s="4">
        <v>46136</v>
      </c>
      <c r="H432">
        <v>897</v>
      </c>
      <c r="I432" t="s">
        <v>30</v>
      </c>
      <c r="J432">
        <v>64</v>
      </c>
      <c r="K432" t="s">
        <v>1563</v>
      </c>
      <c r="L432" t="str">
        <f t="shared" si="54"/>
        <v>Y</v>
      </c>
      <c r="M432" t="str">
        <f t="shared" si="55"/>
        <v>Y</v>
      </c>
      <c r="N432" t="str">
        <f t="shared" si="56"/>
        <v>Y</v>
      </c>
      <c r="O432">
        <f t="shared" si="57"/>
        <v>13</v>
      </c>
      <c r="P432" s="6">
        <f t="shared" si="58"/>
        <v>1.0158550396375992</v>
      </c>
      <c r="Q432" s="6">
        <f t="shared" si="59"/>
        <v>7.1348940914158304E-2</v>
      </c>
      <c r="R432">
        <f t="shared" si="60"/>
        <v>1</v>
      </c>
      <c r="S432">
        <f t="shared" si="61"/>
        <v>0</v>
      </c>
      <c r="T432">
        <f t="shared" si="62"/>
        <v>0</v>
      </c>
    </row>
    <row r="433" spans="1:20">
      <c r="A433" t="s">
        <v>802</v>
      </c>
      <c r="B433" t="s">
        <v>26</v>
      </c>
      <c r="C433" t="s">
        <v>12</v>
      </c>
      <c r="D433">
        <v>962</v>
      </c>
      <c r="E433" s="4">
        <v>46064</v>
      </c>
      <c r="F433" s="4">
        <v>46071</v>
      </c>
      <c r="G433" s="4">
        <v>46068</v>
      </c>
      <c r="H433">
        <v>950</v>
      </c>
      <c r="I433" t="s">
        <v>682</v>
      </c>
      <c r="J433">
        <v>18</v>
      </c>
      <c r="K433" t="s">
        <v>1563</v>
      </c>
      <c r="L433" t="str">
        <f t="shared" si="54"/>
        <v>Y</v>
      </c>
      <c r="M433" t="str">
        <f t="shared" si="55"/>
        <v>Y</v>
      </c>
      <c r="N433" t="str">
        <f t="shared" si="56"/>
        <v>Y</v>
      </c>
      <c r="O433">
        <f t="shared" si="57"/>
        <v>4</v>
      </c>
      <c r="P433" s="6">
        <f t="shared" si="58"/>
        <v>0.98752598752598753</v>
      </c>
      <c r="Q433" s="6">
        <f t="shared" si="59"/>
        <v>1.8947368421052633E-2</v>
      </c>
      <c r="R433">
        <f t="shared" si="60"/>
        <v>1</v>
      </c>
      <c r="S433">
        <f t="shared" si="61"/>
        <v>0</v>
      </c>
      <c r="T433">
        <f t="shared" si="62"/>
        <v>0</v>
      </c>
    </row>
    <row r="434" spans="1:20">
      <c r="A434" t="s">
        <v>803</v>
      </c>
      <c r="B434" t="s">
        <v>100</v>
      </c>
      <c r="C434" t="s">
        <v>12</v>
      </c>
      <c r="D434">
        <v>743</v>
      </c>
      <c r="E434" s="4">
        <v>46150</v>
      </c>
      <c r="F434" s="4">
        <v>46157</v>
      </c>
      <c r="G434" s="4">
        <v>46156</v>
      </c>
      <c r="H434">
        <v>737</v>
      </c>
      <c r="I434" t="s">
        <v>505</v>
      </c>
      <c r="J434">
        <v>2</v>
      </c>
      <c r="K434" t="s">
        <v>1563</v>
      </c>
      <c r="L434" t="str">
        <f t="shared" si="54"/>
        <v>Y</v>
      </c>
      <c r="M434" t="str">
        <f t="shared" si="55"/>
        <v>Y</v>
      </c>
      <c r="N434" t="str">
        <f t="shared" si="56"/>
        <v>Y</v>
      </c>
      <c r="O434">
        <f t="shared" si="57"/>
        <v>6</v>
      </c>
      <c r="P434" s="6">
        <f t="shared" si="58"/>
        <v>0.99192462987886942</v>
      </c>
      <c r="Q434" s="6">
        <f t="shared" si="59"/>
        <v>2.7137042062415195E-3</v>
      </c>
      <c r="R434">
        <f t="shared" si="60"/>
        <v>1</v>
      </c>
      <c r="S434">
        <f t="shared" si="61"/>
        <v>0</v>
      </c>
      <c r="T434">
        <f t="shared" si="62"/>
        <v>0</v>
      </c>
    </row>
    <row r="435" spans="1:20">
      <c r="A435" t="s">
        <v>804</v>
      </c>
      <c r="B435" t="s">
        <v>35</v>
      </c>
      <c r="C435" t="s">
        <v>16</v>
      </c>
      <c r="D435">
        <v>844</v>
      </c>
      <c r="E435" s="4">
        <v>46061</v>
      </c>
      <c r="F435" s="4">
        <v>46073</v>
      </c>
      <c r="G435" s="4">
        <v>46077</v>
      </c>
      <c r="H435">
        <v>830</v>
      </c>
      <c r="I435" t="s">
        <v>805</v>
      </c>
      <c r="J435">
        <v>31</v>
      </c>
      <c r="K435" t="s">
        <v>1563</v>
      </c>
      <c r="L435" t="str">
        <f t="shared" si="54"/>
        <v>N</v>
      </c>
      <c r="M435" t="str">
        <f t="shared" si="55"/>
        <v>Y</v>
      </c>
      <c r="N435" t="str">
        <f t="shared" si="56"/>
        <v>N</v>
      </c>
      <c r="O435">
        <f t="shared" si="57"/>
        <v>16</v>
      </c>
      <c r="P435" s="6">
        <f t="shared" si="58"/>
        <v>0.98341232227488151</v>
      </c>
      <c r="Q435" s="6">
        <f t="shared" si="59"/>
        <v>3.7349397590361447E-2</v>
      </c>
      <c r="R435">
        <f t="shared" si="60"/>
        <v>0</v>
      </c>
      <c r="S435">
        <f t="shared" si="61"/>
        <v>4</v>
      </c>
      <c r="T435">
        <f t="shared" si="62"/>
        <v>2000</v>
      </c>
    </row>
    <row r="436" spans="1:20">
      <c r="A436" t="s">
        <v>806</v>
      </c>
      <c r="B436" t="s">
        <v>26</v>
      </c>
      <c r="C436" t="s">
        <v>12</v>
      </c>
      <c r="D436">
        <v>508</v>
      </c>
      <c r="E436" s="4">
        <v>46170</v>
      </c>
      <c r="F436" s="4">
        <v>46178</v>
      </c>
      <c r="G436" s="4">
        <v>46178</v>
      </c>
      <c r="H436">
        <v>509</v>
      </c>
      <c r="I436" t="s">
        <v>807</v>
      </c>
      <c r="J436">
        <v>4</v>
      </c>
      <c r="K436" t="s">
        <v>1563</v>
      </c>
      <c r="L436" t="str">
        <f t="shared" si="54"/>
        <v>Y</v>
      </c>
      <c r="M436" t="str">
        <f t="shared" si="55"/>
        <v>Y</v>
      </c>
      <c r="N436" t="str">
        <f t="shared" si="56"/>
        <v>Y</v>
      </c>
      <c r="O436">
        <f t="shared" si="57"/>
        <v>8</v>
      </c>
      <c r="P436" s="6">
        <f t="shared" si="58"/>
        <v>1.0019685039370079</v>
      </c>
      <c r="Q436" s="6">
        <f t="shared" si="59"/>
        <v>7.8585461689587421E-3</v>
      </c>
      <c r="R436">
        <f t="shared" si="60"/>
        <v>1</v>
      </c>
      <c r="S436">
        <f t="shared" si="61"/>
        <v>0</v>
      </c>
      <c r="T436">
        <f t="shared" si="62"/>
        <v>0</v>
      </c>
    </row>
    <row r="437" spans="1:20">
      <c r="A437" t="s">
        <v>808</v>
      </c>
      <c r="B437" t="s">
        <v>120</v>
      </c>
      <c r="C437" t="s">
        <v>16</v>
      </c>
      <c r="D437">
        <v>84</v>
      </c>
      <c r="E437" s="4">
        <v>46157</v>
      </c>
      <c r="F437" s="4">
        <v>46162</v>
      </c>
      <c r="G437" s="4">
        <v>46161</v>
      </c>
      <c r="H437">
        <v>68</v>
      </c>
      <c r="I437" t="s">
        <v>467</v>
      </c>
      <c r="J437">
        <v>3</v>
      </c>
      <c r="K437" t="s">
        <v>1563</v>
      </c>
      <c r="L437" t="str">
        <f t="shared" si="54"/>
        <v>Y</v>
      </c>
      <c r="M437" t="str">
        <f t="shared" si="55"/>
        <v>N</v>
      </c>
      <c r="N437" t="str">
        <f t="shared" si="56"/>
        <v>N</v>
      </c>
      <c r="O437">
        <f t="shared" si="57"/>
        <v>4</v>
      </c>
      <c r="P437" s="6">
        <f t="shared" si="58"/>
        <v>0.80952380952380953</v>
      </c>
      <c r="Q437" s="6">
        <f t="shared" si="59"/>
        <v>4.4117647058823532E-2</v>
      </c>
      <c r="R437">
        <f t="shared" si="60"/>
        <v>0</v>
      </c>
      <c r="S437">
        <f t="shared" si="61"/>
        <v>0</v>
      </c>
      <c r="T437">
        <f t="shared" si="62"/>
        <v>0</v>
      </c>
    </row>
    <row r="438" spans="1:20">
      <c r="A438" t="s">
        <v>809</v>
      </c>
      <c r="B438" t="s">
        <v>22</v>
      </c>
      <c r="C438" t="s">
        <v>16</v>
      </c>
      <c r="D438">
        <v>84</v>
      </c>
      <c r="E438" s="4">
        <v>46173</v>
      </c>
      <c r="F438" s="4">
        <v>46182</v>
      </c>
      <c r="G438" s="4">
        <v>46188</v>
      </c>
      <c r="H438">
        <v>69</v>
      </c>
      <c r="I438" t="s">
        <v>810</v>
      </c>
      <c r="J438">
        <v>3</v>
      </c>
      <c r="K438" t="s">
        <v>1563</v>
      </c>
      <c r="L438" t="str">
        <f t="shared" si="54"/>
        <v>N</v>
      </c>
      <c r="M438" t="str">
        <f t="shared" si="55"/>
        <v>N</v>
      </c>
      <c r="N438" t="str">
        <f t="shared" si="56"/>
        <v>N</v>
      </c>
      <c r="O438">
        <f t="shared" si="57"/>
        <v>15</v>
      </c>
      <c r="P438" s="6">
        <f t="shared" si="58"/>
        <v>0.8214285714285714</v>
      </c>
      <c r="Q438" s="6">
        <f t="shared" si="59"/>
        <v>4.3478260869565216E-2</v>
      </c>
      <c r="R438">
        <f t="shared" si="60"/>
        <v>0</v>
      </c>
      <c r="S438">
        <f t="shared" si="61"/>
        <v>6</v>
      </c>
      <c r="T438">
        <f t="shared" si="62"/>
        <v>3000</v>
      </c>
    </row>
    <row r="439" spans="1:20">
      <c r="A439" t="s">
        <v>811</v>
      </c>
      <c r="B439" t="s">
        <v>11</v>
      </c>
      <c r="C439" t="s">
        <v>12</v>
      </c>
      <c r="D439">
        <v>646</v>
      </c>
      <c r="E439" s="4">
        <v>46111</v>
      </c>
      <c r="F439" s="4">
        <v>46123</v>
      </c>
      <c r="G439" s="4">
        <v>46122</v>
      </c>
      <c r="H439">
        <v>647</v>
      </c>
      <c r="I439" t="s">
        <v>469</v>
      </c>
      <c r="J439">
        <v>4</v>
      </c>
      <c r="K439" t="s">
        <v>1563</v>
      </c>
      <c r="L439" t="str">
        <f t="shared" si="54"/>
        <v>Y</v>
      </c>
      <c r="M439" t="str">
        <f t="shared" si="55"/>
        <v>Y</v>
      </c>
      <c r="N439" t="str">
        <f t="shared" si="56"/>
        <v>Y</v>
      </c>
      <c r="O439">
        <f t="shared" si="57"/>
        <v>11</v>
      </c>
      <c r="P439" s="6">
        <f t="shared" si="58"/>
        <v>1.0015479876160991</v>
      </c>
      <c r="Q439" s="6">
        <f t="shared" si="59"/>
        <v>6.1823802163833074E-3</v>
      </c>
      <c r="R439">
        <f t="shared" si="60"/>
        <v>1</v>
      </c>
      <c r="S439">
        <f t="shared" si="61"/>
        <v>0</v>
      </c>
      <c r="T439">
        <f t="shared" si="62"/>
        <v>0</v>
      </c>
    </row>
    <row r="440" spans="1:20">
      <c r="A440" t="s">
        <v>812</v>
      </c>
      <c r="B440" t="s">
        <v>49</v>
      </c>
      <c r="C440" t="s">
        <v>16</v>
      </c>
      <c r="D440">
        <v>640</v>
      </c>
      <c r="E440" s="4">
        <v>46161</v>
      </c>
      <c r="F440" s="4">
        <v>46166</v>
      </c>
      <c r="G440" s="4">
        <v>46173</v>
      </c>
      <c r="H440">
        <v>644</v>
      </c>
      <c r="I440" t="s">
        <v>813</v>
      </c>
      <c r="J440">
        <v>1</v>
      </c>
      <c r="K440" t="s">
        <v>1563</v>
      </c>
      <c r="L440" t="str">
        <f t="shared" si="54"/>
        <v>N</v>
      </c>
      <c r="M440" t="str">
        <f t="shared" si="55"/>
        <v>Y</v>
      </c>
      <c r="N440" t="str">
        <f t="shared" si="56"/>
        <v>N</v>
      </c>
      <c r="O440">
        <f t="shared" si="57"/>
        <v>12</v>
      </c>
      <c r="P440" s="6">
        <f t="shared" si="58"/>
        <v>1.0062500000000001</v>
      </c>
      <c r="Q440" s="6">
        <f t="shared" si="59"/>
        <v>1.5527950310559005E-3</v>
      </c>
      <c r="R440">
        <f t="shared" si="60"/>
        <v>0</v>
      </c>
      <c r="S440">
        <f t="shared" si="61"/>
        <v>7</v>
      </c>
      <c r="T440">
        <f t="shared" si="62"/>
        <v>3500</v>
      </c>
    </row>
    <row r="441" spans="1:20">
      <c r="A441" t="s">
        <v>814</v>
      </c>
      <c r="B441" t="s">
        <v>46</v>
      </c>
      <c r="C441" t="s">
        <v>16</v>
      </c>
      <c r="D441">
        <v>375</v>
      </c>
      <c r="E441" s="4">
        <v>46099</v>
      </c>
      <c r="F441" s="4">
        <v>46112</v>
      </c>
      <c r="G441" s="4">
        <v>46109</v>
      </c>
      <c r="H441">
        <v>376</v>
      </c>
      <c r="I441" t="s">
        <v>815</v>
      </c>
      <c r="J441">
        <v>17</v>
      </c>
      <c r="K441" t="s">
        <v>1563</v>
      </c>
      <c r="L441" t="str">
        <f t="shared" si="54"/>
        <v>Y</v>
      </c>
      <c r="M441" t="str">
        <f t="shared" si="55"/>
        <v>Y</v>
      </c>
      <c r="N441" t="str">
        <f t="shared" si="56"/>
        <v>Y</v>
      </c>
      <c r="O441">
        <f t="shared" si="57"/>
        <v>10</v>
      </c>
      <c r="P441" s="6">
        <f t="shared" si="58"/>
        <v>1.0026666666666666</v>
      </c>
      <c r="Q441" s="6">
        <f t="shared" si="59"/>
        <v>4.5212765957446811E-2</v>
      </c>
      <c r="R441">
        <f t="shared" si="60"/>
        <v>1</v>
      </c>
      <c r="S441">
        <f t="shared" si="61"/>
        <v>0</v>
      </c>
      <c r="T441">
        <f t="shared" si="62"/>
        <v>0</v>
      </c>
    </row>
    <row r="442" spans="1:20">
      <c r="A442" t="s">
        <v>816</v>
      </c>
      <c r="B442" t="s">
        <v>43</v>
      </c>
      <c r="C442" t="s">
        <v>16</v>
      </c>
      <c r="D442">
        <v>87</v>
      </c>
      <c r="E442" s="4">
        <v>46117</v>
      </c>
      <c r="F442" s="4">
        <v>46132</v>
      </c>
      <c r="G442" s="4">
        <v>46132</v>
      </c>
      <c r="H442">
        <v>88</v>
      </c>
      <c r="I442" t="s">
        <v>594</v>
      </c>
      <c r="J442">
        <v>3</v>
      </c>
      <c r="K442" t="s">
        <v>1563</v>
      </c>
      <c r="L442" t="str">
        <f t="shared" si="54"/>
        <v>Y</v>
      </c>
      <c r="M442" t="str">
        <f t="shared" si="55"/>
        <v>Y</v>
      </c>
      <c r="N442" t="str">
        <f t="shared" si="56"/>
        <v>Y</v>
      </c>
      <c r="O442">
        <f t="shared" si="57"/>
        <v>15</v>
      </c>
      <c r="P442" s="6">
        <f t="shared" si="58"/>
        <v>1.0114942528735633</v>
      </c>
      <c r="Q442" s="6">
        <f t="shared" si="59"/>
        <v>3.4090909090909088E-2</v>
      </c>
      <c r="R442">
        <f t="shared" si="60"/>
        <v>1</v>
      </c>
      <c r="S442">
        <f t="shared" si="61"/>
        <v>0</v>
      </c>
      <c r="T442">
        <f t="shared" si="62"/>
        <v>0</v>
      </c>
    </row>
    <row r="443" spans="1:20">
      <c r="A443" t="s">
        <v>817</v>
      </c>
      <c r="B443" t="s">
        <v>177</v>
      </c>
      <c r="C443" t="s">
        <v>12</v>
      </c>
      <c r="D443">
        <v>960</v>
      </c>
      <c r="E443" s="4">
        <v>46084</v>
      </c>
      <c r="F443" s="4">
        <v>46098</v>
      </c>
      <c r="G443" s="4">
        <v>46107</v>
      </c>
      <c r="H443">
        <v>824</v>
      </c>
      <c r="I443" t="s">
        <v>670</v>
      </c>
      <c r="J443">
        <v>13</v>
      </c>
      <c r="K443" t="s">
        <v>1563</v>
      </c>
      <c r="L443" t="str">
        <f t="shared" si="54"/>
        <v>N</v>
      </c>
      <c r="M443" t="str">
        <f t="shared" si="55"/>
        <v>N</v>
      </c>
      <c r="N443" t="str">
        <f t="shared" si="56"/>
        <v>N</v>
      </c>
      <c r="O443">
        <f t="shared" si="57"/>
        <v>23</v>
      </c>
      <c r="P443" s="6">
        <f t="shared" si="58"/>
        <v>0.85833333333333328</v>
      </c>
      <c r="Q443" s="6">
        <f t="shared" si="59"/>
        <v>1.5776699029126214E-2</v>
      </c>
      <c r="R443">
        <f t="shared" si="60"/>
        <v>0</v>
      </c>
      <c r="S443">
        <f t="shared" si="61"/>
        <v>9</v>
      </c>
      <c r="T443">
        <f t="shared" si="62"/>
        <v>4500</v>
      </c>
    </row>
    <row r="444" spans="1:20">
      <c r="A444" t="s">
        <v>818</v>
      </c>
      <c r="B444" t="s">
        <v>40</v>
      </c>
      <c r="C444" t="s">
        <v>12</v>
      </c>
      <c r="D444">
        <v>506</v>
      </c>
      <c r="E444" s="4">
        <v>46160</v>
      </c>
      <c r="F444" s="4">
        <v>46169</v>
      </c>
      <c r="G444" s="4"/>
      <c r="I444" t="s">
        <v>819</v>
      </c>
      <c r="K444" t="s">
        <v>1565</v>
      </c>
      <c r="L444" t="str">
        <f t="shared" si="54"/>
        <v>N/A</v>
      </c>
      <c r="M444" t="str">
        <f t="shared" si="55"/>
        <v>N/A</v>
      </c>
      <c r="N444" t="str">
        <f t="shared" si="56"/>
        <v>N/A</v>
      </c>
      <c r="O444" t="str">
        <f t="shared" si="57"/>
        <v>N/A</v>
      </c>
      <c r="P444" s="6" t="str">
        <f t="shared" si="58"/>
        <v>N/A</v>
      </c>
      <c r="Q444" s="6" t="str">
        <f t="shared" si="59"/>
        <v>N/A</v>
      </c>
      <c r="R444" t="str">
        <f t="shared" si="60"/>
        <v/>
      </c>
      <c r="S444" t="str">
        <f t="shared" si="61"/>
        <v>N/A</v>
      </c>
      <c r="T444">
        <f t="shared" si="62"/>
        <v>0</v>
      </c>
    </row>
    <row r="445" spans="1:20">
      <c r="A445" t="s">
        <v>820</v>
      </c>
      <c r="B445" t="s">
        <v>29</v>
      </c>
      <c r="C445" t="s">
        <v>12</v>
      </c>
      <c r="D445">
        <v>320</v>
      </c>
      <c r="E445" s="4">
        <v>46089</v>
      </c>
      <c r="F445" s="4">
        <v>46100</v>
      </c>
      <c r="G445" s="4">
        <v>46100</v>
      </c>
      <c r="H445">
        <v>315</v>
      </c>
      <c r="I445" t="s">
        <v>821</v>
      </c>
      <c r="J445">
        <v>3</v>
      </c>
      <c r="K445" t="s">
        <v>1563</v>
      </c>
      <c r="L445" t="str">
        <f t="shared" si="54"/>
        <v>Y</v>
      </c>
      <c r="M445" t="str">
        <f t="shared" si="55"/>
        <v>Y</v>
      </c>
      <c r="N445" t="str">
        <f t="shared" si="56"/>
        <v>Y</v>
      </c>
      <c r="O445">
        <f t="shared" si="57"/>
        <v>11</v>
      </c>
      <c r="P445" s="6">
        <f t="shared" si="58"/>
        <v>0.984375</v>
      </c>
      <c r="Q445" s="6">
        <f t="shared" si="59"/>
        <v>9.5238095238095247E-3</v>
      </c>
      <c r="R445">
        <f t="shared" si="60"/>
        <v>1</v>
      </c>
      <c r="S445">
        <f t="shared" si="61"/>
        <v>0</v>
      </c>
      <c r="T445">
        <f t="shared" si="62"/>
        <v>0</v>
      </c>
    </row>
    <row r="446" spans="1:20">
      <c r="A446" t="s">
        <v>822</v>
      </c>
      <c r="B446" t="s">
        <v>46</v>
      </c>
      <c r="C446" t="s">
        <v>16</v>
      </c>
      <c r="D446">
        <v>630</v>
      </c>
      <c r="E446" s="4">
        <v>46118</v>
      </c>
      <c r="F446" s="4">
        <v>46130</v>
      </c>
      <c r="G446" s="4">
        <v>46128</v>
      </c>
      <c r="H446">
        <v>638</v>
      </c>
      <c r="I446" t="s">
        <v>569</v>
      </c>
      <c r="J446">
        <v>19</v>
      </c>
      <c r="K446" t="s">
        <v>1563</v>
      </c>
      <c r="L446" t="str">
        <f t="shared" si="54"/>
        <v>Y</v>
      </c>
      <c r="M446" t="str">
        <f t="shared" si="55"/>
        <v>Y</v>
      </c>
      <c r="N446" t="str">
        <f t="shared" si="56"/>
        <v>Y</v>
      </c>
      <c r="O446">
        <f t="shared" si="57"/>
        <v>10</v>
      </c>
      <c r="P446" s="6">
        <f t="shared" si="58"/>
        <v>1.0126984126984127</v>
      </c>
      <c r="Q446" s="6">
        <f t="shared" si="59"/>
        <v>2.9780564263322883E-2</v>
      </c>
      <c r="R446">
        <f t="shared" si="60"/>
        <v>1</v>
      </c>
      <c r="S446">
        <f t="shared" si="61"/>
        <v>0</v>
      </c>
      <c r="T446">
        <f t="shared" si="62"/>
        <v>0</v>
      </c>
    </row>
    <row r="447" spans="1:20">
      <c r="A447" t="s">
        <v>823</v>
      </c>
      <c r="B447" t="s">
        <v>67</v>
      </c>
      <c r="C447" t="s">
        <v>23</v>
      </c>
      <c r="D447">
        <v>477</v>
      </c>
      <c r="E447" s="4">
        <v>46094</v>
      </c>
      <c r="F447" s="4">
        <v>46099</v>
      </c>
      <c r="G447" s="4">
        <v>46103</v>
      </c>
      <c r="H447">
        <v>482</v>
      </c>
      <c r="I447" t="s">
        <v>824</v>
      </c>
      <c r="J447">
        <v>20</v>
      </c>
      <c r="K447" t="s">
        <v>1563</v>
      </c>
      <c r="L447" t="str">
        <f t="shared" si="54"/>
        <v>N</v>
      </c>
      <c r="M447" t="str">
        <f t="shared" si="55"/>
        <v>Y</v>
      </c>
      <c r="N447" t="str">
        <f t="shared" si="56"/>
        <v>N</v>
      </c>
      <c r="O447">
        <f t="shared" si="57"/>
        <v>9</v>
      </c>
      <c r="P447" s="6">
        <f t="shared" si="58"/>
        <v>1.0104821802935011</v>
      </c>
      <c r="Q447" s="6">
        <f t="shared" si="59"/>
        <v>4.1493775933609957E-2</v>
      </c>
      <c r="R447">
        <f t="shared" si="60"/>
        <v>0</v>
      </c>
      <c r="S447">
        <f t="shared" si="61"/>
        <v>4</v>
      </c>
      <c r="T447">
        <f t="shared" si="62"/>
        <v>2000</v>
      </c>
    </row>
    <row r="448" spans="1:20">
      <c r="A448" t="s">
        <v>825</v>
      </c>
      <c r="B448" t="s">
        <v>26</v>
      </c>
      <c r="C448" t="s">
        <v>12</v>
      </c>
      <c r="D448">
        <v>835</v>
      </c>
      <c r="E448" s="4">
        <v>46069</v>
      </c>
      <c r="F448" s="4">
        <v>46081</v>
      </c>
      <c r="G448" s="4">
        <v>46085</v>
      </c>
      <c r="H448">
        <v>745</v>
      </c>
      <c r="I448" t="s">
        <v>505</v>
      </c>
      <c r="J448">
        <v>17</v>
      </c>
      <c r="K448" t="s">
        <v>1563</v>
      </c>
      <c r="L448" t="str">
        <f t="shared" si="54"/>
        <v>N</v>
      </c>
      <c r="M448" t="str">
        <f t="shared" si="55"/>
        <v>N</v>
      </c>
      <c r="N448" t="str">
        <f t="shared" si="56"/>
        <v>N</v>
      </c>
      <c r="O448">
        <f t="shared" si="57"/>
        <v>16</v>
      </c>
      <c r="P448" s="6">
        <f t="shared" si="58"/>
        <v>0.89221556886227549</v>
      </c>
      <c r="Q448" s="6">
        <f t="shared" si="59"/>
        <v>2.2818791946308724E-2</v>
      </c>
      <c r="R448">
        <f t="shared" si="60"/>
        <v>0</v>
      </c>
      <c r="S448">
        <f t="shared" si="61"/>
        <v>4</v>
      </c>
      <c r="T448">
        <f t="shared" si="62"/>
        <v>2000</v>
      </c>
    </row>
    <row r="449" spans="1:20">
      <c r="A449" t="s">
        <v>826</v>
      </c>
      <c r="B449" t="s">
        <v>49</v>
      </c>
      <c r="C449" t="s">
        <v>16</v>
      </c>
      <c r="D449">
        <v>962</v>
      </c>
      <c r="E449" s="4">
        <v>46125</v>
      </c>
      <c r="F449" s="4">
        <v>46139</v>
      </c>
      <c r="G449" s="4">
        <v>46146</v>
      </c>
      <c r="H449">
        <v>979</v>
      </c>
      <c r="I449" t="s">
        <v>381</v>
      </c>
      <c r="J449">
        <v>14</v>
      </c>
      <c r="K449" t="s">
        <v>1563</v>
      </c>
      <c r="L449" t="str">
        <f t="shared" si="54"/>
        <v>N</v>
      </c>
      <c r="M449" t="str">
        <f t="shared" si="55"/>
        <v>Y</v>
      </c>
      <c r="N449" t="str">
        <f t="shared" si="56"/>
        <v>N</v>
      </c>
      <c r="O449">
        <f t="shared" si="57"/>
        <v>21</v>
      </c>
      <c r="P449" s="6">
        <f t="shared" si="58"/>
        <v>1.0176715176715176</v>
      </c>
      <c r="Q449" s="6">
        <f t="shared" si="59"/>
        <v>1.4300306435137897E-2</v>
      </c>
      <c r="R449">
        <f t="shared" si="60"/>
        <v>0</v>
      </c>
      <c r="S449">
        <f t="shared" si="61"/>
        <v>7</v>
      </c>
      <c r="T449">
        <f t="shared" si="62"/>
        <v>3500</v>
      </c>
    </row>
    <row r="450" spans="1:20">
      <c r="A450" t="s">
        <v>827</v>
      </c>
      <c r="B450" t="s">
        <v>43</v>
      </c>
      <c r="C450" t="s">
        <v>16</v>
      </c>
      <c r="D450">
        <v>384</v>
      </c>
      <c r="E450" s="4">
        <v>46126</v>
      </c>
      <c r="F450" s="4">
        <v>46135</v>
      </c>
      <c r="G450" s="4">
        <v>46135</v>
      </c>
      <c r="H450">
        <v>382</v>
      </c>
      <c r="I450" t="s">
        <v>769</v>
      </c>
      <c r="J450">
        <v>4</v>
      </c>
      <c r="K450" t="s">
        <v>1563</v>
      </c>
      <c r="L450" t="str">
        <f t="shared" ref="L450:L513" si="63">IF(G450="","N/A",IF(G450&lt;=F450,"Y","N"))</f>
        <v>Y</v>
      </c>
      <c r="M450" t="str">
        <f t="shared" ref="M450:M513" si="64">IF(H450="","N/A",IF(H450&gt;=D450*0.98,"Y","N"))</f>
        <v>Y</v>
      </c>
      <c r="N450" t="str">
        <f t="shared" ref="N450:N513" si="65">IF(OR(L450="N/A",M450="N/A"),"N/A",IF(AND(L450="Y",M450="Y"),"Y","N"))</f>
        <v>Y</v>
      </c>
      <c r="O450">
        <f t="shared" ref="O450:O513" si="66">IF(G450="","N/A",G450-E450)</f>
        <v>9</v>
      </c>
      <c r="P450" s="6">
        <f t="shared" ref="P450:P513" si="67">IF(H450="","N/A",H450/D450)</f>
        <v>0.99479166666666663</v>
      </c>
      <c r="Q450" s="6">
        <f t="shared" ref="Q450:Q513" si="68">IF(H450="","N/A",IF(H450=0,0,J450/H450))</f>
        <v>1.0471204188481676E-2</v>
      </c>
      <c r="R450">
        <f t="shared" ref="R450:R513" si="69">IF(N450="Y",1,IF(N450="N",0,""))</f>
        <v>1</v>
      </c>
      <c r="S450">
        <f t="shared" ref="S450:S513" si="70">IF(G450="","N/A",MAX(G450-F450,0))</f>
        <v>0</v>
      </c>
      <c r="T450">
        <f t="shared" ref="T450:T513" si="71">IF(S450="N/A",0,S450*500)</f>
        <v>0</v>
      </c>
    </row>
    <row r="451" spans="1:20">
      <c r="A451" t="s">
        <v>828</v>
      </c>
      <c r="B451" t="s">
        <v>49</v>
      </c>
      <c r="C451" t="s">
        <v>23</v>
      </c>
      <c r="D451">
        <v>693</v>
      </c>
      <c r="E451" s="4">
        <v>46128</v>
      </c>
      <c r="F451" s="4">
        <v>46136</v>
      </c>
      <c r="G451" s="4">
        <v>46134</v>
      </c>
      <c r="H451">
        <v>701</v>
      </c>
      <c r="I451" t="s">
        <v>142</v>
      </c>
      <c r="J451">
        <v>5</v>
      </c>
      <c r="K451" t="s">
        <v>1563</v>
      </c>
      <c r="L451" t="str">
        <f t="shared" si="63"/>
        <v>Y</v>
      </c>
      <c r="M451" t="str">
        <f t="shared" si="64"/>
        <v>Y</v>
      </c>
      <c r="N451" t="str">
        <f t="shared" si="65"/>
        <v>Y</v>
      </c>
      <c r="O451">
        <f t="shared" si="66"/>
        <v>6</v>
      </c>
      <c r="P451" s="6">
        <f t="shared" si="67"/>
        <v>1.0115440115440115</v>
      </c>
      <c r="Q451" s="6">
        <f t="shared" si="68"/>
        <v>7.1326676176890159E-3</v>
      </c>
      <c r="R451">
        <f t="shared" si="69"/>
        <v>1</v>
      </c>
      <c r="S451">
        <f t="shared" si="70"/>
        <v>0</v>
      </c>
      <c r="T451">
        <f t="shared" si="71"/>
        <v>0</v>
      </c>
    </row>
    <row r="452" spans="1:20">
      <c r="A452" t="s">
        <v>829</v>
      </c>
      <c r="B452" t="s">
        <v>46</v>
      </c>
      <c r="C452" t="s">
        <v>16</v>
      </c>
      <c r="D452">
        <v>225</v>
      </c>
      <c r="E452" s="4">
        <v>46170</v>
      </c>
      <c r="F452" s="4">
        <v>46185</v>
      </c>
      <c r="G452" s="4">
        <v>46186</v>
      </c>
      <c r="H452">
        <v>228</v>
      </c>
      <c r="I452" t="s">
        <v>92</v>
      </c>
      <c r="J452">
        <v>10</v>
      </c>
      <c r="K452" t="s">
        <v>1563</v>
      </c>
      <c r="L452" t="str">
        <f t="shared" si="63"/>
        <v>N</v>
      </c>
      <c r="M452" t="str">
        <f t="shared" si="64"/>
        <v>Y</v>
      </c>
      <c r="N452" t="str">
        <f t="shared" si="65"/>
        <v>N</v>
      </c>
      <c r="O452">
        <f t="shared" si="66"/>
        <v>16</v>
      </c>
      <c r="P452" s="6">
        <f t="shared" si="67"/>
        <v>1.0133333333333334</v>
      </c>
      <c r="Q452" s="6">
        <f t="shared" si="68"/>
        <v>4.3859649122807015E-2</v>
      </c>
      <c r="R452">
        <f t="shared" si="69"/>
        <v>0</v>
      </c>
      <c r="S452">
        <f t="shared" si="70"/>
        <v>1</v>
      </c>
      <c r="T452">
        <f t="shared" si="71"/>
        <v>500</v>
      </c>
    </row>
    <row r="453" spans="1:20">
      <c r="A453" t="s">
        <v>830</v>
      </c>
      <c r="B453" t="s">
        <v>43</v>
      </c>
      <c r="C453" t="s">
        <v>16</v>
      </c>
      <c r="D453">
        <v>755</v>
      </c>
      <c r="E453" s="4">
        <v>46173</v>
      </c>
      <c r="F453" s="4">
        <v>46179</v>
      </c>
      <c r="G453" s="4">
        <v>46187</v>
      </c>
      <c r="H453">
        <v>765</v>
      </c>
      <c r="I453" t="s">
        <v>831</v>
      </c>
      <c r="J453">
        <v>50</v>
      </c>
      <c r="K453" t="s">
        <v>1563</v>
      </c>
      <c r="L453" t="str">
        <f t="shared" si="63"/>
        <v>N</v>
      </c>
      <c r="M453" t="str">
        <f t="shared" si="64"/>
        <v>Y</v>
      </c>
      <c r="N453" t="str">
        <f t="shared" si="65"/>
        <v>N</v>
      </c>
      <c r="O453">
        <f t="shared" si="66"/>
        <v>14</v>
      </c>
      <c r="P453" s="6">
        <f t="shared" si="67"/>
        <v>1.0132450331125828</v>
      </c>
      <c r="Q453" s="6">
        <f t="shared" si="68"/>
        <v>6.535947712418301E-2</v>
      </c>
      <c r="R453">
        <f t="shared" si="69"/>
        <v>0</v>
      </c>
      <c r="S453">
        <f t="shared" si="70"/>
        <v>8</v>
      </c>
      <c r="T453">
        <f t="shared" si="71"/>
        <v>4000</v>
      </c>
    </row>
    <row r="454" spans="1:20">
      <c r="A454" t="s">
        <v>832</v>
      </c>
      <c r="B454" t="s">
        <v>43</v>
      </c>
      <c r="C454" t="s">
        <v>23</v>
      </c>
      <c r="D454">
        <v>737</v>
      </c>
      <c r="E454" s="4">
        <v>46110</v>
      </c>
      <c r="F454" s="4">
        <v>46116</v>
      </c>
      <c r="G454" s="4">
        <v>46117</v>
      </c>
      <c r="H454">
        <v>733</v>
      </c>
      <c r="I454" t="s">
        <v>833</v>
      </c>
      <c r="J454">
        <v>6</v>
      </c>
      <c r="K454" t="s">
        <v>1563</v>
      </c>
      <c r="L454" t="str">
        <f t="shared" si="63"/>
        <v>N</v>
      </c>
      <c r="M454" t="str">
        <f t="shared" si="64"/>
        <v>Y</v>
      </c>
      <c r="N454" t="str">
        <f t="shared" si="65"/>
        <v>N</v>
      </c>
      <c r="O454">
        <f t="shared" si="66"/>
        <v>7</v>
      </c>
      <c r="P454" s="6">
        <f t="shared" si="67"/>
        <v>0.99457259158751699</v>
      </c>
      <c r="Q454" s="6">
        <f t="shared" si="68"/>
        <v>8.1855388813096858E-3</v>
      </c>
      <c r="R454">
        <f t="shared" si="69"/>
        <v>0</v>
      </c>
      <c r="S454">
        <f t="shared" si="70"/>
        <v>1</v>
      </c>
      <c r="T454">
        <f t="shared" si="71"/>
        <v>500</v>
      </c>
    </row>
    <row r="455" spans="1:20">
      <c r="A455" t="s">
        <v>834</v>
      </c>
      <c r="B455" t="s">
        <v>11</v>
      </c>
      <c r="C455" t="s">
        <v>16</v>
      </c>
      <c r="D455">
        <v>734</v>
      </c>
      <c r="E455" s="4">
        <v>46148</v>
      </c>
      <c r="F455" s="4">
        <v>46155</v>
      </c>
      <c r="G455" s="4">
        <v>46153</v>
      </c>
      <c r="H455">
        <v>739</v>
      </c>
      <c r="I455" t="s">
        <v>722</v>
      </c>
      <c r="J455">
        <v>11</v>
      </c>
      <c r="K455" t="s">
        <v>1563</v>
      </c>
      <c r="L455" t="str">
        <f t="shared" si="63"/>
        <v>Y</v>
      </c>
      <c r="M455" t="str">
        <f t="shared" si="64"/>
        <v>Y</v>
      </c>
      <c r="N455" t="str">
        <f t="shared" si="65"/>
        <v>Y</v>
      </c>
      <c r="O455">
        <f t="shared" si="66"/>
        <v>5</v>
      </c>
      <c r="P455" s="6">
        <f t="shared" si="67"/>
        <v>1.0068119891008174</v>
      </c>
      <c r="Q455" s="6">
        <f t="shared" si="68"/>
        <v>1.4884979702300407E-2</v>
      </c>
      <c r="R455">
        <f t="shared" si="69"/>
        <v>1</v>
      </c>
      <c r="S455">
        <f t="shared" si="70"/>
        <v>0</v>
      </c>
      <c r="T455">
        <f t="shared" si="71"/>
        <v>0</v>
      </c>
    </row>
    <row r="456" spans="1:20">
      <c r="A456" t="s">
        <v>835</v>
      </c>
      <c r="B456" t="s">
        <v>120</v>
      </c>
      <c r="C456" t="s">
        <v>12</v>
      </c>
      <c r="D456">
        <v>564</v>
      </c>
      <c r="E456" s="4">
        <v>46062</v>
      </c>
      <c r="F456" s="4">
        <v>46076</v>
      </c>
      <c r="G456" s="4">
        <v>46074</v>
      </c>
      <c r="H456">
        <v>497</v>
      </c>
      <c r="I456" t="s">
        <v>836</v>
      </c>
      <c r="J456">
        <v>23</v>
      </c>
      <c r="K456" t="s">
        <v>1563</v>
      </c>
      <c r="L456" t="str">
        <f t="shared" si="63"/>
        <v>Y</v>
      </c>
      <c r="M456" t="str">
        <f t="shared" si="64"/>
        <v>N</v>
      </c>
      <c r="N456" t="str">
        <f t="shared" si="65"/>
        <v>N</v>
      </c>
      <c r="O456">
        <f t="shared" si="66"/>
        <v>12</v>
      </c>
      <c r="P456" s="6">
        <f t="shared" si="67"/>
        <v>0.88120567375886527</v>
      </c>
      <c r="Q456" s="6">
        <f t="shared" si="68"/>
        <v>4.6277665995975853E-2</v>
      </c>
      <c r="R456">
        <f t="shared" si="69"/>
        <v>0</v>
      </c>
      <c r="S456">
        <f t="shared" si="70"/>
        <v>0</v>
      </c>
      <c r="T456">
        <f t="shared" si="71"/>
        <v>0</v>
      </c>
    </row>
    <row r="457" spans="1:20">
      <c r="A457" t="s">
        <v>837</v>
      </c>
      <c r="B457" t="s">
        <v>40</v>
      </c>
      <c r="C457" t="s">
        <v>12</v>
      </c>
      <c r="D457">
        <v>409</v>
      </c>
      <c r="E457" s="4">
        <v>46149</v>
      </c>
      <c r="F457" s="4">
        <v>46157</v>
      </c>
      <c r="G457" s="4">
        <v>46156</v>
      </c>
      <c r="H457">
        <v>407</v>
      </c>
      <c r="I457" t="s">
        <v>307</v>
      </c>
      <c r="J457">
        <v>20</v>
      </c>
      <c r="K457" t="s">
        <v>1563</v>
      </c>
      <c r="L457" t="str">
        <f t="shared" si="63"/>
        <v>Y</v>
      </c>
      <c r="M457" t="str">
        <f t="shared" si="64"/>
        <v>Y</v>
      </c>
      <c r="N457" t="str">
        <f t="shared" si="65"/>
        <v>Y</v>
      </c>
      <c r="O457">
        <f t="shared" si="66"/>
        <v>7</v>
      </c>
      <c r="P457" s="6">
        <f t="shared" si="67"/>
        <v>0.99511002444987773</v>
      </c>
      <c r="Q457" s="6">
        <f t="shared" si="68"/>
        <v>4.9140049140049137E-2</v>
      </c>
      <c r="R457">
        <f t="shared" si="69"/>
        <v>1</v>
      </c>
      <c r="S457">
        <f t="shared" si="70"/>
        <v>0</v>
      </c>
      <c r="T457">
        <f t="shared" si="71"/>
        <v>0</v>
      </c>
    </row>
    <row r="458" spans="1:20">
      <c r="A458" t="s">
        <v>838</v>
      </c>
      <c r="B458" t="s">
        <v>100</v>
      </c>
      <c r="C458" t="s">
        <v>16</v>
      </c>
      <c r="D458">
        <v>915</v>
      </c>
      <c r="E458" s="4">
        <v>46048</v>
      </c>
      <c r="F458" s="4">
        <v>46062</v>
      </c>
      <c r="G458" s="4">
        <v>46060</v>
      </c>
      <c r="H458">
        <v>801</v>
      </c>
      <c r="I458" t="s">
        <v>452</v>
      </c>
      <c r="J458">
        <v>16</v>
      </c>
      <c r="K458" t="s">
        <v>1563</v>
      </c>
      <c r="L458" t="str">
        <f t="shared" si="63"/>
        <v>Y</v>
      </c>
      <c r="M458" t="str">
        <f t="shared" si="64"/>
        <v>N</v>
      </c>
      <c r="N458" t="str">
        <f t="shared" si="65"/>
        <v>N</v>
      </c>
      <c r="O458">
        <f t="shared" si="66"/>
        <v>12</v>
      </c>
      <c r="P458" s="6">
        <f t="shared" si="67"/>
        <v>0.87540983606557377</v>
      </c>
      <c r="Q458" s="6">
        <f t="shared" si="68"/>
        <v>1.9975031210986267E-2</v>
      </c>
      <c r="R458">
        <f t="shared" si="69"/>
        <v>0</v>
      </c>
      <c r="S458">
        <f t="shared" si="70"/>
        <v>0</v>
      </c>
      <c r="T458">
        <f t="shared" si="71"/>
        <v>0</v>
      </c>
    </row>
    <row r="459" spans="1:20">
      <c r="A459" t="s">
        <v>839</v>
      </c>
      <c r="B459" t="s">
        <v>67</v>
      </c>
      <c r="C459" t="s">
        <v>23</v>
      </c>
      <c r="D459">
        <v>243</v>
      </c>
      <c r="E459" s="4">
        <v>46122</v>
      </c>
      <c r="F459" s="4">
        <v>46127</v>
      </c>
      <c r="G459" s="4">
        <v>46125</v>
      </c>
      <c r="H459">
        <v>238</v>
      </c>
      <c r="I459" t="s">
        <v>840</v>
      </c>
      <c r="J459">
        <v>4</v>
      </c>
      <c r="K459" t="s">
        <v>1563</v>
      </c>
      <c r="L459" t="str">
        <f t="shared" si="63"/>
        <v>Y</v>
      </c>
      <c r="M459" t="str">
        <f t="shared" si="64"/>
        <v>N</v>
      </c>
      <c r="N459" t="str">
        <f t="shared" si="65"/>
        <v>N</v>
      </c>
      <c r="O459">
        <f t="shared" si="66"/>
        <v>3</v>
      </c>
      <c r="P459" s="6">
        <f t="shared" si="67"/>
        <v>0.97942386831275718</v>
      </c>
      <c r="Q459" s="6">
        <f t="shared" si="68"/>
        <v>1.680672268907563E-2</v>
      </c>
      <c r="R459">
        <f t="shared" si="69"/>
        <v>0</v>
      </c>
      <c r="S459">
        <f t="shared" si="70"/>
        <v>0</v>
      </c>
      <c r="T459">
        <f t="shared" si="71"/>
        <v>0</v>
      </c>
    </row>
    <row r="460" spans="1:20">
      <c r="A460" t="s">
        <v>841</v>
      </c>
      <c r="B460" t="s">
        <v>177</v>
      </c>
      <c r="C460" t="s">
        <v>16</v>
      </c>
      <c r="D460">
        <v>172</v>
      </c>
      <c r="E460" s="4">
        <v>46043</v>
      </c>
      <c r="F460" s="4">
        <v>46050</v>
      </c>
      <c r="G460" s="4">
        <v>46049</v>
      </c>
      <c r="H460">
        <v>170</v>
      </c>
      <c r="I460" t="s">
        <v>401</v>
      </c>
      <c r="J460">
        <v>3</v>
      </c>
      <c r="K460" t="s">
        <v>1563</v>
      </c>
      <c r="L460" t="str">
        <f t="shared" si="63"/>
        <v>Y</v>
      </c>
      <c r="M460" t="str">
        <f t="shared" si="64"/>
        <v>Y</v>
      </c>
      <c r="N460" t="str">
        <f t="shared" si="65"/>
        <v>Y</v>
      </c>
      <c r="O460">
        <f t="shared" si="66"/>
        <v>6</v>
      </c>
      <c r="P460" s="6">
        <f t="shared" si="67"/>
        <v>0.98837209302325579</v>
      </c>
      <c r="Q460" s="6">
        <f t="shared" si="68"/>
        <v>1.7647058823529412E-2</v>
      </c>
      <c r="R460">
        <f t="shared" si="69"/>
        <v>1</v>
      </c>
      <c r="S460">
        <f t="shared" si="70"/>
        <v>0</v>
      </c>
      <c r="T460">
        <f t="shared" si="71"/>
        <v>0</v>
      </c>
    </row>
    <row r="461" spans="1:20">
      <c r="A461" t="s">
        <v>842</v>
      </c>
      <c r="B461" t="s">
        <v>35</v>
      </c>
      <c r="C461" t="s">
        <v>16</v>
      </c>
      <c r="D461">
        <v>966</v>
      </c>
      <c r="E461" s="4">
        <v>46144</v>
      </c>
      <c r="F461" s="4">
        <v>46152</v>
      </c>
      <c r="G461" s="4">
        <v>46152</v>
      </c>
      <c r="H461">
        <v>951</v>
      </c>
      <c r="I461" t="s">
        <v>843</v>
      </c>
      <c r="J461">
        <v>39</v>
      </c>
      <c r="K461" t="s">
        <v>1563</v>
      </c>
      <c r="L461" t="str">
        <f t="shared" si="63"/>
        <v>Y</v>
      </c>
      <c r="M461" t="str">
        <f t="shared" si="64"/>
        <v>Y</v>
      </c>
      <c r="N461" t="str">
        <f t="shared" si="65"/>
        <v>Y</v>
      </c>
      <c r="O461">
        <f t="shared" si="66"/>
        <v>8</v>
      </c>
      <c r="P461" s="6">
        <f t="shared" si="67"/>
        <v>0.98447204968944102</v>
      </c>
      <c r="Q461" s="6">
        <f t="shared" si="68"/>
        <v>4.1009463722397478E-2</v>
      </c>
      <c r="R461">
        <f t="shared" si="69"/>
        <v>1</v>
      </c>
      <c r="S461">
        <f t="shared" si="70"/>
        <v>0</v>
      </c>
      <c r="T461">
        <f t="shared" si="71"/>
        <v>0</v>
      </c>
    </row>
    <row r="462" spans="1:20">
      <c r="A462" t="s">
        <v>844</v>
      </c>
      <c r="B462" t="s">
        <v>46</v>
      </c>
      <c r="C462" t="s">
        <v>12</v>
      </c>
      <c r="D462">
        <v>553</v>
      </c>
      <c r="E462" s="4">
        <v>46170</v>
      </c>
      <c r="F462" s="4">
        <v>46184</v>
      </c>
      <c r="G462" s="4">
        <v>46183</v>
      </c>
      <c r="H462">
        <v>552</v>
      </c>
      <c r="I462" t="s">
        <v>136</v>
      </c>
      <c r="J462">
        <v>35</v>
      </c>
      <c r="K462" t="s">
        <v>1563</v>
      </c>
      <c r="L462" t="str">
        <f t="shared" si="63"/>
        <v>Y</v>
      </c>
      <c r="M462" t="str">
        <f t="shared" si="64"/>
        <v>Y</v>
      </c>
      <c r="N462" t="str">
        <f t="shared" si="65"/>
        <v>Y</v>
      </c>
      <c r="O462">
        <f t="shared" si="66"/>
        <v>13</v>
      </c>
      <c r="P462" s="6">
        <f t="shared" si="67"/>
        <v>0.99819168173598549</v>
      </c>
      <c r="Q462" s="6">
        <f t="shared" si="68"/>
        <v>6.3405797101449279E-2</v>
      </c>
      <c r="R462">
        <f t="shared" si="69"/>
        <v>1</v>
      </c>
      <c r="S462">
        <f t="shared" si="70"/>
        <v>0</v>
      </c>
      <c r="T462">
        <f t="shared" si="71"/>
        <v>0</v>
      </c>
    </row>
    <row r="463" spans="1:20">
      <c r="A463" t="s">
        <v>845</v>
      </c>
      <c r="B463" t="s">
        <v>26</v>
      </c>
      <c r="C463" t="s">
        <v>12</v>
      </c>
      <c r="D463">
        <v>615</v>
      </c>
      <c r="E463" s="4">
        <v>46039</v>
      </c>
      <c r="F463" s="4">
        <v>46048</v>
      </c>
      <c r="G463" s="4">
        <v>46045</v>
      </c>
      <c r="H463">
        <v>626</v>
      </c>
      <c r="I463" t="s">
        <v>167</v>
      </c>
      <c r="J463">
        <v>6</v>
      </c>
      <c r="K463" t="s">
        <v>1563</v>
      </c>
      <c r="L463" t="str">
        <f t="shared" si="63"/>
        <v>Y</v>
      </c>
      <c r="M463" t="str">
        <f t="shared" si="64"/>
        <v>Y</v>
      </c>
      <c r="N463" t="str">
        <f t="shared" si="65"/>
        <v>Y</v>
      </c>
      <c r="O463">
        <f t="shared" si="66"/>
        <v>6</v>
      </c>
      <c r="P463" s="6">
        <f t="shared" si="67"/>
        <v>1.0178861788617886</v>
      </c>
      <c r="Q463" s="6">
        <f t="shared" si="68"/>
        <v>9.5846645367412137E-3</v>
      </c>
      <c r="R463">
        <f t="shared" si="69"/>
        <v>1</v>
      </c>
      <c r="S463">
        <f t="shared" si="70"/>
        <v>0</v>
      </c>
      <c r="T463">
        <f t="shared" si="71"/>
        <v>0</v>
      </c>
    </row>
    <row r="464" spans="1:20">
      <c r="A464" t="s">
        <v>846</v>
      </c>
      <c r="B464" t="s">
        <v>29</v>
      </c>
      <c r="C464" t="s">
        <v>16</v>
      </c>
      <c r="D464">
        <v>355</v>
      </c>
      <c r="E464" s="4">
        <v>46147</v>
      </c>
      <c r="F464" s="4">
        <v>46152</v>
      </c>
      <c r="G464" s="4">
        <v>46150</v>
      </c>
      <c r="H464">
        <v>357</v>
      </c>
      <c r="I464" t="s">
        <v>125</v>
      </c>
      <c r="J464">
        <v>2</v>
      </c>
      <c r="K464" t="s">
        <v>1563</v>
      </c>
      <c r="L464" t="str">
        <f t="shared" si="63"/>
        <v>Y</v>
      </c>
      <c r="M464" t="str">
        <f t="shared" si="64"/>
        <v>Y</v>
      </c>
      <c r="N464" t="str">
        <f t="shared" si="65"/>
        <v>Y</v>
      </c>
      <c r="O464">
        <f t="shared" si="66"/>
        <v>3</v>
      </c>
      <c r="P464" s="6">
        <f t="shared" si="67"/>
        <v>1.0056338028169014</v>
      </c>
      <c r="Q464" s="6">
        <f t="shared" si="68"/>
        <v>5.6022408963585435E-3</v>
      </c>
      <c r="R464">
        <f t="shared" si="69"/>
        <v>1</v>
      </c>
      <c r="S464">
        <f t="shared" si="70"/>
        <v>0</v>
      </c>
      <c r="T464">
        <f t="shared" si="71"/>
        <v>0</v>
      </c>
    </row>
    <row r="465" spans="1:20">
      <c r="A465" t="s">
        <v>847</v>
      </c>
      <c r="B465" t="s">
        <v>100</v>
      </c>
      <c r="C465" t="s">
        <v>16</v>
      </c>
      <c r="D465">
        <v>988</v>
      </c>
      <c r="E465" s="4">
        <v>46107</v>
      </c>
      <c r="F465" s="4">
        <v>46117</v>
      </c>
      <c r="G465" s="4">
        <v>46114</v>
      </c>
      <c r="H465">
        <v>981</v>
      </c>
      <c r="I465" t="s">
        <v>848</v>
      </c>
      <c r="J465">
        <v>38</v>
      </c>
      <c r="K465" t="s">
        <v>1563</v>
      </c>
      <c r="L465" t="str">
        <f t="shared" si="63"/>
        <v>Y</v>
      </c>
      <c r="M465" t="str">
        <f t="shared" si="64"/>
        <v>Y</v>
      </c>
      <c r="N465" t="str">
        <f t="shared" si="65"/>
        <v>Y</v>
      </c>
      <c r="O465">
        <f t="shared" si="66"/>
        <v>7</v>
      </c>
      <c r="P465" s="6">
        <f t="shared" si="67"/>
        <v>0.99291497975708498</v>
      </c>
      <c r="Q465" s="6">
        <f t="shared" si="68"/>
        <v>3.8735983690112129E-2</v>
      </c>
      <c r="R465">
        <f t="shared" si="69"/>
        <v>1</v>
      </c>
      <c r="S465">
        <f t="shared" si="70"/>
        <v>0</v>
      </c>
      <c r="T465">
        <f t="shared" si="71"/>
        <v>0</v>
      </c>
    </row>
    <row r="466" spans="1:20">
      <c r="A466" t="s">
        <v>849</v>
      </c>
      <c r="B466" t="s">
        <v>70</v>
      </c>
      <c r="C466" t="s">
        <v>12</v>
      </c>
      <c r="D466">
        <v>672</v>
      </c>
      <c r="E466" s="4">
        <v>46063</v>
      </c>
      <c r="F466" s="4">
        <v>46072</v>
      </c>
      <c r="G466" s="4">
        <v>46075</v>
      </c>
      <c r="H466">
        <v>668</v>
      </c>
      <c r="I466" t="s">
        <v>115</v>
      </c>
      <c r="J466">
        <v>12</v>
      </c>
      <c r="K466" t="s">
        <v>1563</v>
      </c>
      <c r="L466" t="str">
        <f t="shared" si="63"/>
        <v>N</v>
      </c>
      <c r="M466" t="str">
        <f t="shared" si="64"/>
        <v>Y</v>
      </c>
      <c r="N466" t="str">
        <f t="shared" si="65"/>
        <v>N</v>
      </c>
      <c r="O466">
        <f t="shared" si="66"/>
        <v>12</v>
      </c>
      <c r="P466" s="6">
        <f t="shared" si="67"/>
        <v>0.99404761904761907</v>
      </c>
      <c r="Q466" s="6">
        <f t="shared" si="68"/>
        <v>1.7964071856287425E-2</v>
      </c>
      <c r="R466">
        <f t="shared" si="69"/>
        <v>0</v>
      </c>
      <c r="S466">
        <f t="shared" si="70"/>
        <v>3</v>
      </c>
      <c r="T466">
        <f t="shared" si="71"/>
        <v>1500</v>
      </c>
    </row>
    <row r="467" spans="1:20">
      <c r="A467" t="s">
        <v>850</v>
      </c>
      <c r="B467" t="s">
        <v>11</v>
      </c>
      <c r="C467" t="s">
        <v>16</v>
      </c>
      <c r="D467">
        <v>125</v>
      </c>
      <c r="E467" s="4">
        <v>46144</v>
      </c>
      <c r="F467" s="4">
        <v>46155</v>
      </c>
      <c r="G467" s="4">
        <v>46155</v>
      </c>
      <c r="H467">
        <v>116</v>
      </c>
      <c r="I467" t="s">
        <v>737</v>
      </c>
      <c r="J467">
        <v>2</v>
      </c>
      <c r="K467" t="s">
        <v>1563</v>
      </c>
      <c r="L467" t="str">
        <f t="shared" si="63"/>
        <v>Y</v>
      </c>
      <c r="M467" t="str">
        <f t="shared" si="64"/>
        <v>N</v>
      </c>
      <c r="N467" t="str">
        <f t="shared" si="65"/>
        <v>N</v>
      </c>
      <c r="O467">
        <f t="shared" si="66"/>
        <v>11</v>
      </c>
      <c r="P467" s="6">
        <f t="shared" si="67"/>
        <v>0.92800000000000005</v>
      </c>
      <c r="Q467" s="6">
        <f t="shared" si="68"/>
        <v>1.7241379310344827E-2</v>
      </c>
      <c r="R467">
        <f t="shared" si="69"/>
        <v>0</v>
      </c>
      <c r="S467">
        <f t="shared" si="70"/>
        <v>0</v>
      </c>
      <c r="T467">
        <f t="shared" si="71"/>
        <v>0</v>
      </c>
    </row>
    <row r="468" spans="1:20">
      <c r="A468" t="s">
        <v>851</v>
      </c>
      <c r="B468" t="s">
        <v>52</v>
      </c>
      <c r="C468" t="s">
        <v>12</v>
      </c>
      <c r="D468">
        <v>616</v>
      </c>
      <c r="E468" s="4">
        <v>46035</v>
      </c>
      <c r="F468" s="4">
        <v>46047</v>
      </c>
      <c r="G468" s="4">
        <v>46046</v>
      </c>
      <c r="H468">
        <v>519</v>
      </c>
      <c r="I468" t="s">
        <v>647</v>
      </c>
      <c r="J468">
        <v>0</v>
      </c>
      <c r="K468" t="s">
        <v>1563</v>
      </c>
      <c r="L468" t="str">
        <f t="shared" si="63"/>
        <v>Y</v>
      </c>
      <c r="M468" t="str">
        <f t="shared" si="64"/>
        <v>N</v>
      </c>
      <c r="N468" t="str">
        <f t="shared" si="65"/>
        <v>N</v>
      </c>
      <c r="O468">
        <f t="shared" si="66"/>
        <v>11</v>
      </c>
      <c r="P468" s="6">
        <f t="shared" si="67"/>
        <v>0.84253246753246758</v>
      </c>
      <c r="Q468" s="6">
        <f t="shared" si="68"/>
        <v>0</v>
      </c>
      <c r="R468">
        <f t="shared" si="69"/>
        <v>0</v>
      </c>
      <c r="S468">
        <f t="shared" si="70"/>
        <v>0</v>
      </c>
      <c r="T468">
        <f t="shared" si="71"/>
        <v>0</v>
      </c>
    </row>
    <row r="469" spans="1:20">
      <c r="A469" t="s">
        <v>852</v>
      </c>
      <c r="B469" t="s">
        <v>29</v>
      </c>
      <c r="C469" t="s">
        <v>12</v>
      </c>
      <c r="D469">
        <v>176</v>
      </c>
      <c r="E469" s="4">
        <v>46175</v>
      </c>
      <c r="F469" s="4">
        <v>46180</v>
      </c>
      <c r="G469" s="4">
        <v>46183</v>
      </c>
      <c r="H469">
        <v>177</v>
      </c>
      <c r="I469" t="s">
        <v>73</v>
      </c>
      <c r="J469">
        <v>2</v>
      </c>
      <c r="K469" t="s">
        <v>1563</v>
      </c>
      <c r="L469" t="str">
        <f t="shared" si="63"/>
        <v>N</v>
      </c>
      <c r="M469" t="str">
        <f t="shared" si="64"/>
        <v>Y</v>
      </c>
      <c r="N469" t="str">
        <f t="shared" si="65"/>
        <v>N</v>
      </c>
      <c r="O469">
        <f t="shared" si="66"/>
        <v>8</v>
      </c>
      <c r="P469" s="6">
        <f t="shared" si="67"/>
        <v>1.0056818181818181</v>
      </c>
      <c r="Q469" s="6">
        <f t="shared" si="68"/>
        <v>1.1299435028248588E-2</v>
      </c>
      <c r="R469">
        <f t="shared" si="69"/>
        <v>0</v>
      </c>
      <c r="S469">
        <f t="shared" si="70"/>
        <v>3</v>
      </c>
      <c r="T469">
        <f t="shared" si="71"/>
        <v>1500</v>
      </c>
    </row>
    <row r="470" spans="1:20">
      <c r="A470" t="s">
        <v>853</v>
      </c>
      <c r="B470" t="s">
        <v>22</v>
      </c>
      <c r="C470" t="s">
        <v>12</v>
      </c>
      <c r="D470">
        <v>747</v>
      </c>
      <c r="E470" s="4">
        <v>46033</v>
      </c>
      <c r="F470" s="4">
        <v>46043</v>
      </c>
      <c r="G470" s="4">
        <v>46047</v>
      </c>
      <c r="H470">
        <v>643</v>
      </c>
      <c r="I470" t="s">
        <v>854</v>
      </c>
      <c r="J470">
        <v>24</v>
      </c>
      <c r="K470" t="s">
        <v>1563</v>
      </c>
      <c r="L470" t="str">
        <f t="shared" si="63"/>
        <v>N</v>
      </c>
      <c r="M470" t="str">
        <f t="shared" si="64"/>
        <v>N</v>
      </c>
      <c r="N470" t="str">
        <f t="shared" si="65"/>
        <v>N</v>
      </c>
      <c r="O470">
        <f t="shared" si="66"/>
        <v>14</v>
      </c>
      <c r="P470" s="6">
        <f t="shared" si="67"/>
        <v>0.86077643908969215</v>
      </c>
      <c r="Q470" s="6">
        <f t="shared" si="68"/>
        <v>3.7325038880248837E-2</v>
      </c>
      <c r="R470">
        <f t="shared" si="69"/>
        <v>0</v>
      </c>
      <c r="S470">
        <f t="shared" si="70"/>
        <v>4</v>
      </c>
      <c r="T470">
        <f t="shared" si="71"/>
        <v>2000</v>
      </c>
    </row>
    <row r="471" spans="1:20">
      <c r="A471" t="s">
        <v>855</v>
      </c>
      <c r="B471" t="s">
        <v>43</v>
      </c>
      <c r="C471" t="s">
        <v>16</v>
      </c>
      <c r="D471">
        <v>183</v>
      </c>
      <c r="E471" s="4">
        <v>46030</v>
      </c>
      <c r="F471" s="4">
        <v>46044</v>
      </c>
      <c r="G471" s="4">
        <v>46041</v>
      </c>
      <c r="H471">
        <v>184</v>
      </c>
      <c r="I471" t="s">
        <v>856</v>
      </c>
      <c r="J471">
        <v>8</v>
      </c>
      <c r="K471" t="s">
        <v>1563</v>
      </c>
      <c r="L471" t="str">
        <f t="shared" si="63"/>
        <v>Y</v>
      </c>
      <c r="M471" t="str">
        <f t="shared" si="64"/>
        <v>Y</v>
      </c>
      <c r="N471" t="str">
        <f t="shared" si="65"/>
        <v>Y</v>
      </c>
      <c r="O471">
        <f t="shared" si="66"/>
        <v>11</v>
      </c>
      <c r="P471" s="6">
        <f t="shared" si="67"/>
        <v>1.0054644808743169</v>
      </c>
      <c r="Q471" s="6">
        <f t="shared" si="68"/>
        <v>4.3478260869565216E-2</v>
      </c>
      <c r="R471">
        <f t="shared" si="69"/>
        <v>1</v>
      </c>
      <c r="S471">
        <f t="shared" si="70"/>
        <v>0</v>
      </c>
      <c r="T471">
        <f t="shared" si="71"/>
        <v>0</v>
      </c>
    </row>
    <row r="472" spans="1:20">
      <c r="A472" t="s">
        <v>857</v>
      </c>
      <c r="B472" t="s">
        <v>81</v>
      </c>
      <c r="C472" t="s">
        <v>12</v>
      </c>
      <c r="D472">
        <v>553</v>
      </c>
      <c r="E472" s="4">
        <v>46116</v>
      </c>
      <c r="F472" s="4">
        <v>46125</v>
      </c>
      <c r="G472" s="4">
        <v>46124</v>
      </c>
      <c r="H472">
        <v>557</v>
      </c>
      <c r="I472" t="s">
        <v>605</v>
      </c>
      <c r="J472">
        <v>1</v>
      </c>
      <c r="K472" t="s">
        <v>1563</v>
      </c>
      <c r="L472" t="str">
        <f t="shared" si="63"/>
        <v>Y</v>
      </c>
      <c r="M472" t="str">
        <f t="shared" si="64"/>
        <v>Y</v>
      </c>
      <c r="N472" t="str">
        <f t="shared" si="65"/>
        <v>Y</v>
      </c>
      <c r="O472">
        <f t="shared" si="66"/>
        <v>8</v>
      </c>
      <c r="P472" s="6">
        <f t="shared" si="67"/>
        <v>1.0072332730560578</v>
      </c>
      <c r="Q472" s="6">
        <f t="shared" si="68"/>
        <v>1.7953321364452424E-3</v>
      </c>
      <c r="R472">
        <f t="shared" si="69"/>
        <v>1</v>
      </c>
      <c r="S472">
        <f t="shared" si="70"/>
        <v>0</v>
      </c>
      <c r="T472">
        <f t="shared" si="71"/>
        <v>0</v>
      </c>
    </row>
    <row r="473" spans="1:20">
      <c r="A473" t="s">
        <v>858</v>
      </c>
      <c r="B473" t="s">
        <v>46</v>
      </c>
      <c r="C473" t="s">
        <v>12</v>
      </c>
      <c r="D473">
        <v>263</v>
      </c>
      <c r="E473" s="4">
        <v>46132</v>
      </c>
      <c r="F473" s="4">
        <v>46141</v>
      </c>
      <c r="G473" s="4">
        <v>46139</v>
      </c>
      <c r="H473">
        <v>264</v>
      </c>
      <c r="I473" t="s">
        <v>391</v>
      </c>
      <c r="J473">
        <v>17</v>
      </c>
      <c r="K473" t="s">
        <v>1563</v>
      </c>
      <c r="L473" t="str">
        <f t="shared" si="63"/>
        <v>Y</v>
      </c>
      <c r="M473" t="str">
        <f t="shared" si="64"/>
        <v>Y</v>
      </c>
      <c r="N473" t="str">
        <f t="shared" si="65"/>
        <v>Y</v>
      </c>
      <c r="O473">
        <f t="shared" si="66"/>
        <v>7</v>
      </c>
      <c r="P473" s="6">
        <f t="shared" si="67"/>
        <v>1.0038022813688212</v>
      </c>
      <c r="Q473" s="6">
        <f t="shared" si="68"/>
        <v>6.4393939393939392E-2</v>
      </c>
      <c r="R473">
        <f t="shared" si="69"/>
        <v>1</v>
      </c>
      <c r="S473">
        <f t="shared" si="70"/>
        <v>0</v>
      </c>
      <c r="T473">
        <f t="shared" si="71"/>
        <v>0</v>
      </c>
    </row>
    <row r="474" spans="1:20">
      <c r="A474" t="s">
        <v>859</v>
      </c>
      <c r="B474" t="s">
        <v>177</v>
      </c>
      <c r="C474" t="s">
        <v>16</v>
      </c>
      <c r="D474">
        <v>707</v>
      </c>
      <c r="E474" s="4">
        <v>46110</v>
      </c>
      <c r="F474" s="4">
        <v>46116</v>
      </c>
      <c r="G474" s="4">
        <v>46124</v>
      </c>
      <c r="H474">
        <v>702</v>
      </c>
      <c r="I474" t="s">
        <v>1564</v>
      </c>
      <c r="J474">
        <v>33</v>
      </c>
      <c r="K474" t="s">
        <v>1563</v>
      </c>
      <c r="L474" t="str">
        <f t="shared" si="63"/>
        <v>N</v>
      </c>
      <c r="M474" t="str">
        <f t="shared" si="64"/>
        <v>Y</v>
      </c>
      <c r="N474" t="str">
        <f t="shared" si="65"/>
        <v>N</v>
      </c>
      <c r="O474">
        <f t="shared" si="66"/>
        <v>14</v>
      </c>
      <c r="P474" s="6">
        <f t="shared" si="67"/>
        <v>0.99292786421499291</v>
      </c>
      <c r="Q474" s="6">
        <f t="shared" si="68"/>
        <v>4.7008547008547008E-2</v>
      </c>
      <c r="R474">
        <f t="shared" si="69"/>
        <v>0</v>
      </c>
      <c r="S474">
        <f t="shared" si="70"/>
        <v>8</v>
      </c>
      <c r="T474">
        <f t="shared" si="71"/>
        <v>4000</v>
      </c>
    </row>
    <row r="475" spans="1:20">
      <c r="A475" t="s">
        <v>860</v>
      </c>
      <c r="B475" t="s">
        <v>32</v>
      </c>
      <c r="C475" t="s">
        <v>12</v>
      </c>
      <c r="D475">
        <v>131</v>
      </c>
      <c r="E475" s="4">
        <v>46110</v>
      </c>
      <c r="F475" s="4">
        <v>46115</v>
      </c>
      <c r="G475" s="4">
        <v>46112</v>
      </c>
      <c r="H475">
        <v>130</v>
      </c>
      <c r="I475" t="s">
        <v>711</v>
      </c>
      <c r="J475">
        <v>1</v>
      </c>
      <c r="K475" t="s">
        <v>1563</v>
      </c>
      <c r="L475" t="str">
        <f t="shared" si="63"/>
        <v>Y</v>
      </c>
      <c r="M475" t="str">
        <f t="shared" si="64"/>
        <v>Y</v>
      </c>
      <c r="N475" t="str">
        <f t="shared" si="65"/>
        <v>Y</v>
      </c>
      <c r="O475">
        <f t="shared" si="66"/>
        <v>2</v>
      </c>
      <c r="P475" s="6">
        <f t="shared" si="67"/>
        <v>0.99236641221374045</v>
      </c>
      <c r="Q475" s="6">
        <f t="shared" si="68"/>
        <v>7.6923076923076927E-3</v>
      </c>
      <c r="R475">
        <f t="shared" si="69"/>
        <v>1</v>
      </c>
      <c r="S475">
        <f t="shared" si="70"/>
        <v>0</v>
      </c>
      <c r="T475">
        <f t="shared" si="71"/>
        <v>0</v>
      </c>
    </row>
    <row r="476" spans="1:20">
      <c r="A476" t="s">
        <v>861</v>
      </c>
      <c r="B476" t="s">
        <v>49</v>
      </c>
      <c r="C476" t="s">
        <v>12</v>
      </c>
      <c r="D476">
        <v>289</v>
      </c>
      <c r="E476" s="4">
        <v>46077</v>
      </c>
      <c r="F476" s="4">
        <v>46083</v>
      </c>
      <c r="G476" s="4"/>
      <c r="I476" t="s">
        <v>862</v>
      </c>
      <c r="K476" t="s">
        <v>1565</v>
      </c>
      <c r="L476" t="str">
        <f t="shared" si="63"/>
        <v>N/A</v>
      </c>
      <c r="M476" t="str">
        <f t="shared" si="64"/>
        <v>N/A</v>
      </c>
      <c r="N476" t="str">
        <f t="shared" si="65"/>
        <v>N/A</v>
      </c>
      <c r="O476" t="str">
        <f t="shared" si="66"/>
        <v>N/A</v>
      </c>
      <c r="P476" s="6" t="str">
        <f t="shared" si="67"/>
        <v>N/A</v>
      </c>
      <c r="Q476" s="6" t="str">
        <f t="shared" si="68"/>
        <v>N/A</v>
      </c>
      <c r="R476" t="str">
        <f t="shared" si="69"/>
        <v/>
      </c>
      <c r="S476" t="str">
        <f t="shared" si="70"/>
        <v>N/A</v>
      </c>
      <c r="T476">
        <f t="shared" si="71"/>
        <v>0</v>
      </c>
    </row>
    <row r="477" spans="1:20">
      <c r="A477" t="s">
        <v>863</v>
      </c>
      <c r="B477" t="s">
        <v>11</v>
      </c>
      <c r="C477" t="s">
        <v>12</v>
      </c>
      <c r="D477">
        <v>979</v>
      </c>
      <c r="E477" s="4">
        <v>46029</v>
      </c>
      <c r="F477" s="4">
        <v>46034</v>
      </c>
      <c r="G477" s="4">
        <v>46036</v>
      </c>
      <c r="H477">
        <v>981</v>
      </c>
      <c r="I477" t="s">
        <v>864</v>
      </c>
      <c r="J477">
        <v>31</v>
      </c>
      <c r="K477" t="s">
        <v>1563</v>
      </c>
      <c r="L477" t="str">
        <f t="shared" si="63"/>
        <v>N</v>
      </c>
      <c r="M477" t="str">
        <f t="shared" si="64"/>
        <v>Y</v>
      </c>
      <c r="N477" t="str">
        <f t="shared" si="65"/>
        <v>N</v>
      </c>
      <c r="O477">
        <f t="shared" si="66"/>
        <v>7</v>
      </c>
      <c r="P477" s="6">
        <f t="shared" si="67"/>
        <v>1.0020429009193055</v>
      </c>
      <c r="Q477" s="6">
        <f t="shared" si="68"/>
        <v>3.1600407747196739E-2</v>
      </c>
      <c r="R477">
        <f t="shared" si="69"/>
        <v>0</v>
      </c>
      <c r="S477">
        <f t="shared" si="70"/>
        <v>2</v>
      </c>
      <c r="T477">
        <f t="shared" si="71"/>
        <v>1000</v>
      </c>
    </row>
    <row r="478" spans="1:20">
      <c r="A478" t="s">
        <v>865</v>
      </c>
      <c r="B478" t="s">
        <v>35</v>
      </c>
      <c r="C478" t="s">
        <v>12</v>
      </c>
      <c r="D478">
        <v>600</v>
      </c>
      <c r="E478" s="4">
        <v>46068</v>
      </c>
      <c r="F478" s="4">
        <v>46077</v>
      </c>
      <c r="G478" s="4">
        <v>46074</v>
      </c>
      <c r="H478">
        <v>540</v>
      </c>
      <c r="I478" t="s">
        <v>668</v>
      </c>
      <c r="J478">
        <v>35</v>
      </c>
      <c r="K478" t="s">
        <v>1563</v>
      </c>
      <c r="L478" t="str">
        <f t="shared" si="63"/>
        <v>Y</v>
      </c>
      <c r="M478" t="str">
        <f t="shared" si="64"/>
        <v>N</v>
      </c>
      <c r="N478" t="str">
        <f t="shared" si="65"/>
        <v>N</v>
      </c>
      <c r="O478">
        <f t="shared" si="66"/>
        <v>6</v>
      </c>
      <c r="P478" s="6">
        <f t="shared" si="67"/>
        <v>0.9</v>
      </c>
      <c r="Q478" s="6">
        <f t="shared" si="68"/>
        <v>6.4814814814814811E-2</v>
      </c>
      <c r="R478">
        <f t="shared" si="69"/>
        <v>0</v>
      </c>
      <c r="S478">
        <f t="shared" si="70"/>
        <v>0</v>
      </c>
      <c r="T478">
        <f t="shared" si="71"/>
        <v>0</v>
      </c>
    </row>
    <row r="479" spans="1:20">
      <c r="A479" t="s">
        <v>866</v>
      </c>
      <c r="B479" t="s">
        <v>40</v>
      </c>
      <c r="C479" t="s">
        <v>23</v>
      </c>
      <c r="D479">
        <v>565</v>
      </c>
      <c r="E479" s="4">
        <v>46051</v>
      </c>
      <c r="F479" s="4">
        <v>46066</v>
      </c>
      <c r="G479" s="4">
        <v>46074</v>
      </c>
      <c r="H479">
        <v>560</v>
      </c>
      <c r="I479" t="s">
        <v>636</v>
      </c>
      <c r="J479">
        <v>12</v>
      </c>
      <c r="K479" t="s">
        <v>1563</v>
      </c>
      <c r="L479" t="str">
        <f t="shared" si="63"/>
        <v>N</v>
      </c>
      <c r="M479" t="str">
        <f t="shared" si="64"/>
        <v>Y</v>
      </c>
      <c r="N479" t="str">
        <f t="shared" si="65"/>
        <v>N</v>
      </c>
      <c r="O479">
        <f t="shared" si="66"/>
        <v>23</v>
      </c>
      <c r="P479" s="6">
        <f t="shared" si="67"/>
        <v>0.99115044247787609</v>
      </c>
      <c r="Q479" s="6">
        <f t="shared" si="68"/>
        <v>2.1428571428571429E-2</v>
      </c>
      <c r="R479">
        <f t="shared" si="69"/>
        <v>0</v>
      </c>
      <c r="S479">
        <f t="shared" si="70"/>
        <v>8</v>
      </c>
      <c r="T479">
        <f t="shared" si="71"/>
        <v>4000</v>
      </c>
    </row>
    <row r="480" spans="1:20">
      <c r="A480" t="s">
        <v>867</v>
      </c>
      <c r="B480" t="s">
        <v>177</v>
      </c>
      <c r="C480" t="s">
        <v>23</v>
      </c>
      <c r="D480">
        <v>540</v>
      </c>
      <c r="E480" s="4">
        <v>46121</v>
      </c>
      <c r="F480" s="4">
        <v>46132</v>
      </c>
      <c r="G480" s="4">
        <v>46129</v>
      </c>
      <c r="H480">
        <v>541</v>
      </c>
      <c r="I480" t="s">
        <v>314</v>
      </c>
      <c r="J480">
        <v>16</v>
      </c>
      <c r="K480" t="s">
        <v>1563</v>
      </c>
      <c r="L480" t="str">
        <f t="shared" si="63"/>
        <v>Y</v>
      </c>
      <c r="M480" t="str">
        <f t="shared" si="64"/>
        <v>Y</v>
      </c>
      <c r="N480" t="str">
        <f t="shared" si="65"/>
        <v>Y</v>
      </c>
      <c r="O480">
        <f t="shared" si="66"/>
        <v>8</v>
      </c>
      <c r="P480" s="6">
        <f t="shared" si="67"/>
        <v>1.0018518518518518</v>
      </c>
      <c r="Q480" s="6">
        <f t="shared" si="68"/>
        <v>2.9574861367837338E-2</v>
      </c>
      <c r="R480">
        <f t="shared" si="69"/>
        <v>1</v>
      </c>
      <c r="S480">
        <f t="shared" si="70"/>
        <v>0</v>
      </c>
      <c r="T480">
        <f t="shared" si="71"/>
        <v>0</v>
      </c>
    </row>
    <row r="481" spans="1:20">
      <c r="A481" t="s">
        <v>868</v>
      </c>
      <c r="B481" t="s">
        <v>19</v>
      </c>
      <c r="C481" t="s">
        <v>16</v>
      </c>
      <c r="D481">
        <v>353</v>
      </c>
      <c r="E481" s="4">
        <v>46050</v>
      </c>
      <c r="F481" s="4">
        <v>46055</v>
      </c>
      <c r="G481" s="4">
        <v>46052</v>
      </c>
      <c r="H481">
        <v>355</v>
      </c>
      <c r="I481" t="s">
        <v>27</v>
      </c>
      <c r="J481">
        <v>0</v>
      </c>
      <c r="K481" t="s">
        <v>1563</v>
      </c>
      <c r="L481" t="str">
        <f t="shared" si="63"/>
        <v>Y</v>
      </c>
      <c r="M481" t="str">
        <f t="shared" si="64"/>
        <v>Y</v>
      </c>
      <c r="N481" t="str">
        <f t="shared" si="65"/>
        <v>Y</v>
      </c>
      <c r="O481">
        <f t="shared" si="66"/>
        <v>2</v>
      </c>
      <c r="P481" s="6">
        <f t="shared" si="67"/>
        <v>1.0056657223796035</v>
      </c>
      <c r="Q481" s="6">
        <f t="shared" si="68"/>
        <v>0</v>
      </c>
      <c r="R481">
        <f t="shared" si="69"/>
        <v>1</v>
      </c>
      <c r="S481">
        <f t="shared" si="70"/>
        <v>0</v>
      </c>
      <c r="T481">
        <f t="shared" si="71"/>
        <v>0</v>
      </c>
    </row>
    <row r="482" spans="1:20">
      <c r="A482" t="s">
        <v>869</v>
      </c>
      <c r="B482" t="s">
        <v>177</v>
      </c>
      <c r="C482" t="s">
        <v>23</v>
      </c>
      <c r="D482">
        <v>214</v>
      </c>
      <c r="E482" s="4">
        <v>46106</v>
      </c>
      <c r="F482" s="4">
        <v>46112</v>
      </c>
      <c r="G482" s="4">
        <v>46109</v>
      </c>
      <c r="H482">
        <v>213</v>
      </c>
      <c r="I482" t="s">
        <v>748</v>
      </c>
      <c r="J482">
        <v>11</v>
      </c>
      <c r="K482" t="s">
        <v>1563</v>
      </c>
      <c r="L482" t="str">
        <f t="shared" si="63"/>
        <v>Y</v>
      </c>
      <c r="M482" t="str">
        <f t="shared" si="64"/>
        <v>Y</v>
      </c>
      <c r="N482" t="str">
        <f t="shared" si="65"/>
        <v>Y</v>
      </c>
      <c r="O482">
        <f t="shared" si="66"/>
        <v>3</v>
      </c>
      <c r="P482" s="6">
        <f t="shared" si="67"/>
        <v>0.99532710280373837</v>
      </c>
      <c r="Q482" s="6">
        <f t="shared" si="68"/>
        <v>5.1643192488262914E-2</v>
      </c>
      <c r="R482">
        <f t="shared" si="69"/>
        <v>1</v>
      </c>
      <c r="S482">
        <f t="shared" si="70"/>
        <v>0</v>
      </c>
      <c r="T482">
        <f t="shared" si="71"/>
        <v>0</v>
      </c>
    </row>
    <row r="483" spans="1:20">
      <c r="A483" t="s">
        <v>871</v>
      </c>
      <c r="B483" t="s">
        <v>64</v>
      </c>
      <c r="C483" t="s">
        <v>12</v>
      </c>
      <c r="D483">
        <v>585</v>
      </c>
      <c r="E483" s="4">
        <v>46095</v>
      </c>
      <c r="F483" s="4">
        <v>46103</v>
      </c>
      <c r="G483" s="4">
        <v>46103</v>
      </c>
      <c r="H483">
        <v>582</v>
      </c>
      <c r="I483" t="s">
        <v>872</v>
      </c>
      <c r="J483">
        <v>5</v>
      </c>
      <c r="K483" t="s">
        <v>1563</v>
      </c>
      <c r="L483" t="str">
        <f t="shared" si="63"/>
        <v>Y</v>
      </c>
      <c r="M483" t="str">
        <f t="shared" si="64"/>
        <v>Y</v>
      </c>
      <c r="N483" t="str">
        <f t="shared" si="65"/>
        <v>Y</v>
      </c>
      <c r="O483">
        <f t="shared" si="66"/>
        <v>8</v>
      </c>
      <c r="P483" s="6">
        <f t="shared" si="67"/>
        <v>0.99487179487179489</v>
      </c>
      <c r="Q483" s="6">
        <f t="shared" si="68"/>
        <v>8.5910652920962206E-3</v>
      </c>
      <c r="R483">
        <f t="shared" si="69"/>
        <v>1</v>
      </c>
      <c r="S483">
        <f t="shared" si="70"/>
        <v>0</v>
      </c>
      <c r="T483">
        <f t="shared" si="71"/>
        <v>0</v>
      </c>
    </row>
    <row r="484" spans="1:20">
      <c r="A484" t="s">
        <v>873</v>
      </c>
      <c r="B484" t="s">
        <v>177</v>
      </c>
      <c r="C484" t="s">
        <v>16</v>
      </c>
      <c r="D484">
        <v>887</v>
      </c>
      <c r="E484" s="4">
        <v>46040</v>
      </c>
      <c r="F484" s="4">
        <v>46049</v>
      </c>
      <c r="G484" s="4">
        <v>46056</v>
      </c>
      <c r="H484">
        <v>899</v>
      </c>
      <c r="I484" t="s">
        <v>874</v>
      </c>
      <c r="J484">
        <v>17</v>
      </c>
      <c r="K484" t="s">
        <v>1563</v>
      </c>
      <c r="L484" t="str">
        <f t="shared" si="63"/>
        <v>N</v>
      </c>
      <c r="M484" t="str">
        <f t="shared" si="64"/>
        <v>Y</v>
      </c>
      <c r="N484" t="str">
        <f t="shared" si="65"/>
        <v>N</v>
      </c>
      <c r="O484">
        <f t="shared" si="66"/>
        <v>16</v>
      </c>
      <c r="P484" s="6">
        <f t="shared" si="67"/>
        <v>1.0135287485907554</v>
      </c>
      <c r="Q484" s="6">
        <f t="shared" si="68"/>
        <v>1.8909899888765295E-2</v>
      </c>
      <c r="R484">
        <f t="shared" si="69"/>
        <v>0</v>
      </c>
      <c r="S484">
        <f t="shared" si="70"/>
        <v>7</v>
      </c>
      <c r="T484">
        <f t="shared" si="71"/>
        <v>3500</v>
      </c>
    </row>
    <row r="485" spans="1:20">
      <c r="A485" t="s">
        <v>875</v>
      </c>
      <c r="B485" t="s">
        <v>29</v>
      </c>
      <c r="C485" t="s">
        <v>16</v>
      </c>
      <c r="D485">
        <v>190</v>
      </c>
      <c r="E485" s="4">
        <v>46094</v>
      </c>
      <c r="F485" s="4">
        <v>46102</v>
      </c>
      <c r="G485" s="4">
        <v>46099</v>
      </c>
      <c r="H485">
        <v>192</v>
      </c>
      <c r="I485" t="s">
        <v>876</v>
      </c>
      <c r="J485">
        <v>2</v>
      </c>
      <c r="K485" t="s">
        <v>1563</v>
      </c>
      <c r="L485" t="str">
        <f t="shared" si="63"/>
        <v>Y</v>
      </c>
      <c r="M485" t="str">
        <f t="shared" si="64"/>
        <v>Y</v>
      </c>
      <c r="N485" t="str">
        <f t="shared" si="65"/>
        <v>Y</v>
      </c>
      <c r="O485">
        <f t="shared" si="66"/>
        <v>5</v>
      </c>
      <c r="P485" s="6">
        <f t="shared" si="67"/>
        <v>1.0105263157894737</v>
      </c>
      <c r="Q485" s="6">
        <f t="shared" si="68"/>
        <v>1.0416666666666666E-2</v>
      </c>
      <c r="R485">
        <f t="shared" si="69"/>
        <v>1</v>
      </c>
      <c r="S485">
        <f t="shared" si="70"/>
        <v>0</v>
      </c>
      <c r="T485">
        <f t="shared" si="71"/>
        <v>0</v>
      </c>
    </row>
    <row r="486" spans="1:20">
      <c r="A486" t="s">
        <v>877</v>
      </c>
      <c r="B486" t="s">
        <v>120</v>
      </c>
      <c r="C486" t="s">
        <v>23</v>
      </c>
      <c r="D486">
        <v>352</v>
      </c>
      <c r="E486" s="4">
        <v>46148</v>
      </c>
      <c r="F486" s="4">
        <v>46153</v>
      </c>
      <c r="G486" s="4">
        <v>46152</v>
      </c>
      <c r="H486">
        <v>352</v>
      </c>
      <c r="I486" t="s">
        <v>878</v>
      </c>
      <c r="J486">
        <v>7</v>
      </c>
      <c r="K486" t="s">
        <v>1563</v>
      </c>
      <c r="L486" t="str">
        <f t="shared" si="63"/>
        <v>Y</v>
      </c>
      <c r="M486" t="str">
        <f t="shared" si="64"/>
        <v>Y</v>
      </c>
      <c r="N486" t="str">
        <f t="shared" si="65"/>
        <v>Y</v>
      </c>
      <c r="O486">
        <f t="shared" si="66"/>
        <v>4</v>
      </c>
      <c r="P486" s="6">
        <f t="shared" si="67"/>
        <v>1</v>
      </c>
      <c r="Q486" s="6">
        <f t="shared" si="68"/>
        <v>1.9886363636363636E-2</v>
      </c>
      <c r="R486">
        <f t="shared" si="69"/>
        <v>1</v>
      </c>
      <c r="S486">
        <f t="shared" si="70"/>
        <v>0</v>
      </c>
      <c r="T486">
        <f t="shared" si="71"/>
        <v>0</v>
      </c>
    </row>
    <row r="487" spans="1:20">
      <c r="A487" t="s">
        <v>879</v>
      </c>
      <c r="B487" t="s">
        <v>19</v>
      </c>
      <c r="C487" t="s">
        <v>12</v>
      </c>
      <c r="D487">
        <v>550</v>
      </c>
      <c r="E487" s="4">
        <v>46171</v>
      </c>
      <c r="F487" s="4">
        <v>46185</v>
      </c>
      <c r="G487" s="4">
        <v>46182</v>
      </c>
      <c r="H487">
        <v>558</v>
      </c>
      <c r="I487" t="s">
        <v>821</v>
      </c>
      <c r="J487">
        <v>22</v>
      </c>
      <c r="K487" t="s">
        <v>1563</v>
      </c>
      <c r="L487" t="str">
        <f t="shared" si="63"/>
        <v>Y</v>
      </c>
      <c r="M487" t="str">
        <f t="shared" si="64"/>
        <v>Y</v>
      </c>
      <c r="N487" t="str">
        <f t="shared" si="65"/>
        <v>Y</v>
      </c>
      <c r="O487">
        <f t="shared" si="66"/>
        <v>11</v>
      </c>
      <c r="P487" s="6">
        <f t="shared" si="67"/>
        <v>1.0145454545454546</v>
      </c>
      <c r="Q487" s="6">
        <f t="shared" si="68"/>
        <v>3.9426523297491037E-2</v>
      </c>
      <c r="R487">
        <f t="shared" si="69"/>
        <v>1</v>
      </c>
      <c r="S487">
        <f t="shared" si="70"/>
        <v>0</v>
      </c>
      <c r="T487">
        <f t="shared" si="71"/>
        <v>0</v>
      </c>
    </row>
    <row r="488" spans="1:20">
      <c r="A488" t="s">
        <v>880</v>
      </c>
      <c r="B488" t="s">
        <v>64</v>
      </c>
      <c r="C488" t="s">
        <v>12</v>
      </c>
      <c r="D488">
        <v>557</v>
      </c>
      <c r="E488" s="4">
        <v>46082</v>
      </c>
      <c r="F488" s="4">
        <v>46090</v>
      </c>
      <c r="G488" s="4">
        <v>46089</v>
      </c>
      <c r="H488">
        <v>553</v>
      </c>
      <c r="I488" t="s">
        <v>881</v>
      </c>
      <c r="J488">
        <v>27</v>
      </c>
      <c r="K488" t="s">
        <v>1563</v>
      </c>
      <c r="L488" t="str">
        <f t="shared" si="63"/>
        <v>Y</v>
      </c>
      <c r="M488" t="str">
        <f t="shared" si="64"/>
        <v>Y</v>
      </c>
      <c r="N488" t="str">
        <f t="shared" si="65"/>
        <v>Y</v>
      </c>
      <c r="O488">
        <f t="shared" si="66"/>
        <v>7</v>
      </c>
      <c r="P488" s="6">
        <f t="shared" si="67"/>
        <v>0.99281867145421898</v>
      </c>
      <c r="Q488" s="6">
        <f t="shared" si="68"/>
        <v>4.8824593128390596E-2</v>
      </c>
      <c r="R488">
        <f t="shared" si="69"/>
        <v>1</v>
      </c>
      <c r="S488">
        <f t="shared" si="70"/>
        <v>0</v>
      </c>
      <c r="T488">
        <f t="shared" si="71"/>
        <v>0</v>
      </c>
    </row>
    <row r="489" spans="1:20">
      <c r="A489" t="s">
        <v>882</v>
      </c>
      <c r="B489" t="s">
        <v>54</v>
      </c>
      <c r="C489" t="s">
        <v>12</v>
      </c>
      <c r="D489">
        <v>548</v>
      </c>
      <c r="E489" s="4">
        <v>46080</v>
      </c>
      <c r="F489" s="4">
        <v>46094</v>
      </c>
      <c r="G489" s="4">
        <v>46094</v>
      </c>
      <c r="H489">
        <v>557</v>
      </c>
      <c r="I489" t="s">
        <v>461</v>
      </c>
      <c r="J489">
        <v>4</v>
      </c>
      <c r="K489" t="s">
        <v>1563</v>
      </c>
      <c r="L489" t="str">
        <f t="shared" si="63"/>
        <v>Y</v>
      </c>
      <c r="M489" t="str">
        <f t="shared" si="64"/>
        <v>Y</v>
      </c>
      <c r="N489" t="str">
        <f t="shared" si="65"/>
        <v>Y</v>
      </c>
      <c r="O489">
        <f t="shared" si="66"/>
        <v>14</v>
      </c>
      <c r="P489" s="6">
        <f t="shared" si="67"/>
        <v>1.0164233576642336</v>
      </c>
      <c r="Q489" s="6">
        <f t="shared" si="68"/>
        <v>7.1813285457809697E-3</v>
      </c>
      <c r="R489">
        <f t="shared" si="69"/>
        <v>1</v>
      </c>
      <c r="S489">
        <f t="shared" si="70"/>
        <v>0</v>
      </c>
      <c r="T489">
        <f t="shared" si="71"/>
        <v>0</v>
      </c>
    </row>
    <row r="490" spans="1:20">
      <c r="A490" t="s">
        <v>883</v>
      </c>
      <c r="B490" t="s">
        <v>11</v>
      </c>
      <c r="C490" t="s">
        <v>23</v>
      </c>
      <c r="D490">
        <v>414</v>
      </c>
      <c r="E490" s="4">
        <v>46130</v>
      </c>
      <c r="F490" s="4">
        <v>46138</v>
      </c>
      <c r="G490" s="4">
        <v>46147</v>
      </c>
      <c r="H490">
        <v>413</v>
      </c>
      <c r="I490" t="s">
        <v>388</v>
      </c>
      <c r="J490">
        <v>9</v>
      </c>
      <c r="K490" t="s">
        <v>1563</v>
      </c>
      <c r="L490" t="str">
        <f t="shared" si="63"/>
        <v>N</v>
      </c>
      <c r="M490" t="str">
        <f t="shared" si="64"/>
        <v>Y</v>
      </c>
      <c r="N490" t="str">
        <f t="shared" si="65"/>
        <v>N</v>
      </c>
      <c r="O490">
        <f t="shared" si="66"/>
        <v>17</v>
      </c>
      <c r="P490" s="6">
        <f t="shared" si="67"/>
        <v>0.99758454106280192</v>
      </c>
      <c r="Q490" s="6">
        <f t="shared" si="68"/>
        <v>2.1791767554479417E-2</v>
      </c>
      <c r="R490">
        <f t="shared" si="69"/>
        <v>0</v>
      </c>
      <c r="S490">
        <f t="shared" si="70"/>
        <v>9</v>
      </c>
      <c r="T490">
        <f t="shared" si="71"/>
        <v>4500</v>
      </c>
    </row>
    <row r="491" spans="1:20">
      <c r="A491" t="s">
        <v>884</v>
      </c>
      <c r="B491" t="s">
        <v>67</v>
      </c>
      <c r="C491" t="s">
        <v>16</v>
      </c>
      <c r="D491">
        <v>854</v>
      </c>
      <c r="E491" s="4">
        <v>46075</v>
      </c>
      <c r="F491" s="4">
        <v>46081</v>
      </c>
      <c r="G491" s="4">
        <v>46078</v>
      </c>
      <c r="H491">
        <v>745</v>
      </c>
      <c r="I491" t="s">
        <v>301</v>
      </c>
      <c r="J491">
        <v>7</v>
      </c>
      <c r="K491" t="s">
        <v>1563</v>
      </c>
      <c r="L491" t="str">
        <f t="shared" si="63"/>
        <v>Y</v>
      </c>
      <c r="M491" t="str">
        <f t="shared" si="64"/>
        <v>N</v>
      </c>
      <c r="N491" t="str">
        <f t="shared" si="65"/>
        <v>N</v>
      </c>
      <c r="O491">
        <f t="shared" si="66"/>
        <v>3</v>
      </c>
      <c r="P491" s="6">
        <f t="shared" si="67"/>
        <v>0.8723653395784543</v>
      </c>
      <c r="Q491" s="6">
        <f t="shared" si="68"/>
        <v>9.3959731543624154E-3</v>
      </c>
      <c r="R491">
        <f t="shared" si="69"/>
        <v>0</v>
      </c>
      <c r="S491">
        <f t="shared" si="70"/>
        <v>0</v>
      </c>
      <c r="T491">
        <f t="shared" si="71"/>
        <v>0</v>
      </c>
    </row>
    <row r="492" spans="1:20">
      <c r="A492" t="s">
        <v>885</v>
      </c>
      <c r="B492" t="s">
        <v>22</v>
      </c>
      <c r="C492" t="s">
        <v>12</v>
      </c>
      <c r="D492">
        <v>904</v>
      </c>
      <c r="E492" s="4">
        <v>46073</v>
      </c>
      <c r="F492" s="4">
        <v>46088</v>
      </c>
      <c r="G492" s="4">
        <v>46085</v>
      </c>
      <c r="H492">
        <v>821</v>
      </c>
      <c r="I492" t="s">
        <v>540</v>
      </c>
      <c r="J492">
        <v>37</v>
      </c>
      <c r="K492" t="s">
        <v>1563</v>
      </c>
      <c r="L492" t="str">
        <f t="shared" si="63"/>
        <v>Y</v>
      </c>
      <c r="M492" t="str">
        <f t="shared" si="64"/>
        <v>N</v>
      </c>
      <c r="N492" t="str">
        <f t="shared" si="65"/>
        <v>N</v>
      </c>
      <c r="O492">
        <f t="shared" si="66"/>
        <v>12</v>
      </c>
      <c r="P492" s="6">
        <f t="shared" si="67"/>
        <v>0.9081858407079646</v>
      </c>
      <c r="Q492" s="6">
        <f t="shared" si="68"/>
        <v>4.5066991473812421E-2</v>
      </c>
      <c r="R492">
        <f t="shared" si="69"/>
        <v>0</v>
      </c>
      <c r="S492">
        <f t="shared" si="70"/>
        <v>0</v>
      </c>
      <c r="T492">
        <f t="shared" si="71"/>
        <v>0</v>
      </c>
    </row>
    <row r="493" spans="1:20">
      <c r="A493" t="s">
        <v>886</v>
      </c>
      <c r="B493" t="s">
        <v>46</v>
      </c>
      <c r="C493" t="s">
        <v>12</v>
      </c>
      <c r="D493">
        <v>873</v>
      </c>
      <c r="E493" s="4">
        <v>46062</v>
      </c>
      <c r="F493" s="4">
        <v>46071</v>
      </c>
      <c r="G493" s="4">
        <v>46070</v>
      </c>
      <c r="H493">
        <v>858</v>
      </c>
      <c r="I493" t="s">
        <v>887</v>
      </c>
      <c r="J493">
        <v>82</v>
      </c>
      <c r="K493" t="s">
        <v>1563</v>
      </c>
      <c r="L493" t="str">
        <f t="shared" si="63"/>
        <v>Y</v>
      </c>
      <c r="M493" t="str">
        <f t="shared" si="64"/>
        <v>Y</v>
      </c>
      <c r="N493" t="str">
        <f t="shared" si="65"/>
        <v>Y</v>
      </c>
      <c r="O493">
        <f t="shared" si="66"/>
        <v>8</v>
      </c>
      <c r="P493" s="6">
        <f t="shared" si="67"/>
        <v>0.98281786941580751</v>
      </c>
      <c r="Q493" s="6">
        <f t="shared" si="68"/>
        <v>9.5571095571095568E-2</v>
      </c>
      <c r="R493">
        <f t="shared" si="69"/>
        <v>1</v>
      </c>
      <c r="S493">
        <f t="shared" si="70"/>
        <v>0</v>
      </c>
      <c r="T493">
        <f t="shared" si="71"/>
        <v>0</v>
      </c>
    </row>
    <row r="494" spans="1:20">
      <c r="A494" t="s">
        <v>888</v>
      </c>
      <c r="B494" t="s">
        <v>29</v>
      </c>
      <c r="C494" t="s">
        <v>23</v>
      </c>
      <c r="D494">
        <v>984</v>
      </c>
      <c r="E494" s="4">
        <v>46035</v>
      </c>
      <c r="F494" s="4">
        <v>46046</v>
      </c>
      <c r="G494" s="4">
        <v>46049</v>
      </c>
      <c r="H494">
        <v>983</v>
      </c>
      <c r="I494" t="s">
        <v>512</v>
      </c>
      <c r="J494">
        <v>8</v>
      </c>
      <c r="K494" t="s">
        <v>1563</v>
      </c>
      <c r="L494" t="str">
        <f t="shared" si="63"/>
        <v>N</v>
      </c>
      <c r="M494" t="str">
        <f t="shared" si="64"/>
        <v>Y</v>
      </c>
      <c r="N494" t="str">
        <f t="shared" si="65"/>
        <v>N</v>
      </c>
      <c r="O494">
        <f t="shared" si="66"/>
        <v>14</v>
      </c>
      <c r="P494" s="6">
        <f t="shared" si="67"/>
        <v>0.99898373983739841</v>
      </c>
      <c r="Q494" s="6">
        <f t="shared" si="68"/>
        <v>8.1383519837232958E-3</v>
      </c>
      <c r="R494">
        <f t="shared" si="69"/>
        <v>0</v>
      </c>
      <c r="S494">
        <f t="shared" si="70"/>
        <v>3</v>
      </c>
      <c r="T494">
        <f t="shared" si="71"/>
        <v>1500</v>
      </c>
    </row>
    <row r="495" spans="1:20">
      <c r="A495" t="s">
        <v>890</v>
      </c>
      <c r="B495" t="s">
        <v>67</v>
      </c>
      <c r="C495" t="s">
        <v>12</v>
      </c>
      <c r="D495">
        <v>698</v>
      </c>
      <c r="E495" s="4">
        <v>46161</v>
      </c>
      <c r="F495" s="4">
        <v>46170</v>
      </c>
      <c r="G495" s="4">
        <v>46167</v>
      </c>
      <c r="H495">
        <v>703</v>
      </c>
      <c r="I495" t="s">
        <v>891</v>
      </c>
      <c r="J495">
        <v>10</v>
      </c>
      <c r="K495" t="s">
        <v>1563</v>
      </c>
      <c r="L495" t="str">
        <f t="shared" si="63"/>
        <v>Y</v>
      </c>
      <c r="M495" t="str">
        <f t="shared" si="64"/>
        <v>Y</v>
      </c>
      <c r="N495" t="str">
        <f t="shared" si="65"/>
        <v>Y</v>
      </c>
      <c r="O495">
        <f t="shared" si="66"/>
        <v>6</v>
      </c>
      <c r="P495" s="6">
        <f t="shared" si="67"/>
        <v>1.0071633237822351</v>
      </c>
      <c r="Q495" s="6">
        <f t="shared" si="68"/>
        <v>1.422475106685633E-2</v>
      </c>
      <c r="R495">
        <f t="shared" si="69"/>
        <v>1</v>
      </c>
      <c r="S495">
        <f t="shared" si="70"/>
        <v>0</v>
      </c>
      <c r="T495">
        <f t="shared" si="71"/>
        <v>0</v>
      </c>
    </row>
    <row r="496" spans="1:20">
      <c r="A496" t="s">
        <v>892</v>
      </c>
      <c r="B496" t="s">
        <v>35</v>
      </c>
      <c r="C496" t="s">
        <v>12</v>
      </c>
      <c r="D496">
        <v>487</v>
      </c>
      <c r="E496" s="4">
        <v>46125</v>
      </c>
      <c r="F496" s="4">
        <v>46131</v>
      </c>
      <c r="G496" s="4">
        <v>46129</v>
      </c>
      <c r="H496">
        <v>442</v>
      </c>
      <c r="I496" t="s">
        <v>98</v>
      </c>
      <c r="J496">
        <v>6</v>
      </c>
      <c r="K496" t="s">
        <v>1563</v>
      </c>
      <c r="L496" t="str">
        <f t="shared" si="63"/>
        <v>Y</v>
      </c>
      <c r="M496" t="str">
        <f t="shared" si="64"/>
        <v>N</v>
      </c>
      <c r="N496" t="str">
        <f t="shared" si="65"/>
        <v>N</v>
      </c>
      <c r="O496">
        <f t="shared" si="66"/>
        <v>4</v>
      </c>
      <c r="P496" s="6">
        <f t="shared" si="67"/>
        <v>0.9075975359342916</v>
      </c>
      <c r="Q496" s="6">
        <f t="shared" si="68"/>
        <v>1.3574660633484163E-2</v>
      </c>
      <c r="R496">
        <f t="shared" si="69"/>
        <v>0</v>
      </c>
      <c r="S496">
        <f t="shared" si="70"/>
        <v>0</v>
      </c>
      <c r="T496">
        <f t="shared" si="71"/>
        <v>0</v>
      </c>
    </row>
    <row r="497" spans="1:20">
      <c r="A497" t="s">
        <v>893</v>
      </c>
      <c r="B497" t="s">
        <v>32</v>
      </c>
      <c r="C497" t="s">
        <v>23</v>
      </c>
      <c r="D497">
        <v>793</v>
      </c>
      <c r="E497" s="4">
        <v>46159</v>
      </c>
      <c r="F497" s="4">
        <v>46164</v>
      </c>
      <c r="G497" s="4">
        <v>46162</v>
      </c>
      <c r="H497">
        <v>803</v>
      </c>
      <c r="I497" t="s">
        <v>894</v>
      </c>
      <c r="J497">
        <v>42</v>
      </c>
      <c r="K497" t="s">
        <v>1563</v>
      </c>
      <c r="L497" t="str">
        <f t="shared" si="63"/>
        <v>Y</v>
      </c>
      <c r="M497" t="str">
        <f t="shared" si="64"/>
        <v>Y</v>
      </c>
      <c r="N497" t="str">
        <f t="shared" si="65"/>
        <v>Y</v>
      </c>
      <c r="O497">
        <f t="shared" si="66"/>
        <v>3</v>
      </c>
      <c r="P497" s="6">
        <f t="shared" si="67"/>
        <v>1.0126103404791928</v>
      </c>
      <c r="Q497" s="6">
        <f t="shared" si="68"/>
        <v>5.2303860523038606E-2</v>
      </c>
      <c r="R497">
        <f t="shared" si="69"/>
        <v>1</v>
      </c>
      <c r="S497">
        <f t="shared" si="70"/>
        <v>0</v>
      </c>
      <c r="T497">
        <f t="shared" si="71"/>
        <v>0</v>
      </c>
    </row>
    <row r="498" spans="1:20">
      <c r="A498" t="s">
        <v>895</v>
      </c>
      <c r="B498" t="s">
        <v>70</v>
      </c>
      <c r="C498" t="s">
        <v>23</v>
      </c>
      <c r="D498">
        <v>718</v>
      </c>
      <c r="E498" s="4">
        <v>46051</v>
      </c>
      <c r="F498" s="4">
        <v>46062</v>
      </c>
      <c r="G498" s="4">
        <v>46059</v>
      </c>
      <c r="H498">
        <v>706</v>
      </c>
      <c r="I498" t="s">
        <v>739</v>
      </c>
      <c r="J498">
        <v>9</v>
      </c>
      <c r="K498" t="s">
        <v>1563</v>
      </c>
      <c r="L498" t="str">
        <f t="shared" si="63"/>
        <v>Y</v>
      </c>
      <c r="M498" t="str">
        <f t="shared" si="64"/>
        <v>Y</v>
      </c>
      <c r="N498" t="str">
        <f t="shared" si="65"/>
        <v>Y</v>
      </c>
      <c r="O498">
        <f t="shared" si="66"/>
        <v>8</v>
      </c>
      <c r="P498" s="6">
        <f t="shared" si="67"/>
        <v>0.98328690807799446</v>
      </c>
      <c r="Q498" s="6">
        <f t="shared" si="68"/>
        <v>1.2747875354107648E-2</v>
      </c>
      <c r="R498">
        <f t="shared" si="69"/>
        <v>1</v>
      </c>
      <c r="S498">
        <f t="shared" si="70"/>
        <v>0</v>
      </c>
      <c r="T498">
        <f t="shared" si="71"/>
        <v>0</v>
      </c>
    </row>
    <row r="499" spans="1:20">
      <c r="A499" t="s">
        <v>896</v>
      </c>
      <c r="B499" t="s">
        <v>70</v>
      </c>
      <c r="C499" t="s">
        <v>12</v>
      </c>
      <c r="D499">
        <v>194</v>
      </c>
      <c r="E499" s="4">
        <v>46120</v>
      </c>
      <c r="F499" s="4">
        <v>46129</v>
      </c>
      <c r="G499" s="4">
        <v>46128</v>
      </c>
      <c r="H499">
        <v>192</v>
      </c>
      <c r="I499" t="s">
        <v>505</v>
      </c>
      <c r="J499">
        <v>4</v>
      </c>
      <c r="K499" t="s">
        <v>1563</v>
      </c>
      <c r="L499" t="str">
        <f t="shared" si="63"/>
        <v>Y</v>
      </c>
      <c r="M499" t="str">
        <f t="shared" si="64"/>
        <v>Y</v>
      </c>
      <c r="N499" t="str">
        <f t="shared" si="65"/>
        <v>Y</v>
      </c>
      <c r="O499">
        <f t="shared" si="66"/>
        <v>8</v>
      </c>
      <c r="P499" s="6">
        <f t="shared" si="67"/>
        <v>0.98969072164948457</v>
      </c>
      <c r="Q499" s="6">
        <f t="shared" si="68"/>
        <v>2.0833333333333332E-2</v>
      </c>
      <c r="R499">
        <f t="shared" si="69"/>
        <v>1</v>
      </c>
      <c r="S499">
        <f t="shared" si="70"/>
        <v>0</v>
      </c>
      <c r="T499">
        <f t="shared" si="71"/>
        <v>0</v>
      </c>
    </row>
    <row r="500" spans="1:20">
      <c r="A500" t="s">
        <v>897</v>
      </c>
      <c r="B500" t="s">
        <v>54</v>
      </c>
      <c r="C500" t="s">
        <v>23</v>
      </c>
      <c r="D500">
        <v>240</v>
      </c>
      <c r="E500" s="4">
        <v>46089</v>
      </c>
      <c r="F500" s="4">
        <v>46102</v>
      </c>
      <c r="G500" s="4">
        <v>46102</v>
      </c>
      <c r="H500">
        <v>236</v>
      </c>
      <c r="I500" t="s">
        <v>898</v>
      </c>
      <c r="J500">
        <v>2</v>
      </c>
      <c r="K500" t="s">
        <v>1563</v>
      </c>
      <c r="L500" t="str">
        <f t="shared" si="63"/>
        <v>Y</v>
      </c>
      <c r="M500" t="str">
        <f t="shared" si="64"/>
        <v>Y</v>
      </c>
      <c r="N500" t="str">
        <f t="shared" si="65"/>
        <v>Y</v>
      </c>
      <c r="O500">
        <f t="shared" si="66"/>
        <v>13</v>
      </c>
      <c r="P500" s="6">
        <f t="shared" si="67"/>
        <v>0.98333333333333328</v>
      </c>
      <c r="Q500" s="6">
        <f t="shared" si="68"/>
        <v>8.4745762711864406E-3</v>
      </c>
      <c r="R500">
        <f t="shared" si="69"/>
        <v>1</v>
      </c>
      <c r="S500">
        <f t="shared" si="70"/>
        <v>0</v>
      </c>
      <c r="T500">
        <f t="shared" si="71"/>
        <v>0</v>
      </c>
    </row>
    <row r="501" spans="1:20">
      <c r="A501" t="s">
        <v>899</v>
      </c>
      <c r="B501" t="s">
        <v>177</v>
      </c>
      <c r="C501" t="s">
        <v>16</v>
      </c>
      <c r="D501">
        <v>601</v>
      </c>
      <c r="E501" s="4">
        <v>46137</v>
      </c>
      <c r="F501" s="4">
        <v>46147</v>
      </c>
      <c r="G501" s="4">
        <v>46146</v>
      </c>
      <c r="H501">
        <v>595</v>
      </c>
      <c r="I501" t="s">
        <v>901</v>
      </c>
      <c r="J501">
        <v>1</v>
      </c>
      <c r="K501" t="s">
        <v>1563</v>
      </c>
      <c r="L501" t="str">
        <f t="shared" si="63"/>
        <v>Y</v>
      </c>
      <c r="M501" t="str">
        <f t="shared" si="64"/>
        <v>Y</v>
      </c>
      <c r="N501" t="str">
        <f t="shared" si="65"/>
        <v>Y</v>
      </c>
      <c r="O501">
        <f t="shared" si="66"/>
        <v>9</v>
      </c>
      <c r="P501" s="6">
        <f t="shared" si="67"/>
        <v>0.99001663893510816</v>
      </c>
      <c r="Q501" s="6">
        <f t="shared" si="68"/>
        <v>1.6806722689075631E-3</v>
      </c>
      <c r="R501">
        <f t="shared" si="69"/>
        <v>1</v>
      </c>
      <c r="S501">
        <f t="shared" si="70"/>
        <v>0</v>
      </c>
      <c r="T501">
        <f t="shared" si="71"/>
        <v>0</v>
      </c>
    </row>
    <row r="502" spans="1:20">
      <c r="A502" t="s">
        <v>902</v>
      </c>
      <c r="B502" t="s">
        <v>67</v>
      </c>
      <c r="C502" t="s">
        <v>16</v>
      </c>
      <c r="D502">
        <v>792</v>
      </c>
      <c r="E502" s="4">
        <v>46114</v>
      </c>
      <c r="F502" s="4">
        <v>46126</v>
      </c>
      <c r="G502" s="4">
        <v>46127</v>
      </c>
      <c r="H502">
        <v>789</v>
      </c>
      <c r="I502" t="s">
        <v>255</v>
      </c>
      <c r="J502">
        <v>9</v>
      </c>
      <c r="K502" t="s">
        <v>1563</v>
      </c>
      <c r="L502" t="str">
        <f t="shared" si="63"/>
        <v>N</v>
      </c>
      <c r="M502" t="str">
        <f t="shared" si="64"/>
        <v>Y</v>
      </c>
      <c r="N502" t="str">
        <f t="shared" si="65"/>
        <v>N</v>
      </c>
      <c r="O502">
        <f t="shared" si="66"/>
        <v>13</v>
      </c>
      <c r="P502" s="6">
        <f t="shared" si="67"/>
        <v>0.99621212121212122</v>
      </c>
      <c r="Q502" s="6">
        <f t="shared" si="68"/>
        <v>1.1406844106463879E-2</v>
      </c>
      <c r="R502">
        <f t="shared" si="69"/>
        <v>0</v>
      </c>
      <c r="S502">
        <f t="shared" si="70"/>
        <v>1</v>
      </c>
      <c r="T502">
        <f t="shared" si="71"/>
        <v>500</v>
      </c>
    </row>
    <row r="503" spans="1:20">
      <c r="A503" t="s">
        <v>903</v>
      </c>
      <c r="B503" t="s">
        <v>46</v>
      </c>
      <c r="C503" t="s">
        <v>16</v>
      </c>
      <c r="D503">
        <v>875</v>
      </c>
      <c r="E503" s="4">
        <v>46168</v>
      </c>
      <c r="F503" s="4">
        <v>46183</v>
      </c>
      <c r="G503" s="4">
        <v>46186</v>
      </c>
      <c r="H503">
        <v>885</v>
      </c>
      <c r="I503" t="s">
        <v>904</v>
      </c>
      <c r="J503">
        <v>70</v>
      </c>
      <c r="K503" t="s">
        <v>1563</v>
      </c>
      <c r="L503" t="str">
        <f t="shared" si="63"/>
        <v>N</v>
      </c>
      <c r="M503" t="str">
        <f t="shared" si="64"/>
        <v>Y</v>
      </c>
      <c r="N503" t="str">
        <f t="shared" si="65"/>
        <v>N</v>
      </c>
      <c r="O503">
        <f t="shared" si="66"/>
        <v>18</v>
      </c>
      <c r="P503" s="6">
        <f t="shared" si="67"/>
        <v>1.0114285714285713</v>
      </c>
      <c r="Q503" s="6">
        <f t="shared" si="68"/>
        <v>7.909604519774012E-2</v>
      </c>
      <c r="R503">
        <f t="shared" si="69"/>
        <v>0</v>
      </c>
      <c r="S503">
        <f t="shared" si="70"/>
        <v>3</v>
      </c>
      <c r="T503">
        <f t="shared" si="71"/>
        <v>1500</v>
      </c>
    </row>
    <row r="504" spans="1:20">
      <c r="A504" t="s">
        <v>905</v>
      </c>
      <c r="B504" t="s">
        <v>49</v>
      </c>
      <c r="C504" t="s">
        <v>16</v>
      </c>
      <c r="D504">
        <v>337</v>
      </c>
      <c r="E504" s="4">
        <v>46103</v>
      </c>
      <c r="F504" s="4">
        <v>46112</v>
      </c>
      <c r="G504" s="4">
        <v>46119</v>
      </c>
      <c r="H504">
        <v>338</v>
      </c>
      <c r="I504" t="s">
        <v>906</v>
      </c>
      <c r="J504">
        <v>1</v>
      </c>
      <c r="K504" t="s">
        <v>1563</v>
      </c>
      <c r="L504" t="str">
        <f t="shared" si="63"/>
        <v>N</v>
      </c>
      <c r="M504" t="str">
        <f t="shared" si="64"/>
        <v>Y</v>
      </c>
      <c r="N504" t="str">
        <f t="shared" si="65"/>
        <v>N</v>
      </c>
      <c r="O504">
        <f t="shared" si="66"/>
        <v>16</v>
      </c>
      <c r="P504" s="6">
        <f t="shared" si="67"/>
        <v>1.0029673590504451</v>
      </c>
      <c r="Q504" s="6">
        <f t="shared" si="68"/>
        <v>2.9585798816568047E-3</v>
      </c>
      <c r="R504">
        <f t="shared" si="69"/>
        <v>0</v>
      </c>
      <c r="S504">
        <f t="shared" si="70"/>
        <v>7</v>
      </c>
      <c r="T504">
        <f t="shared" si="71"/>
        <v>3500</v>
      </c>
    </row>
    <row r="505" spans="1:20">
      <c r="A505" t="s">
        <v>907</v>
      </c>
      <c r="B505" t="s">
        <v>29</v>
      </c>
      <c r="C505" t="s">
        <v>16</v>
      </c>
      <c r="D505">
        <v>552</v>
      </c>
      <c r="E505" s="4">
        <v>46078</v>
      </c>
      <c r="F505" s="4">
        <v>46089</v>
      </c>
      <c r="G505" s="4">
        <v>46089</v>
      </c>
      <c r="H505">
        <v>559</v>
      </c>
      <c r="I505" t="s">
        <v>162</v>
      </c>
      <c r="J505">
        <v>3</v>
      </c>
      <c r="K505" t="s">
        <v>1563</v>
      </c>
      <c r="L505" t="str">
        <f t="shared" si="63"/>
        <v>Y</v>
      </c>
      <c r="M505" t="str">
        <f t="shared" si="64"/>
        <v>Y</v>
      </c>
      <c r="N505" t="str">
        <f t="shared" si="65"/>
        <v>Y</v>
      </c>
      <c r="O505">
        <f t="shared" si="66"/>
        <v>11</v>
      </c>
      <c r="P505" s="6">
        <f t="shared" si="67"/>
        <v>1.0126811594202898</v>
      </c>
      <c r="Q505" s="6">
        <f t="shared" si="68"/>
        <v>5.3667262969588547E-3</v>
      </c>
      <c r="R505">
        <f t="shared" si="69"/>
        <v>1</v>
      </c>
      <c r="S505">
        <f t="shared" si="70"/>
        <v>0</v>
      </c>
      <c r="T505">
        <f t="shared" si="71"/>
        <v>0</v>
      </c>
    </row>
    <row r="506" spans="1:20">
      <c r="A506" t="s">
        <v>908</v>
      </c>
      <c r="B506" t="s">
        <v>32</v>
      </c>
      <c r="C506" t="s">
        <v>16</v>
      </c>
      <c r="D506">
        <v>980</v>
      </c>
      <c r="E506" s="4">
        <v>46079</v>
      </c>
      <c r="F506" s="4">
        <v>46094</v>
      </c>
      <c r="G506" s="4">
        <v>46091</v>
      </c>
      <c r="H506">
        <v>977</v>
      </c>
      <c r="I506" t="s">
        <v>792</v>
      </c>
      <c r="J506">
        <v>65</v>
      </c>
      <c r="K506" t="s">
        <v>1563</v>
      </c>
      <c r="L506" t="str">
        <f t="shared" si="63"/>
        <v>Y</v>
      </c>
      <c r="M506" t="str">
        <f t="shared" si="64"/>
        <v>Y</v>
      </c>
      <c r="N506" t="str">
        <f t="shared" si="65"/>
        <v>Y</v>
      </c>
      <c r="O506">
        <f t="shared" si="66"/>
        <v>12</v>
      </c>
      <c r="P506" s="6">
        <f t="shared" si="67"/>
        <v>0.99693877551020404</v>
      </c>
      <c r="Q506" s="6">
        <f t="shared" si="68"/>
        <v>6.6530194472876156E-2</v>
      </c>
      <c r="R506">
        <f t="shared" si="69"/>
        <v>1</v>
      </c>
      <c r="S506">
        <f t="shared" si="70"/>
        <v>0</v>
      </c>
      <c r="T506">
        <f t="shared" si="71"/>
        <v>0</v>
      </c>
    </row>
    <row r="507" spans="1:20">
      <c r="A507" t="s">
        <v>909</v>
      </c>
      <c r="B507" t="s">
        <v>35</v>
      </c>
      <c r="C507" t="s">
        <v>12</v>
      </c>
      <c r="D507">
        <v>488</v>
      </c>
      <c r="E507" s="4">
        <v>46170</v>
      </c>
      <c r="F507" s="4">
        <v>46180</v>
      </c>
      <c r="G507" s="4">
        <v>46179</v>
      </c>
      <c r="H507">
        <v>481</v>
      </c>
      <c r="I507" t="s">
        <v>407</v>
      </c>
      <c r="J507">
        <v>20</v>
      </c>
      <c r="K507" t="s">
        <v>1563</v>
      </c>
      <c r="L507" t="str">
        <f t="shared" si="63"/>
        <v>Y</v>
      </c>
      <c r="M507" t="str">
        <f t="shared" si="64"/>
        <v>Y</v>
      </c>
      <c r="N507" t="str">
        <f t="shared" si="65"/>
        <v>Y</v>
      </c>
      <c r="O507">
        <f t="shared" si="66"/>
        <v>9</v>
      </c>
      <c r="P507" s="6">
        <f t="shared" si="67"/>
        <v>0.98565573770491799</v>
      </c>
      <c r="Q507" s="6">
        <f t="shared" si="68"/>
        <v>4.1580041580041582E-2</v>
      </c>
      <c r="R507">
        <f t="shared" si="69"/>
        <v>1</v>
      </c>
      <c r="S507">
        <f t="shared" si="70"/>
        <v>0</v>
      </c>
      <c r="T507">
        <f t="shared" si="71"/>
        <v>0</v>
      </c>
    </row>
    <row r="508" spans="1:20">
      <c r="A508" t="s">
        <v>910</v>
      </c>
      <c r="B508" t="s">
        <v>32</v>
      </c>
      <c r="C508" t="s">
        <v>23</v>
      </c>
      <c r="D508">
        <v>764</v>
      </c>
      <c r="E508" s="4">
        <v>46042</v>
      </c>
      <c r="F508" s="4">
        <v>46051</v>
      </c>
      <c r="G508" s="4">
        <v>46058</v>
      </c>
      <c r="H508">
        <v>759</v>
      </c>
      <c r="I508" t="s">
        <v>911</v>
      </c>
      <c r="J508">
        <v>32</v>
      </c>
      <c r="K508" t="s">
        <v>1563</v>
      </c>
      <c r="L508" t="str">
        <f t="shared" si="63"/>
        <v>N</v>
      </c>
      <c r="M508" t="str">
        <f t="shared" si="64"/>
        <v>Y</v>
      </c>
      <c r="N508" t="str">
        <f t="shared" si="65"/>
        <v>N</v>
      </c>
      <c r="O508">
        <f t="shared" si="66"/>
        <v>16</v>
      </c>
      <c r="P508" s="6">
        <f t="shared" si="67"/>
        <v>0.99345549738219896</v>
      </c>
      <c r="Q508" s="6">
        <f t="shared" si="68"/>
        <v>4.2160737812911728E-2</v>
      </c>
      <c r="R508">
        <f t="shared" si="69"/>
        <v>0</v>
      </c>
      <c r="S508">
        <f t="shared" si="70"/>
        <v>7</v>
      </c>
      <c r="T508">
        <f t="shared" si="71"/>
        <v>3500</v>
      </c>
    </row>
    <row r="509" spans="1:20">
      <c r="A509" t="s">
        <v>912</v>
      </c>
      <c r="B509" t="s">
        <v>81</v>
      </c>
      <c r="C509" t="s">
        <v>16</v>
      </c>
      <c r="D509">
        <v>858</v>
      </c>
      <c r="E509" s="4">
        <v>46067</v>
      </c>
      <c r="F509" s="4">
        <v>46077</v>
      </c>
      <c r="G509" s="4">
        <v>46075</v>
      </c>
      <c r="H509">
        <v>711</v>
      </c>
      <c r="I509" t="s">
        <v>401</v>
      </c>
      <c r="J509">
        <v>2</v>
      </c>
      <c r="K509" t="s">
        <v>1563</v>
      </c>
      <c r="L509" t="str">
        <f t="shared" si="63"/>
        <v>Y</v>
      </c>
      <c r="M509" t="str">
        <f t="shared" si="64"/>
        <v>N</v>
      </c>
      <c r="N509" t="str">
        <f t="shared" si="65"/>
        <v>N</v>
      </c>
      <c r="O509">
        <f t="shared" si="66"/>
        <v>8</v>
      </c>
      <c r="P509" s="6">
        <f t="shared" si="67"/>
        <v>0.82867132867132864</v>
      </c>
      <c r="Q509" s="6">
        <f t="shared" si="68"/>
        <v>2.8129395218002813E-3</v>
      </c>
      <c r="R509">
        <f t="shared" si="69"/>
        <v>0</v>
      </c>
      <c r="S509">
        <f t="shared" si="70"/>
        <v>0</v>
      </c>
      <c r="T509">
        <f t="shared" si="71"/>
        <v>0</v>
      </c>
    </row>
    <row r="510" spans="1:20">
      <c r="A510" t="s">
        <v>913</v>
      </c>
      <c r="B510" t="s">
        <v>19</v>
      </c>
      <c r="C510" t="s">
        <v>16</v>
      </c>
      <c r="D510">
        <v>565</v>
      </c>
      <c r="E510" s="4">
        <v>46047</v>
      </c>
      <c r="F510" s="4">
        <v>46059</v>
      </c>
      <c r="G510" s="4">
        <v>46058</v>
      </c>
      <c r="H510">
        <v>564</v>
      </c>
      <c r="I510" t="s">
        <v>571</v>
      </c>
      <c r="J510">
        <v>10</v>
      </c>
      <c r="K510" t="s">
        <v>1563</v>
      </c>
      <c r="L510" t="str">
        <f t="shared" si="63"/>
        <v>Y</v>
      </c>
      <c r="M510" t="str">
        <f t="shared" si="64"/>
        <v>Y</v>
      </c>
      <c r="N510" t="str">
        <f t="shared" si="65"/>
        <v>Y</v>
      </c>
      <c r="O510">
        <f t="shared" si="66"/>
        <v>11</v>
      </c>
      <c r="P510" s="6">
        <f t="shared" si="67"/>
        <v>0.99823008849557526</v>
      </c>
      <c r="Q510" s="6">
        <f t="shared" si="68"/>
        <v>1.7730496453900711E-2</v>
      </c>
      <c r="R510">
        <f t="shared" si="69"/>
        <v>1</v>
      </c>
      <c r="S510">
        <f t="shared" si="70"/>
        <v>0</v>
      </c>
      <c r="T510">
        <f t="shared" si="71"/>
        <v>0</v>
      </c>
    </row>
    <row r="511" spans="1:20">
      <c r="A511" t="s">
        <v>914</v>
      </c>
      <c r="B511" t="s">
        <v>64</v>
      </c>
      <c r="C511" t="s">
        <v>23</v>
      </c>
      <c r="D511">
        <v>771</v>
      </c>
      <c r="E511" s="4">
        <v>46143</v>
      </c>
      <c r="F511" s="4">
        <v>46149</v>
      </c>
      <c r="G511" s="4">
        <v>46155</v>
      </c>
      <c r="H511">
        <v>642</v>
      </c>
      <c r="I511" t="s">
        <v>824</v>
      </c>
      <c r="J511">
        <v>24</v>
      </c>
      <c r="K511" t="s">
        <v>1563</v>
      </c>
      <c r="L511" t="str">
        <f t="shared" si="63"/>
        <v>N</v>
      </c>
      <c r="M511" t="str">
        <f t="shared" si="64"/>
        <v>N</v>
      </c>
      <c r="N511" t="str">
        <f t="shared" si="65"/>
        <v>N</v>
      </c>
      <c r="O511">
        <f t="shared" si="66"/>
        <v>12</v>
      </c>
      <c r="P511" s="6">
        <f t="shared" si="67"/>
        <v>0.83268482490272377</v>
      </c>
      <c r="Q511" s="6">
        <f t="shared" si="68"/>
        <v>3.7383177570093455E-2</v>
      </c>
      <c r="R511">
        <f t="shared" si="69"/>
        <v>0</v>
      </c>
      <c r="S511">
        <f t="shared" si="70"/>
        <v>6</v>
      </c>
      <c r="T511">
        <f t="shared" si="71"/>
        <v>3000</v>
      </c>
    </row>
    <row r="512" spans="1:20">
      <c r="A512" t="s">
        <v>915</v>
      </c>
      <c r="B512" t="s">
        <v>52</v>
      </c>
      <c r="C512" t="s">
        <v>12</v>
      </c>
      <c r="D512">
        <v>122</v>
      </c>
      <c r="E512" s="4">
        <v>46118</v>
      </c>
      <c r="F512" s="4">
        <v>46123</v>
      </c>
      <c r="G512" s="4">
        <v>46121</v>
      </c>
      <c r="H512">
        <v>121</v>
      </c>
      <c r="I512" t="s">
        <v>407</v>
      </c>
      <c r="J512">
        <v>2</v>
      </c>
      <c r="K512" t="s">
        <v>1563</v>
      </c>
      <c r="L512" t="str">
        <f t="shared" si="63"/>
        <v>Y</v>
      </c>
      <c r="M512" t="str">
        <f t="shared" si="64"/>
        <v>Y</v>
      </c>
      <c r="N512" t="str">
        <f t="shared" si="65"/>
        <v>Y</v>
      </c>
      <c r="O512">
        <f t="shared" si="66"/>
        <v>3</v>
      </c>
      <c r="P512" s="6">
        <f t="shared" si="67"/>
        <v>0.99180327868852458</v>
      </c>
      <c r="Q512" s="6">
        <f t="shared" si="68"/>
        <v>1.6528925619834711E-2</v>
      </c>
      <c r="R512">
        <f t="shared" si="69"/>
        <v>1</v>
      </c>
      <c r="S512">
        <f t="shared" si="70"/>
        <v>0</v>
      </c>
      <c r="T512">
        <f t="shared" si="71"/>
        <v>0</v>
      </c>
    </row>
    <row r="513" spans="1:20">
      <c r="A513" t="s">
        <v>916</v>
      </c>
      <c r="B513" t="s">
        <v>70</v>
      </c>
      <c r="C513" t="s">
        <v>12</v>
      </c>
      <c r="D513">
        <v>132</v>
      </c>
      <c r="E513" s="4">
        <v>46173</v>
      </c>
      <c r="F513" s="4">
        <v>46179</v>
      </c>
      <c r="G513" s="4">
        <v>46179</v>
      </c>
      <c r="H513">
        <v>132</v>
      </c>
      <c r="I513" t="s">
        <v>547</v>
      </c>
      <c r="J513">
        <v>0</v>
      </c>
      <c r="K513" t="s">
        <v>1563</v>
      </c>
      <c r="L513" t="str">
        <f t="shared" si="63"/>
        <v>Y</v>
      </c>
      <c r="M513" t="str">
        <f t="shared" si="64"/>
        <v>Y</v>
      </c>
      <c r="N513" t="str">
        <f t="shared" si="65"/>
        <v>Y</v>
      </c>
      <c r="O513">
        <f t="shared" si="66"/>
        <v>6</v>
      </c>
      <c r="P513" s="6">
        <f t="shared" si="67"/>
        <v>1</v>
      </c>
      <c r="Q513" s="6">
        <f t="shared" si="68"/>
        <v>0</v>
      </c>
      <c r="R513">
        <f t="shared" si="69"/>
        <v>1</v>
      </c>
      <c r="S513">
        <f t="shared" si="70"/>
        <v>0</v>
      </c>
      <c r="T513">
        <f t="shared" si="71"/>
        <v>0</v>
      </c>
    </row>
    <row r="514" spans="1:20">
      <c r="A514" t="s">
        <v>917</v>
      </c>
      <c r="B514" t="s">
        <v>43</v>
      </c>
      <c r="C514" t="s">
        <v>12</v>
      </c>
      <c r="D514">
        <v>693</v>
      </c>
      <c r="E514" s="4">
        <v>46041</v>
      </c>
      <c r="F514" s="4">
        <v>46052</v>
      </c>
      <c r="G514" s="4">
        <v>46050</v>
      </c>
      <c r="H514">
        <v>697</v>
      </c>
      <c r="I514" t="s">
        <v>918</v>
      </c>
      <c r="J514">
        <v>2</v>
      </c>
      <c r="K514" t="s">
        <v>1563</v>
      </c>
      <c r="L514" t="str">
        <f t="shared" ref="L514:L577" si="72">IF(G514="","N/A",IF(G514&lt;=F514,"Y","N"))</f>
        <v>Y</v>
      </c>
      <c r="M514" t="str">
        <f t="shared" ref="M514:M577" si="73">IF(H514="","N/A",IF(H514&gt;=D514*0.98,"Y","N"))</f>
        <v>Y</v>
      </c>
      <c r="N514" t="str">
        <f t="shared" ref="N514:N577" si="74">IF(OR(L514="N/A",M514="N/A"),"N/A",IF(AND(L514="Y",M514="Y"),"Y","N"))</f>
        <v>Y</v>
      </c>
      <c r="O514">
        <f t="shared" ref="O514:O577" si="75">IF(G514="","N/A",G514-E514)</f>
        <v>9</v>
      </c>
      <c r="P514" s="6">
        <f t="shared" ref="P514:P577" si="76">IF(H514="","N/A",H514/D514)</f>
        <v>1.0057720057720059</v>
      </c>
      <c r="Q514" s="6">
        <f t="shared" ref="Q514:Q577" si="77">IF(H514="","N/A",IF(H514=0,0,J514/H514))</f>
        <v>2.8694404591104736E-3</v>
      </c>
      <c r="R514">
        <f t="shared" ref="R514:R577" si="78">IF(N514="Y",1,IF(N514="N",0,""))</f>
        <v>1</v>
      </c>
      <c r="S514">
        <f t="shared" ref="S514:S577" si="79">IF(G514="","N/A",MAX(G514-F514,0))</f>
        <v>0</v>
      </c>
      <c r="T514">
        <f t="shared" ref="T514:T577" si="80">IF(S514="N/A",0,S514*500)</f>
        <v>0</v>
      </c>
    </row>
    <row r="515" spans="1:20">
      <c r="A515" t="s">
        <v>919</v>
      </c>
      <c r="B515" t="s">
        <v>40</v>
      </c>
      <c r="C515" t="s">
        <v>16</v>
      </c>
      <c r="D515">
        <v>975</v>
      </c>
      <c r="E515" s="4">
        <v>46028</v>
      </c>
      <c r="F515" s="4">
        <v>46033</v>
      </c>
      <c r="G515" s="4">
        <v>46033</v>
      </c>
      <c r="H515">
        <v>971</v>
      </c>
      <c r="I515" t="s">
        <v>623</v>
      </c>
      <c r="J515">
        <v>61</v>
      </c>
      <c r="K515" t="s">
        <v>1563</v>
      </c>
      <c r="L515" t="str">
        <f t="shared" si="72"/>
        <v>Y</v>
      </c>
      <c r="M515" t="str">
        <f t="shared" si="73"/>
        <v>Y</v>
      </c>
      <c r="N515" t="str">
        <f t="shared" si="74"/>
        <v>Y</v>
      </c>
      <c r="O515">
        <f t="shared" si="75"/>
        <v>5</v>
      </c>
      <c r="P515" s="6">
        <f t="shared" si="76"/>
        <v>0.99589743589743585</v>
      </c>
      <c r="Q515" s="6">
        <f t="shared" si="77"/>
        <v>6.2821833161688975E-2</v>
      </c>
      <c r="R515">
        <f t="shared" si="78"/>
        <v>1</v>
      </c>
      <c r="S515">
        <f t="shared" si="79"/>
        <v>0</v>
      </c>
      <c r="T515">
        <f t="shared" si="80"/>
        <v>0</v>
      </c>
    </row>
    <row r="516" spans="1:20">
      <c r="A516" t="s">
        <v>920</v>
      </c>
      <c r="B516" t="s">
        <v>120</v>
      </c>
      <c r="C516" t="s">
        <v>16</v>
      </c>
      <c r="D516">
        <v>400</v>
      </c>
      <c r="E516" s="4">
        <v>46102</v>
      </c>
      <c r="F516" s="4">
        <v>46110</v>
      </c>
      <c r="G516" s="4">
        <v>46107</v>
      </c>
      <c r="H516">
        <v>396</v>
      </c>
      <c r="I516" t="s">
        <v>815</v>
      </c>
      <c r="J516">
        <v>0</v>
      </c>
      <c r="K516" t="s">
        <v>1563</v>
      </c>
      <c r="L516" t="str">
        <f t="shared" si="72"/>
        <v>Y</v>
      </c>
      <c r="M516" t="str">
        <f t="shared" si="73"/>
        <v>Y</v>
      </c>
      <c r="N516" t="str">
        <f t="shared" si="74"/>
        <v>Y</v>
      </c>
      <c r="O516">
        <f t="shared" si="75"/>
        <v>5</v>
      </c>
      <c r="P516" s="6">
        <f t="shared" si="76"/>
        <v>0.99</v>
      </c>
      <c r="Q516" s="6">
        <f t="shared" si="77"/>
        <v>0</v>
      </c>
      <c r="R516">
        <f t="shared" si="78"/>
        <v>1</v>
      </c>
      <c r="S516">
        <f t="shared" si="79"/>
        <v>0</v>
      </c>
      <c r="T516">
        <f t="shared" si="80"/>
        <v>0</v>
      </c>
    </row>
    <row r="517" spans="1:20">
      <c r="A517" t="s">
        <v>921</v>
      </c>
      <c r="B517" t="s">
        <v>29</v>
      </c>
      <c r="C517" t="s">
        <v>12</v>
      </c>
      <c r="D517">
        <v>884</v>
      </c>
      <c r="E517" s="4">
        <v>46043</v>
      </c>
      <c r="F517" s="4">
        <v>46049</v>
      </c>
      <c r="G517" s="4">
        <v>46050</v>
      </c>
      <c r="H517">
        <v>893</v>
      </c>
      <c r="I517" t="s">
        <v>105</v>
      </c>
      <c r="J517">
        <v>7</v>
      </c>
      <c r="K517" t="s">
        <v>1563</v>
      </c>
      <c r="L517" t="str">
        <f t="shared" si="72"/>
        <v>N</v>
      </c>
      <c r="M517" t="str">
        <f t="shared" si="73"/>
        <v>Y</v>
      </c>
      <c r="N517" t="str">
        <f t="shared" si="74"/>
        <v>N</v>
      </c>
      <c r="O517">
        <f t="shared" si="75"/>
        <v>7</v>
      </c>
      <c r="P517" s="6">
        <f t="shared" si="76"/>
        <v>1.0101809954751131</v>
      </c>
      <c r="Q517" s="6">
        <f t="shared" si="77"/>
        <v>7.8387458006718928E-3</v>
      </c>
      <c r="R517">
        <f t="shared" si="78"/>
        <v>0</v>
      </c>
      <c r="S517">
        <f t="shared" si="79"/>
        <v>1</v>
      </c>
      <c r="T517">
        <f t="shared" si="80"/>
        <v>500</v>
      </c>
    </row>
    <row r="518" spans="1:20">
      <c r="A518" t="s">
        <v>922</v>
      </c>
      <c r="B518" t="s">
        <v>11</v>
      </c>
      <c r="C518" t="s">
        <v>16</v>
      </c>
      <c r="D518">
        <v>758</v>
      </c>
      <c r="E518" s="4">
        <v>46041</v>
      </c>
      <c r="F518" s="4">
        <v>46052</v>
      </c>
      <c r="G518" s="4">
        <v>46052</v>
      </c>
      <c r="H518">
        <v>754</v>
      </c>
      <c r="I518" t="s">
        <v>923</v>
      </c>
      <c r="J518">
        <v>6</v>
      </c>
      <c r="K518" t="s">
        <v>1563</v>
      </c>
      <c r="L518" t="str">
        <f t="shared" si="72"/>
        <v>Y</v>
      </c>
      <c r="M518" t="str">
        <f t="shared" si="73"/>
        <v>Y</v>
      </c>
      <c r="N518" t="str">
        <f t="shared" si="74"/>
        <v>Y</v>
      </c>
      <c r="O518">
        <f t="shared" si="75"/>
        <v>11</v>
      </c>
      <c r="P518" s="6">
        <f t="shared" si="76"/>
        <v>0.99472295514511877</v>
      </c>
      <c r="Q518" s="6">
        <f t="shared" si="77"/>
        <v>7.9575596816976128E-3</v>
      </c>
      <c r="R518">
        <f t="shared" si="78"/>
        <v>1</v>
      </c>
      <c r="S518">
        <f t="shared" si="79"/>
        <v>0</v>
      </c>
      <c r="T518">
        <f t="shared" si="80"/>
        <v>0</v>
      </c>
    </row>
    <row r="519" spans="1:20">
      <c r="A519" t="s">
        <v>924</v>
      </c>
      <c r="B519" t="s">
        <v>32</v>
      </c>
      <c r="C519" t="s">
        <v>12</v>
      </c>
      <c r="D519">
        <v>85</v>
      </c>
      <c r="E519" s="4">
        <v>46151</v>
      </c>
      <c r="F519" s="4">
        <v>46158</v>
      </c>
      <c r="G519" s="4">
        <v>46156</v>
      </c>
      <c r="H519">
        <v>84</v>
      </c>
      <c r="I519" t="s">
        <v>77</v>
      </c>
      <c r="J519">
        <v>4</v>
      </c>
      <c r="K519" t="s">
        <v>1563</v>
      </c>
      <c r="L519" t="str">
        <f t="shared" si="72"/>
        <v>Y</v>
      </c>
      <c r="M519" t="str">
        <f t="shared" si="73"/>
        <v>Y</v>
      </c>
      <c r="N519" t="str">
        <f t="shared" si="74"/>
        <v>Y</v>
      </c>
      <c r="O519">
        <f t="shared" si="75"/>
        <v>5</v>
      </c>
      <c r="P519" s="6">
        <f t="shared" si="76"/>
        <v>0.9882352941176471</v>
      </c>
      <c r="Q519" s="6">
        <f t="shared" si="77"/>
        <v>4.7619047619047616E-2</v>
      </c>
      <c r="R519">
        <f t="shared" si="78"/>
        <v>1</v>
      </c>
      <c r="S519">
        <f t="shared" si="79"/>
        <v>0</v>
      </c>
      <c r="T519">
        <f t="shared" si="80"/>
        <v>0</v>
      </c>
    </row>
    <row r="520" spans="1:20">
      <c r="A520" t="s">
        <v>925</v>
      </c>
      <c r="B520" t="s">
        <v>177</v>
      </c>
      <c r="C520" t="s">
        <v>12</v>
      </c>
      <c r="D520">
        <v>624</v>
      </c>
      <c r="E520" s="4">
        <v>46094</v>
      </c>
      <c r="F520" s="4">
        <v>46103</v>
      </c>
      <c r="G520" s="4">
        <v>46112</v>
      </c>
      <c r="H520">
        <v>635</v>
      </c>
      <c r="I520" t="s">
        <v>753</v>
      </c>
      <c r="J520">
        <v>7</v>
      </c>
      <c r="K520" t="s">
        <v>1563</v>
      </c>
      <c r="L520" t="str">
        <f t="shared" si="72"/>
        <v>N</v>
      </c>
      <c r="M520" t="str">
        <f t="shared" si="73"/>
        <v>Y</v>
      </c>
      <c r="N520" t="str">
        <f t="shared" si="74"/>
        <v>N</v>
      </c>
      <c r="O520">
        <f t="shared" si="75"/>
        <v>18</v>
      </c>
      <c r="P520" s="6">
        <f t="shared" si="76"/>
        <v>1.0176282051282051</v>
      </c>
      <c r="Q520" s="6">
        <f t="shared" si="77"/>
        <v>1.1023622047244094E-2</v>
      </c>
      <c r="R520">
        <f t="shared" si="78"/>
        <v>0</v>
      </c>
      <c r="S520">
        <f t="shared" si="79"/>
        <v>9</v>
      </c>
      <c r="T520">
        <f t="shared" si="80"/>
        <v>4500</v>
      </c>
    </row>
    <row r="521" spans="1:20">
      <c r="A521" t="s">
        <v>926</v>
      </c>
      <c r="B521" t="s">
        <v>64</v>
      </c>
      <c r="C521" t="s">
        <v>12</v>
      </c>
      <c r="D521">
        <v>806</v>
      </c>
      <c r="E521" s="4">
        <v>46070</v>
      </c>
      <c r="F521" s="4">
        <v>46077</v>
      </c>
      <c r="G521" s="4">
        <v>46075</v>
      </c>
      <c r="H521">
        <v>751</v>
      </c>
      <c r="I521" t="s">
        <v>547</v>
      </c>
      <c r="J521">
        <v>35</v>
      </c>
      <c r="K521" t="s">
        <v>1563</v>
      </c>
      <c r="L521" t="str">
        <f t="shared" si="72"/>
        <v>Y</v>
      </c>
      <c r="M521" t="str">
        <f t="shared" si="73"/>
        <v>N</v>
      </c>
      <c r="N521" t="str">
        <f t="shared" si="74"/>
        <v>N</v>
      </c>
      <c r="O521">
        <f t="shared" si="75"/>
        <v>5</v>
      </c>
      <c r="P521" s="6">
        <f t="shared" si="76"/>
        <v>0.93176178660049624</v>
      </c>
      <c r="Q521" s="6">
        <f t="shared" si="77"/>
        <v>4.6604527296937419E-2</v>
      </c>
      <c r="R521">
        <f t="shared" si="78"/>
        <v>0</v>
      </c>
      <c r="S521">
        <f t="shared" si="79"/>
        <v>0</v>
      </c>
      <c r="T521">
        <f t="shared" si="80"/>
        <v>0</v>
      </c>
    </row>
    <row r="522" spans="1:20">
      <c r="A522" t="s">
        <v>927</v>
      </c>
      <c r="B522" t="s">
        <v>52</v>
      </c>
      <c r="C522" t="s">
        <v>12</v>
      </c>
      <c r="D522">
        <v>251</v>
      </c>
      <c r="E522" s="4">
        <v>46039</v>
      </c>
      <c r="F522" s="4">
        <v>46054</v>
      </c>
      <c r="G522" s="4">
        <v>46062</v>
      </c>
      <c r="H522">
        <v>248</v>
      </c>
      <c r="I522" t="s">
        <v>156</v>
      </c>
      <c r="J522">
        <v>1</v>
      </c>
      <c r="K522" t="s">
        <v>1563</v>
      </c>
      <c r="L522" t="str">
        <f t="shared" si="72"/>
        <v>N</v>
      </c>
      <c r="M522" t="str">
        <f t="shared" si="73"/>
        <v>Y</v>
      </c>
      <c r="N522" t="str">
        <f t="shared" si="74"/>
        <v>N</v>
      </c>
      <c r="O522">
        <f t="shared" si="75"/>
        <v>23</v>
      </c>
      <c r="P522" s="6">
        <f t="shared" si="76"/>
        <v>0.98804780876494025</v>
      </c>
      <c r="Q522" s="6">
        <f t="shared" si="77"/>
        <v>4.0322580645161289E-3</v>
      </c>
      <c r="R522">
        <f t="shared" si="78"/>
        <v>0</v>
      </c>
      <c r="S522">
        <f t="shared" si="79"/>
        <v>8</v>
      </c>
      <c r="T522">
        <f t="shared" si="80"/>
        <v>4000</v>
      </c>
    </row>
    <row r="523" spans="1:20">
      <c r="A523" t="s">
        <v>928</v>
      </c>
      <c r="B523" t="s">
        <v>11</v>
      </c>
      <c r="C523" t="s">
        <v>12</v>
      </c>
      <c r="D523">
        <v>189</v>
      </c>
      <c r="E523" s="4">
        <v>46130</v>
      </c>
      <c r="F523" s="4">
        <v>46145</v>
      </c>
      <c r="G523" s="4">
        <v>46142</v>
      </c>
      <c r="H523">
        <v>186</v>
      </c>
      <c r="I523" t="s">
        <v>385</v>
      </c>
      <c r="J523">
        <v>2</v>
      </c>
      <c r="K523" t="s">
        <v>1563</v>
      </c>
      <c r="L523" t="str">
        <f t="shared" si="72"/>
        <v>Y</v>
      </c>
      <c r="M523" t="str">
        <f t="shared" si="73"/>
        <v>Y</v>
      </c>
      <c r="N523" t="str">
        <f t="shared" si="74"/>
        <v>Y</v>
      </c>
      <c r="O523">
        <f t="shared" si="75"/>
        <v>12</v>
      </c>
      <c r="P523" s="6">
        <f t="shared" si="76"/>
        <v>0.98412698412698407</v>
      </c>
      <c r="Q523" s="6">
        <f t="shared" si="77"/>
        <v>1.0752688172043012E-2</v>
      </c>
      <c r="R523">
        <f t="shared" si="78"/>
        <v>1</v>
      </c>
      <c r="S523">
        <f t="shared" si="79"/>
        <v>0</v>
      </c>
      <c r="T523">
        <f t="shared" si="80"/>
        <v>0</v>
      </c>
    </row>
    <row r="524" spans="1:20">
      <c r="A524" t="s">
        <v>930</v>
      </c>
      <c r="B524" t="s">
        <v>40</v>
      </c>
      <c r="C524" t="s">
        <v>12</v>
      </c>
      <c r="D524">
        <v>722</v>
      </c>
      <c r="E524" s="4">
        <v>46081</v>
      </c>
      <c r="F524" s="4">
        <v>46092</v>
      </c>
      <c r="G524" s="4">
        <v>46095</v>
      </c>
      <c r="H524">
        <v>719</v>
      </c>
      <c r="I524" t="s">
        <v>931</v>
      </c>
      <c r="J524">
        <v>2</v>
      </c>
      <c r="K524" t="s">
        <v>1563</v>
      </c>
      <c r="L524" t="str">
        <f t="shared" si="72"/>
        <v>N</v>
      </c>
      <c r="M524" t="str">
        <f t="shared" si="73"/>
        <v>Y</v>
      </c>
      <c r="N524" t="str">
        <f t="shared" si="74"/>
        <v>N</v>
      </c>
      <c r="O524">
        <f t="shared" si="75"/>
        <v>14</v>
      </c>
      <c r="P524" s="6">
        <f t="shared" si="76"/>
        <v>0.99584487534626043</v>
      </c>
      <c r="Q524" s="6">
        <f t="shared" si="77"/>
        <v>2.7816411682892906E-3</v>
      </c>
      <c r="R524">
        <f t="shared" si="78"/>
        <v>0</v>
      </c>
      <c r="S524">
        <f t="shared" si="79"/>
        <v>3</v>
      </c>
      <c r="T524">
        <f t="shared" si="80"/>
        <v>1500</v>
      </c>
    </row>
    <row r="525" spans="1:20">
      <c r="A525" t="s">
        <v>932</v>
      </c>
      <c r="B525" t="s">
        <v>43</v>
      </c>
      <c r="C525" t="s">
        <v>12</v>
      </c>
      <c r="D525">
        <v>775</v>
      </c>
      <c r="E525" s="4">
        <v>46071</v>
      </c>
      <c r="F525" s="4">
        <v>46079</v>
      </c>
      <c r="G525" s="4">
        <v>46081</v>
      </c>
      <c r="H525">
        <v>764</v>
      </c>
      <c r="I525" t="s">
        <v>421</v>
      </c>
      <c r="J525">
        <v>29</v>
      </c>
      <c r="K525" t="s">
        <v>1563</v>
      </c>
      <c r="L525" t="str">
        <f t="shared" si="72"/>
        <v>N</v>
      </c>
      <c r="M525" t="str">
        <f t="shared" si="73"/>
        <v>Y</v>
      </c>
      <c r="N525" t="str">
        <f t="shared" si="74"/>
        <v>N</v>
      </c>
      <c r="O525">
        <f t="shared" si="75"/>
        <v>10</v>
      </c>
      <c r="P525" s="6">
        <f t="shared" si="76"/>
        <v>0.98580645161290326</v>
      </c>
      <c r="Q525" s="6">
        <f t="shared" si="77"/>
        <v>3.7958115183246072E-2</v>
      </c>
      <c r="R525">
        <f t="shared" si="78"/>
        <v>0</v>
      </c>
      <c r="S525">
        <f t="shared" si="79"/>
        <v>2</v>
      </c>
      <c r="T525">
        <f t="shared" si="80"/>
        <v>1000</v>
      </c>
    </row>
    <row r="526" spans="1:20">
      <c r="A526" t="s">
        <v>933</v>
      </c>
      <c r="B526" t="s">
        <v>26</v>
      </c>
      <c r="C526" t="s">
        <v>16</v>
      </c>
      <c r="D526">
        <v>752</v>
      </c>
      <c r="E526" s="4">
        <v>46118</v>
      </c>
      <c r="F526" s="4">
        <v>46126</v>
      </c>
      <c r="G526" s="4"/>
      <c r="I526" t="s">
        <v>934</v>
      </c>
      <c r="K526" t="s">
        <v>1565</v>
      </c>
      <c r="L526" t="str">
        <f t="shared" si="72"/>
        <v>N/A</v>
      </c>
      <c r="M526" t="str">
        <f t="shared" si="73"/>
        <v>N/A</v>
      </c>
      <c r="N526" t="str">
        <f t="shared" si="74"/>
        <v>N/A</v>
      </c>
      <c r="O526" t="str">
        <f t="shared" si="75"/>
        <v>N/A</v>
      </c>
      <c r="P526" s="6" t="str">
        <f t="shared" si="76"/>
        <v>N/A</v>
      </c>
      <c r="Q526" s="6" t="str">
        <f t="shared" si="77"/>
        <v>N/A</v>
      </c>
      <c r="R526" t="str">
        <f t="shared" si="78"/>
        <v/>
      </c>
      <c r="S526" t="str">
        <f t="shared" si="79"/>
        <v>N/A</v>
      </c>
      <c r="T526">
        <f t="shared" si="80"/>
        <v>0</v>
      </c>
    </row>
    <row r="527" spans="1:20">
      <c r="A527" t="s">
        <v>935</v>
      </c>
      <c r="B527" t="s">
        <v>81</v>
      </c>
      <c r="C527" t="s">
        <v>12</v>
      </c>
      <c r="D527">
        <v>753</v>
      </c>
      <c r="E527" s="4">
        <v>46141</v>
      </c>
      <c r="F527" s="4">
        <v>46149</v>
      </c>
      <c r="G527" s="4">
        <v>46149</v>
      </c>
      <c r="H527">
        <v>624</v>
      </c>
      <c r="I527" t="s">
        <v>936</v>
      </c>
      <c r="J527">
        <v>3</v>
      </c>
      <c r="K527" t="s">
        <v>1563</v>
      </c>
      <c r="L527" t="str">
        <f t="shared" si="72"/>
        <v>Y</v>
      </c>
      <c r="M527" t="str">
        <f t="shared" si="73"/>
        <v>N</v>
      </c>
      <c r="N527" t="str">
        <f t="shared" si="74"/>
        <v>N</v>
      </c>
      <c r="O527">
        <f t="shared" si="75"/>
        <v>8</v>
      </c>
      <c r="P527" s="6">
        <f t="shared" si="76"/>
        <v>0.82868525896414347</v>
      </c>
      <c r="Q527" s="6">
        <f t="shared" si="77"/>
        <v>4.807692307692308E-3</v>
      </c>
      <c r="R527">
        <f t="shared" si="78"/>
        <v>0</v>
      </c>
      <c r="S527">
        <f t="shared" si="79"/>
        <v>0</v>
      </c>
      <c r="T527">
        <f t="shared" si="80"/>
        <v>0</v>
      </c>
    </row>
    <row r="528" spans="1:20">
      <c r="A528" t="s">
        <v>937</v>
      </c>
      <c r="B528" t="s">
        <v>32</v>
      </c>
      <c r="C528" t="s">
        <v>12</v>
      </c>
      <c r="D528">
        <v>824</v>
      </c>
      <c r="E528" s="4">
        <v>46147</v>
      </c>
      <c r="F528" s="4">
        <v>46155</v>
      </c>
      <c r="G528" s="4">
        <v>46153</v>
      </c>
      <c r="H528">
        <v>821</v>
      </c>
      <c r="I528" t="s">
        <v>938</v>
      </c>
      <c r="J528">
        <v>14</v>
      </c>
      <c r="K528" t="s">
        <v>1563</v>
      </c>
      <c r="L528" t="str">
        <f t="shared" si="72"/>
        <v>Y</v>
      </c>
      <c r="M528" t="str">
        <f t="shared" si="73"/>
        <v>Y</v>
      </c>
      <c r="N528" t="str">
        <f t="shared" si="74"/>
        <v>Y</v>
      </c>
      <c r="O528">
        <f t="shared" si="75"/>
        <v>6</v>
      </c>
      <c r="P528" s="6">
        <f t="shared" si="76"/>
        <v>0.99635922330097082</v>
      </c>
      <c r="Q528" s="6">
        <f t="shared" si="77"/>
        <v>1.705237515225335E-2</v>
      </c>
      <c r="R528">
        <f t="shared" si="78"/>
        <v>1</v>
      </c>
      <c r="S528">
        <f t="shared" si="79"/>
        <v>0</v>
      </c>
      <c r="T528">
        <f t="shared" si="80"/>
        <v>0</v>
      </c>
    </row>
    <row r="529" spans="1:20">
      <c r="A529" t="s">
        <v>939</v>
      </c>
      <c r="B529" t="s">
        <v>22</v>
      </c>
      <c r="C529" t="s">
        <v>16</v>
      </c>
      <c r="D529">
        <v>761</v>
      </c>
      <c r="E529" s="4">
        <v>46160</v>
      </c>
      <c r="F529" s="4">
        <v>46172</v>
      </c>
      <c r="G529" s="4">
        <v>46176</v>
      </c>
      <c r="H529">
        <v>750</v>
      </c>
      <c r="I529" t="s">
        <v>716</v>
      </c>
      <c r="J529">
        <v>56</v>
      </c>
      <c r="K529" t="s">
        <v>1563</v>
      </c>
      <c r="L529" t="str">
        <f t="shared" si="72"/>
        <v>N</v>
      </c>
      <c r="M529" t="str">
        <f t="shared" si="73"/>
        <v>Y</v>
      </c>
      <c r="N529" t="str">
        <f t="shared" si="74"/>
        <v>N</v>
      </c>
      <c r="O529">
        <f t="shared" si="75"/>
        <v>16</v>
      </c>
      <c r="P529" s="6">
        <f t="shared" si="76"/>
        <v>0.98554533508541398</v>
      </c>
      <c r="Q529" s="6">
        <f t="shared" si="77"/>
        <v>7.4666666666666673E-2</v>
      </c>
      <c r="R529">
        <f t="shared" si="78"/>
        <v>0</v>
      </c>
      <c r="S529">
        <f t="shared" si="79"/>
        <v>4</v>
      </c>
      <c r="T529">
        <f t="shared" si="80"/>
        <v>2000</v>
      </c>
    </row>
    <row r="530" spans="1:20">
      <c r="A530" t="s">
        <v>940</v>
      </c>
      <c r="B530" t="s">
        <v>81</v>
      </c>
      <c r="C530" t="s">
        <v>12</v>
      </c>
      <c r="D530">
        <v>168</v>
      </c>
      <c r="E530" s="4">
        <v>46069</v>
      </c>
      <c r="F530" s="4">
        <v>46083</v>
      </c>
      <c r="G530" s="4">
        <v>46087</v>
      </c>
      <c r="H530">
        <v>167</v>
      </c>
      <c r="I530" t="s">
        <v>941</v>
      </c>
      <c r="J530">
        <v>2</v>
      </c>
      <c r="K530" t="s">
        <v>1563</v>
      </c>
      <c r="L530" t="str">
        <f t="shared" si="72"/>
        <v>N</v>
      </c>
      <c r="M530" t="str">
        <f t="shared" si="73"/>
        <v>Y</v>
      </c>
      <c r="N530" t="str">
        <f t="shared" si="74"/>
        <v>N</v>
      </c>
      <c r="O530">
        <f t="shared" si="75"/>
        <v>18</v>
      </c>
      <c r="P530" s="6">
        <f t="shared" si="76"/>
        <v>0.99404761904761907</v>
      </c>
      <c r="Q530" s="6">
        <f t="shared" si="77"/>
        <v>1.1976047904191617E-2</v>
      </c>
      <c r="R530">
        <f t="shared" si="78"/>
        <v>0</v>
      </c>
      <c r="S530">
        <f t="shared" si="79"/>
        <v>4</v>
      </c>
      <c r="T530">
        <f t="shared" si="80"/>
        <v>2000</v>
      </c>
    </row>
    <row r="531" spans="1:20">
      <c r="A531" t="s">
        <v>942</v>
      </c>
      <c r="B531" t="s">
        <v>46</v>
      </c>
      <c r="C531" t="s">
        <v>16</v>
      </c>
      <c r="D531">
        <v>494</v>
      </c>
      <c r="E531" s="4">
        <v>46052</v>
      </c>
      <c r="F531" s="4">
        <v>46061</v>
      </c>
      <c r="G531" s="4">
        <v>46059</v>
      </c>
      <c r="H531">
        <v>493</v>
      </c>
      <c r="I531" t="s">
        <v>320</v>
      </c>
      <c r="J531">
        <v>20</v>
      </c>
      <c r="K531" t="s">
        <v>1563</v>
      </c>
      <c r="L531" t="str">
        <f t="shared" si="72"/>
        <v>Y</v>
      </c>
      <c r="M531" t="str">
        <f t="shared" si="73"/>
        <v>Y</v>
      </c>
      <c r="N531" t="str">
        <f t="shared" si="74"/>
        <v>Y</v>
      </c>
      <c r="O531">
        <f t="shared" si="75"/>
        <v>7</v>
      </c>
      <c r="P531" s="6">
        <f t="shared" si="76"/>
        <v>0.99797570850202433</v>
      </c>
      <c r="Q531" s="6">
        <f t="shared" si="77"/>
        <v>4.0567951318458417E-2</v>
      </c>
      <c r="R531">
        <f t="shared" si="78"/>
        <v>1</v>
      </c>
      <c r="S531">
        <f t="shared" si="79"/>
        <v>0</v>
      </c>
      <c r="T531">
        <f t="shared" si="80"/>
        <v>0</v>
      </c>
    </row>
    <row r="532" spans="1:20">
      <c r="A532" t="s">
        <v>943</v>
      </c>
      <c r="B532" t="s">
        <v>22</v>
      </c>
      <c r="C532" t="s">
        <v>16</v>
      </c>
      <c r="D532">
        <v>633</v>
      </c>
      <c r="E532" s="4">
        <v>46068</v>
      </c>
      <c r="F532" s="4">
        <v>46077</v>
      </c>
      <c r="G532" s="4">
        <v>46074</v>
      </c>
      <c r="H532">
        <v>577</v>
      </c>
      <c r="I532" t="s">
        <v>944</v>
      </c>
      <c r="J532">
        <v>49</v>
      </c>
      <c r="K532" t="s">
        <v>1563</v>
      </c>
      <c r="L532" t="str">
        <f t="shared" si="72"/>
        <v>Y</v>
      </c>
      <c r="M532" t="str">
        <f t="shared" si="73"/>
        <v>N</v>
      </c>
      <c r="N532" t="str">
        <f t="shared" si="74"/>
        <v>N</v>
      </c>
      <c r="O532">
        <f t="shared" si="75"/>
        <v>6</v>
      </c>
      <c r="P532" s="6">
        <f t="shared" si="76"/>
        <v>0.91153238546603477</v>
      </c>
      <c r="Q532" s="6">
        <f t="shared" si="77"/>
        <v>8.4922010398613523E-2</v>
      </c>
      <c r="R532">
        <f t="shared" si="78"/>
        <v>0</v>
      </c>
      <c r="S532">
        <f t="shared" si="79"/>
        <v>0</v>
      </c>
      <c r="T532">
        <f t="shared" si="80"/>
        <v>0</v>
      </c>
    </row>
    <row r="533" spans="1:20">
      <c r="A533" t="s">
        <v>945</v>
      </c>
      <c r="B533" t="s">
        <v>100</v>
      </c>
      <c r="C533" t="s">
        <v>16</v>
      </c>
      <c r="D533">
        <v>193</v>
      </c>
      <c r="E533" s="4">
        <v>46094</v>
      </c>
      <c r="F533" s="4">
        <v>46099</v>
      </c>
      <c r="G533" s="4">
        <v>46097</v>
      </c>
      <c r="H533">
        <v>190</v>
      </c>
      <c r="I533" t="s">
        <v>906</v>
      </c>
      <c r="J533">
        <v>4</v>
      </c>
      <c r="K533" t="s">
        <v>1563</v>
      </c>
      <c r="L533" t="str">
        <f t="shared" si="72"/>
        <v>Y</v>
      </c>
      <c r="M533" t="str">
        <f t="shared" si="73"/>
        <v>Y</v>
      </c>
      <c r="N533" t="str">
        <f t="shared" si="74"/>
        <v>Y</v>
      </c>
      <c r="O533">
        <f t="shared" si="75"/>
        <v>3</v>
      </c>
      <c r="P533" s="6">
        <f t="shared" si="76"/>
        <v>0.98445595854922274</v>
      </c>
      <c r="Q533" s="6">
        <f t="shared" si="77"/>
        <v>2.1052631578947368E-2</v>
      </c>
      <c r="R533">
        <f t="shared" si="78"/>
        <v>1</v>
      </c>
      <c r="S533">
        <f t="shared" si="79"/>
        <v>0</v>
      </c>
      <c r="T533">
        <f t="shared" si="80"/>
        <v>0</v>
      </c>
    </row>
    <row r="534" spans="1:20">
      <c r="A534" t="s">
        <v>947</v>
      </c>
      <c r="B534" t="s">
        <v>29</v>
      </c>
      <c r="C534" t="s">
        <v>23</v>
      </c>
      <c r="D534">
        <v>302</v>
      </c>
      <c r="E534" s="4">
        <v>46060</v>
      </c>
      <c r="F534" s="4">
        <v>46068</v>
      </c>
      <c r="G534" s="4">
        <v>46071</v>
      </c>
      <c r="H534">
        <v>306</v>
      </c>
      <c r="I534" t="s">
        <v>948</v>
      </c>
      <c r="J534">
        <v>3</v>
      </c>
      <c r="K534" t="s">
        <v>1563</v>
      </c>
      <c r="L534" t="str">
        <f t="shared" si="72"/>
        <v>N</v>
      </c>
      <c r="M534" t="str">
        <f t="shared" si="73"/>
        <v>Y</v>
      </c>
      <c r="N534" t="str">
        <f t="shared" si="74"/>
        <v>N</v>
      </c>
      <c r="O534">
        <f t="shared" si="75"/>
        <v>11</v>
      </c>
      <c r="P534" s="6">
        <f t="shared" si="76"/>
        <v>1.0132450331125828</v>
      </c>
      <c r="Q534" s="6">
        <f t="shared" si="77"/>
        <v>9.8039215686274508E-3</v>
      </c>
      <c r="R534">
        <f t="shared" si="78"/>
        <v>0</v>
      </c>
      <c r="S534">
        <f t="shared" si="79"/>
        <v>3</v>
      </c>
      <c r="T534">
        <f t="shared" si="80"/>
        <v>1500</v>
      </c>
    </row>
    <row r="535" spans="1:20">
      <c r="A535" t="s">
        <v>949</v>
      </c>
      <c r="B535" t="s">
        <v>11</v>
      </c>
      <c r="C535" t="s">
        <v>12</v>
      </c>
      <c r="D535">
        <v>738</v>
      </c>
      <c r="E535" s="4">
        <v>46073</v>
      </c>
      <c r="F535" s="4">
        <v>46086</v>
      </c>
      <c r="G535" s="4">
        <v>46083</v>
      </c>
      <c r="H535">
        <v>751</v>
      </c>
      <c r="I535" t="s">
        <v>647</v>
      </c>
      <c r="J535">
        <v>14</v>
      </c>
      <c r="K535" t="s">
        <v>1563</v>
      </c>
      <c r="L535" t="str">
        <f t="shared" si="72"/>
        <v>Y</v>
      </c>
      <c r="M535" t="str">
        <f t="shared" si="73"/>
        <v>Y</v>
      </c>
      <c r="N535" t="str">
        <f t="shared" si="74"/>
        <v>Y</v>
      </c>
      <c r="O535">
        <f t="shared" si="75"/>
        <v>10</v>
      </c>
      <c r="P535" s="6">
        <f t="shared" si="76"/>
        <v>1.0176151761517616</v>
      </c>
      <c r="Q535" s="6">
        <f t="shared" si="77"/>
        <v>1.8641810918774968E-2</v>
      </c>
      <c r="R535">
        <f t="shared" si="78"/>
        <v>1</v>
      </c>
      <c r="S535">
        <f t="shared" si="79"/>
        <v>0</v>
      </c>
      <c r="T535">
        <f t="shared" si="80"/>
        <v>0</v>
      </c>
    </row>
    <row r="536" spans="1:20">
      <c r="A536" t="s">
        <v>950</v>
      </c>
      <c r="B536" t="s">
        <v>32</v>
      </c>
      <c r="C536" t="s">
        <v>16</v>
      </c>
      <c r="D536">
        <v>217</v>
      </c>
      <c r="E536" s="4">
        <v>46087</v>
      </c>
      <c r="F536" s="4">
        <v>46095</v>
      </c>
      <c r="G536" s="4">
        <v>46093</v>
      </c>
      <c r="H536">
        <v>220</v>
      </c>
      <c r="I536" t="s">
        <v>951</v>
      </c>
      <c r="J536">
        <v>9</v>
      </c>
      <c r="K536" t="s">
        <v>1563</v>
      </c>
      <c r="L536" t="str">
        <f t="shared" si="72"/>
        <v>Y</v>
      </c>
      <c r="M536" t="str">
        <f t="shared" si="73"/>
        <v>Y</v>
      </c>
      <c r="N536" t="str">
        <f t="shared" si="74"/>
        <v>Y</v>
      </c>
      <c r="O536">
        <f t="shared" si="75"/>
        <v>6</v>
      </c>
      <c r="P536" s="6">
        <f t="shared" si="76"/>
        <v>1.0138248847926268</v>
      </c>
      <c r="Q536" s="6">
        <f t="shared" si="77"/>
        <v>4.0909090909090909E-2</v>
      </c>
      <c r="R536">
        <f t="shared" si="78"/>
        <v>1</v>
      </c>
      <c r="S536">
        <f t="shared" si="79"/>
        <v>0</v>
      </c>
      <c r="T536">
        <f t="shared" si="80"/>
        <v>0</v>
      </c>
    </row>
    <row r="537" spans="1:20">
      <c r="A537" t="s">
        <v>952</v>
      </c>
      <c r="B537" t="s">
        <v>100</v>
      </c>
      <c r="C537" t="s">
        <v>16</v>
      </c>
      <c r="D537">
        <v>863</v>
      </c>
      <c r="E537" s="4">
        <v>46058</v>
      </c>
      <c r="F537" s="4">
        <v>46063</v>
      </c>
      <c r="G537" s="4">
        <v>46063</v>
      </c>
      <c r="H537">
        <v>847</v>
      </c>
      <c r="I537" t="s">
        <v>209</v>
      </c>
      <c r="J537">
        <v>10</v>
      </c>
      <c r="K537" t="s">
        <v>1563</v>
      </c>
      <c r="L537" t="str">
        <f t="shared" si="72"/>
        <v>Y</v>
      </c>
      <c r="M537" t="str">
        <f t="shared" si="73"/>
        <v>Y</v>
      </c>
      <c r="N537" t="str">
        <f t="shared" si="74"/>
        <v>Y</v>
      </c>
      <c r="O537">
        <f t="shared" si="75"/>
        <v>5</v>
      </c>
      <c r="P537" s="6">
        <f t="shared" si="76"/>
        <v>0.98146002317497105</v>
      </c>
      <c r="Q537" s="6">
        <f t="shared" si="77"/>
        <v>1.1806375442739079E-2</v>
      </c>
      <c r="R537">
        <f t="shared" si="78"/>
        <v>1</v>
      </c>
      <c r="S537">
        <f t="shared" si="79"/>
        <v>0</v>
      </c>
      <c r="T537">
        <f t="shared" si="80"/>
        <v>0</v>
      </c>
    </row>
    <row r="538" spans="1:20">
      <c r="A538" t="s">
        <v>953</v>
      </c>
      <c r="B538" t="s">
        <v>49</v>
      </c>
      <c r="C538" t="s">
        <v>12</v>
      </c>
      <c r="D538">
        <v>896</v>
      </c>
      <c r="E538" s="4">
        <v>46114</v>
      </c>
      <c r="F538" s="4">
        <v>46123</v>
      </c>
      <c r="G538" s="4">
        <v>46123</v>
      </c>
      <c r="H538">
        <v>910</v>
      </c>
      <c r="I538" t="s">
        <v>461</v>
      </c>
      <c r="J538">
        <v>8</v>
      </c>
      <c r="K538" t="s">
        <v>1563</v>
      </c>
      <c r="L538" t="str">
        <f t="shared" si="72"/>
        <v>Y</v>
      </c>
      <c r="M538" t="str">
        <f t="shared" si="73"/>
        <v>Y</v>
      </c>
      <c r="N538" t="str">
        <f t="shared" si="74"/>
        <v>Y</v>
      </c>
      <c r="O538">
        <f t="shared" si="75"/>
        <v>9</v>
      </c>
      <c r="P538" s="6">
        <f t="shared" si="76"/>
        <v>1.015625</v>
      </c>
      <c r="Q538" s="6">
        <f t="shared" si="77"/>
        <v>8.7912087912087912E-3</v>
      </c>
      <c r="R538">
        <f t="shared" si="78"/>
        <v>1</v>
      </c>
      <c r="S538">
        <f t="shared" si="79"/>
        <v>0</v>
      </c>
      <c r="T538">
        <f t="shared" si="80"/>
        <v>0</v>
      </c>
    </row>
    <row r="539" spans="1:20">
      <c r="A539" t="s">
        <v>954</v>
      </c>
      <c r="B539" t="s">
        <v>46</v>
      </c>
      <c r="C539" t="s">
        <v>12</v>
      </c>
      <c r="D539">
        <v>132</v>
      </c>
      <c r="E539" s="4">
        <v>46060</v>
      </c>
      <c r="F539" s="4">
        <v>46070</v>
      </c>
      <c r="G539" s="4">
        <v>46068</v>
      </c>
      <c r="H539">
        <v>131</v>
      </c>
      <c r="I539" t="s">
        <v>731</v>
      </c>
      <c r="J539">
        <v>1</v>
      </c>
      <c r="K539" t="s">
        <v>1563</v>
      </c>
      <c r="L539" t="str">
        <f t="shared" si="72"/>
        <v>Y</v>
      </c>
      <c r="M539" t="str">
        <f t="shared" si="73"/>
        <v>Y</v>
      </c>
      <c r="N539" t="str">
        <f t="shared" si="74"/>
        <v>Y</v>
      </c>
      <c r="O539">
        <f t="shared" si="75"/>
        <v>8</v>
      </c>
      <c r="P539" s="6">
        <f t="shared" si="76"/>
        <v>0.99242424242424243</v>
      </c>
      <c r="Q539" s="6">
        <f t="shared" si="77"/>
        <v>7.6335877862595417E-3</v>
      </c>
      <c r="R539">
        <f t="shared" si="78"/>
        <v>1</v>
      </c>
      <c r="S539">
        <f t="shared" si="79"/>
        <v>0</v>
      </c>
      <c r="T539">
        <f t="shared" si="80"/>
        <v>0</v>
      </c>
    </row>
    <row r="540" spans="1:20">
      <c r="A540" t="s">
        <v>955</v>
      </c>
      <c r="B540" t="s">
        <v>177</v>
      </c>
      <c r="C540" t="s">
        <v>23</v>
      </c>
      <c r="D540">
        <v>89</v>
      </c>
      <c r="E540" s="4">
        <v>46108</v>
      </c>
      <c r="F540" s="4">
        <v>46115</v>
      </c>
      <c r="G540" s="4">
        <v>46114</v>
      </c>
      <c r="H540">
        <v>90</v>
      </c>
      <c r="I540" t="s">
        <v>956</v>
      </c>
      <c r="J540">
        <v>2</v>
      </c>
      <c r="K540" t="s">
        <v>1563</v>
      </c>
      <c r="L540" t="str">
        <f t="shared" si="72"/>
        <v>Y</v>
      </c>
      <c r="M540" t="str">
        <f t="shared" si="73"/>
        <v>Y</v>
      </c>
      <c r="N540" t="str">
        <f t="shared" si="74"/>
        <v>Y</v>
      </c>
      <c r="O540">
        <f t="shared" si="75"/>
        <v>6</v>
      </c>
      <c r="P540" s="6">
        <f t="shared" si="76"/>
        <v>1.0112359550561798</v>
      </c>
      <c r="Q540" s="6">
        <f t="shared" si="77"/>
        <v>2.2222222222222223E-2</v>
      </c>
      <c r="R540">
        <f t="shared" si="78"/>
        <v>1</v>
      </c>
      <c r="S540">
        <f t="shared" si="79"/>
        <v>0</v>
      </c>
      <c r="T540">
        <f t="shared" si="80"/>
        <v>0</v>
      </c>
    </row>
    <row r="541" spans="1:20">
      <c r="A541" t="s">
        <v>957</v>
      </c>
      <c r="B541" t="s">
        <v>46</v>
      </c>
      <c r="C541" t="s">
        <v>12</v>
      </c>
      <c r="D541">
        <v>308</v>
      </c>
      <c r="E541" s="4">
        <v>46092</v>
      </c>
      <c r="F541" s="4">
        <v>46099</v>
      </c>
      <c r="G541" s="4">
        <v>46100</v>
      </c>
      <c r="H541">
        <v>303</v>
      </c>
      <c r="I541" t="s">
        <v>958</v>
      </c>
      <c r="J541">
        <v>29</v>
      </c>
      <c r="K541" t="s">
        <v>1563</v>
      </c>
      <c r="L541" t="str">
        <f t="shared" si="72"/>
        <v>N</v>
      </c>
      <c r="M541" t="str">
        <f t="shared" si="73"/>
        <v>Y</v>
      </c>
      <c r="N541" t="str">
        <f t="shared" si="74"/>
        <v>N</v>
      </c>
      <c r="O541">
        <f t="shared" si="75"/>
        <v>8</v>
      </c>
      <c r="P541" s="6">
        <f t="shared" si="76"/>
        <v>0.98376623376623373</v>
      </c>
      <c r="Q541" s="6">
        <f t="shared" si="77"/>
        <v>9.5709570957095716E-2</v>
      </c>
      <c r="R541">
        <f t="shared" si="78"/>
        <v>0</v>
      </c>
      <c r="S541">
        <f t="shared" si="79"/>
        <v>1</v>
      </c>
      <c r="T541">
        <f t="shared" si="80"/>
        <v>500</v>
      </c>
    </row>
    <row r="542" spans="1:20">
      <c r="A542" t="s">
        <v>959</v>
      </c>
      <c r="B542" t="s">
        <v>22</v>
      </c>
      <c r="C542" t="s">
        <v>23</v>
      </c>
      <c r="D542">
        <v>838</v>
      </c>
      <c r="E542" s="4">
        <v>46091</v>
      </c>
      <c r="F542" s="4">
        <v>46104</v>
      </c>
      <c r="G542" s="4">
        <v>46111</v>
      </c>
      <c r="H542">
        <v>822</v>
      </c>
      <c r="I542" t="s">
        <v>960</v>
      </c>
      <c r="J542">
        <v>8</v>
      </c>
      <c r="K542" t="s">
        <v>1563</v>
      </c>
      <c r="L542" t="str">
        <f t="shared" si="72"/>
        <v>N</v>
      </c>
      <c r="M542" t="str">
        <f t="shared" si="73"/>
        <v>Y</v>
      </c>
      <c r="N542" t="str">
        <f t="shared" si="74"/>
        <v>N</v>
      </c>
      <c r="O542">
        <f t="shared" si="75"/>
        <v>20</v>
      </c>
      <c r="P542" s="6">
        <f t="shared" si="76"/>
        <v>0.98090692124105017</v>
      </c>
      <c r="Q542" s="6">
        <f t="shared" si="77"/>
        <v>9.7323600973236012E-3</v>
      </c>
      <c r="R542">
        <f t="shared" si="78"/>
        <v>0</v>
      </c>
      <c r="S542">
        <f t="shared" si="79"/>
        <v>7</v>
      </c>
      <c r="T542">
        <f t="shared" si="80"/>
        <v>3500</v>
      </c>
    </row>
    <row r="543" spans="1:20">
      <c r="A543" t="s">
        <v>961</v>
      </c>
      <c r="B543" t="s">
        <v>64</v>
      </c>
      <c r="C543" t="s">
        <v>16</v>
      </c>
      <c r="D543">
        <v>728</v>
      </c>
      <c r="E543" s="4">
        <v>46083</v>
      </c>
      <c r="F543" s="4">
        <v>46091</v>
      </c>
      <c r="G543" s="4">
        <v>46088</v>
      </c>
      <c r="H543">
        <v>735</v>
      </c>
      <c r="I543" t="s">
        <v>490</v>
      </c>
      <c r="J543">
        <v>13</v>
      </c>
      <c r="K543" t="s">
        <v>1563</v>
      </c>
      <c r="L543" t="str">
        <f t="shared" si="72"/>
        <v>Y</v>
      </c>
      <c r="M543" t="str">
        <f t="shared" si="73"/>
        <v>Y</v>
      </c>
      <c r="N543" t="str">
        <f t="shared" si="74"/>
        <v>Y</v>
      </c>
      <c r="O543">
        <f t="shared" si="75"/>
        <v>5</v>
      </c>
      <c r="P543" s="6">
        <f t="shared" si="76"/>
        <v>1.0096153846153846</v>
      </c>
      <c r="Q543" s="6">
        <f t="shared" si="77"/>
        <v>1.7687074829931974E-2</v>
      </c>
      <c r="R543">
        <f t="shared" si="78"/>
        <v>1</v>
      </c>
      <c r="S543">
        <f t="shared" si="79"/>
        <v>0</v>
      </c>
      <c r="T543">
        <f t="shared" si="80"/>
        <v>0</v>
      </c>
    </row>
    <row r="544" spans="1:20">
      <c r="A544" t="s">
        <v>962</v>
      </c>
      <c r="B544" t="s">
        <v>52</v>
      </c>
      <c r="C544" t="s">
        <v>12</v>
      </c>
      <c r="D544">
        <v>436</v>
      </c>
      <c r="E544" s="4">
        <v>46080</v>
      </c>
      <c r="F544" s="4">
        <v>46090</v>
      </c>
      <c r="G544" s="4">
        <v>46090</v>
      </c>
      <c r="H544">
        <v>371</v>
      </c>
      <c r="I544" t="s">
        <v>963</v>
      </c>
      <c r="J544">
        <v>3</v>
      </c>
      <c r="K544" t="s">
        <v>1563</v>
      </c>
      <c r="L544" t="str">
        <f t="shared" si="72"/>
        <v>Y</v>
      </c>
      <c r="M544" t="str">
        <f t="shared" si="73"/>
        <v>N</v>
      </c>
      <c r="N544" t="str">
        <f t="shared" si="74"/>
        <v>N</v>
      </c>
      <c r="O544">
        <f t="shared" si="75"/>
        <v>10</v>
      </c>
      <c r="P544" s="6">
        <f t="shared" si="76"/>
        <v>0.8509174311926605</v>
      </c>
      <c r="Q544" s="6">
        <f t="shared" si="77"/>
        <v>8.0862533692722376E-3</v>
      </c>
      <c r="R544">
        <f t="shared" si="78"/>
        <v>0</v>
      </c>
      <c r="S544">
        <f t="shared" si="79"/>
        <v>0</v>
      </c>
      <c r="T544">
        <f t="shared" si="80"/>
        <v>0</v>
      </c>
    </row>
    <row r="545" spans="1:20">
      <c r="A545" t="s">
        <v>964</v>
      </c>
      <c r="B545" t="s">
        <v>67</v>
      </c>
      <c r="C545" t="s">
        <v>12</v>
      </c>
      <c r="D545">
        <v>316</v>
      </c>
      <c r="E545" s="4">
        <v>46083</v>
      </c>
      <c r="F545" s="4">
        <v>46095</v>
      </c>
      <c r="G545" s="4">
        <v>46096</v>
      </c>
      <c r="H545">
        <v>311</v>
      </c>
      <c r="I545" t="s">
        <v>101</v>
      </c>
      <c r="J545">
        <v>8</v>
      </c>
      <c r="K545" t="s">
        <v>1563</v>
      </c>
      <c r="L545" t="str">
        <f t="shared" si="72"/>
        <v>N</v>
      </c>
      <c r="M545" t="str">
        <f t="shared" si="73"/>
        <v>Y</v>
      </c>
      <c r="N545" t="str">
        <f t="shared" si="74"/>
        <v>N</v>
      </c>
      <c r="O545">
        <f t="shared" si="75"/>
        <v>13</v>
      </c>
      <c r="P545" s="6">
        <f t="shared" si="76"/>
        <v>0.98417721518987344</v>
      </c>
      <c r="Q545" s="6">
        <f t="shared" si="77"/>
        <v>2.5723472668810289E-2</v>
      </c>
      <c r="R545">
        <f t="shared" si="78"/>
        <v>0</v>
      </c>
      <c r="S545">
        <f t="shared" si="79"/>
        <v>1</v>
      </c>
      <c r="T545">
        <f t="shared" si="80"/>
        <v>500</v>
      </c>
    </row>
    <row r="546" spans="1:20">
      <c r="A546" t="s">
        <v>966</v>
      </c>
      <c r="B546" t="s">
        <v>40</v>
      </c>
      <c r="C546" t="s">
        <v>16</v>
      </c>
      <c r="D546">
        <v>894</v>
      </c>
      <c r="E546" s="4">
        <v>46028</v>
      </c>
      <c r="F546" s="4">
        <v>46033</v>
      </c>
      <c r="G546" s="4">
        <v>46032</v>
      </c>
      <c r="H546">
        <v>890</v>
      </c>
      <c r="I546" t="s">
        <v>906</v>
      </c>
      <c r="J546">
        <v>51</v>
      </c>
      <c r="K546" t="s">
        <v>1563</v>
      </c>
      <c r="L546" t="str">
        <f t="shared" si="72"/>
        <v>Y</v>
      </c>
      <c r="M546" t="str">
        <f t="shared" si="73"/>
        <v>Y</v>
      </c>
      <c r="N546" t="str">
        <f t="shared" si="74"/>
        <v>Y</v>
      </c>
      <c r="O546">
        <f t="shared" si="75"/>
        <v>4</v>
      </c>
      <c r="P546" s="6">
        <f t="shared" si="76"/>
        <v>0.99552572706935127</v>
      </c>
      <c r="Q546" s="6">
        <f t="shared" si="77"/>
        <v>5.7303370786516851E-2</v>
      </c>
      <c r="R546">
        <f t="shared" si="78"/>
        <v>1</v>
      </c>
      <c r="S546">
        <f t="shared" si="79"/>
        <v>0</v>
      </c>
      <c r="T546">
        <f t="shared" si="80"/>
        <v>0</v>
      </c>
    </row>
    <row r="547" spans="1:20">
      <c r="A547" t="s">
        <v>967</v>
      </c>
      <c r="B547" t="s">
        <v>120</v>
      </c>
      <c r="C547" t="s">
        <v>12</v>
      </c>
      <c r="D547">
        <v>906</v>
      </c>
      <c r="E547" s="4">
        <v>46139</v>
      </c>
      <c r="F547" s="4">
        <v>46144</v>
      </c>
      <c r="G547" s="4">
        <v>46144</v>
      </c>
      <c r="H547">
        <v>919</v>
      </c>
      <c r="I547" t="s">
        <v>968</v>
      </c>
      <c r="J547">
        <v>21</v>
      </c>
      <c r="K547" t="s">
        <v>1563</v>
      </c>
      <c r="L547" t="str">
        <f t="shared" si="72"/>
        <v>Y</v>
      </c>
      <c r="M547" t="str">
        <f t="shared" si="73"/>
        <v>Y</v>
      </c>
      <c r="N547" t="str">
        <f t="shared" si="74"/>
        <v>Y</v>
      </c>
      <c r="O547">
        <f t="shared" si="75"/>
        <v>5</v>
      </c>
      <c r="P547" s="6">
        <f t="shared" si="76"/>
        <v>1.0143487858719646</v>
      </c>
      <c r="Q547" s="6">
        <f t="shared" si="77"/>
        <v>2.2850924918389554E-2</v>
      </c>
      <c r="R547">
        <f t="shared" si="78"/>
        <v>1</v>
      </c>
      <c r="S547">
        <f t="shared" si="79"/>
        <v>0</v>
      </c>
      <c r="T547">
        <f t="shared" si="80"/>
        <v>0</v>
      </c>
    </row>
    <row r="548" spans="1:20">
      <c r="A548" t="s">
        <v>969</v>
      </c>
      <c r="B548" t="s">
        <v>70</v>
      </c>
      <c r="C548" t="s">
        <v>12</v>
      </c>
      <c r="D548">
        <v>255</v>
      </c>
      <c r="E548" s="4">
        <v>46034</v>
      </c>
      <c r="F548" s="4">
        <v>46044</v>
      </c>
      <c r="G548" s="4">
        <v>46041</v>
      </c>
      <c r="H548">
        <v>252</v>
      </c>
      <c r="I548" t="s">
        <v>970</v>
      </c>
      <c r="J548">
        <v>1</v>
      </c>
      <c r="K548" t="s">
        <v>1563</v>
      </c>
      <c r="L548" t="str">
        <f t="shared" si="72"/>
        <v>Y</v>
      </c>
      <c r="M548" t="str">
        <f t="shared" si="73"/>
        <v>Y</v>
      </c>
      <c r="N548" t="str">
        <f t="shared" si="74"/>
        <v>Y</v>
      </c>
      <c r="O548">
        <f t="shared" si="75"/>
        <v>7</v>
      </c>
      <c r="P548" s="6">
        <f t="shared" si="76"/>
        <v>0.9882352941176471</v>
      </c>
      <c r="Q548" s="6">
        <f t="shared" si="77"/>
        <v>3.968253968253968E-3</v>
      </c>
      <c r="R548">
        <f t="shared" si="78"/>
        <v>1</v>
      </c>
      <c r="S548">
        <f t="shared" si="79"/>
        <v>0</v>
      </c>
      <c r="T548">
        <f t="shared" si="80"/>
        <v>0</v>
      </c>
    </row>
    <row r="549" spans="1:20">
      <c r="A549" t="s">
        <v>971</v>
      </c>
      <c r="B549" t="s">
        <v>177</v>
      </c>
      <c r="C549" t="s">
        <v>12</v>
      </c>
      <c r="D549">
        <v>864</v>
      </c>
      <c r="E549" s="4">
        <v>46145</v>
      </c>
      <c r="F549" s="4">
        <v>46150</v>
      </c>
      <c r="G549" s="4">
        <v>46148</v>
      </c>
      <c r="H549">
        <v>866</v>
      </c>
      <c r="I549" t="s">
        <v>240</v>
      </c>
      <c r="J549">
        <v>37</v>
      </c>
      <c r="K549" t="s">
        <v>1563</v>
      </c>
      <c r="L549" t="str">
        <f t="shared" si="72"/>
        <v>Y</v>
      </c>
      <c r="M549" t="str">
        <f t="shared" si="73"/>
        <v>Y</v>
      </c>
      <c r="N549" t="str">
        <f t="shared" si="74"/>
        <v>Y</v>
      </c>
      <c r="O549">
        <f t="shared" si="75"/>
        <v>3</v>
      </c>
      <c r="P549" s="6">
        <f t="shared" si="76"/>
        <v>1.0023148148148149</v>
      </c>
      <c r="Q549" s="6">
        <f t="shared" si="77"/>
        <v>4.2725173210161664E-2</v>
      </c>
      <c r="R549">
        <f t="shared" si="78"/>
        <v>1</v>
      </c>
      <c r="S549">
        <f t="shared" si="79"/>
        <v>0</v>
      </c>
      <c r="T549">
        <f t="shared" si="80"/>
        <v>0</v>
      </c>
    </row>
    <row r="550" spans="1:20">
      <c r="A550" t="s">
        <v>972</v>
      </c>
      <c r="B550" t="s">
        <v>32</v>
      </c>
      <c r="C550" t="s">
        <v>16</v>
      </c>
      <c r="D550">
        <v>221</v>
      </c>
      <c r="E550" s="4">
        <v>46125</v>
      </c>
      <c r="F550" s="4">
        <v>46137</v>
      </c>
      <c r="G550" s="4">
        <v>46134</v>
      </c>
      <c r="H550">
        <v>222</v>
      </c>
      <c r="I550" t="s">
        <v>815</v>
      </c>
      <c r="J550">
        <v>9</v>
      </c>
      <c r="K550" t="s">
        <v>1563</v>
      </c>
      <c r="L550" t="str">
        <f t="shared" si="72"/>
        <v>Y</v>
      </c>
      <c r="M550" t="str">
        <f t="shared" si="73"/>
        <v>Y</v>
      </c>
      <c r="N550" t="str">
        <f t="shared" si="74"/>
        <v>Y</v>
      </c>
      <c r="O550">
        <f t="shared" si="75"/>
        <v>9</v>
      </c>
      <c r="P550" s="6">
        <f t="shared" si="76"/>
        <v>1.004524886877828</v>
      </c>
      <c r="Q550" s="6">
        <f t="shared" si="77"/>
        <v>4.0540540540540543E-2</v>
      </c>
      <c r="R550">
        <f t="shared" si="78"/>
        <v>1</v>
      </c>
      <c r="S550">
        <f t="shared" si="79"/>
        <v>0</v>
      </c>
      <c r="T550">
        <f t="shared" si="80"/>
        <v>0</v>
      </c>
    </row>
    <row r="551" spans="1:20">
      <c r="A551" t="s">
        <v>973</v>
      </c>
      <c r="B551" t="s">
        <v>52</v>
      </c>
      <c r="C551" t="s">
        <v>16</v>
      </c>
      <c r="D551">
        <v>160</v>
      </c>
      <c r="E551" s="4">
        <v>46095</v>
      </c>
      <c r="F551" s="4">
        <v>46104</v>
      </c>
      <c r="G551" s="4">
        <v>46102</v>
      </c>
      <c r="H551">
        <v>145</v>
      </c>
      <c r="I551" t="s">
        <v>294</v>
      </c>
      <c r="J551">
        <v>3</v>
      </c>
      <c r="K551" t="s">
        <v>1563</v>
      </c>
      <c r="L551" t="str">
        <f t="shared" si="72"/>
        <v>Y</v>
      </c>
      <c r="M551" t="str">
        <f t="shared" si="73"/>
        <v>N</v>
      </c>
      <c r="N551" t="str">
        <f t="shared" si="74"/>
        <v>N</v>
      </c>
      <c r="O551">
        <f t="shared" si="75"/>
        <v>7</v>
      </c>
      <c r="P551" s="6">
        <f t="shared" si="76"/>
        <v>0.90625</v>
      </c>
      <c r="Q551" s="6">
        <f t="shared" si="77"/>
        <v>2.0689655172413793E-2</v>
      </c>
      <c r="R551">
        <f t="shared" si="78"/>
        <v>0</v>
      </c>
      <c r="S551">
        <f t="shared" si="79"/>
        <v>0</v>
      </c>
      <c r="T551">
        <f t="shared" si="80"/>
        <v>0</v>
      </c>
    </row>
    <row r="552" spans="1:20">
      <c r="A552" t="s">
        <v>974</v>
      </c>
      <c r="B552" t="s">
        <v>35</v>
      </c>
      <c r="C552" t="s">
        <v>16</v>
      </c>
      <c r="D552">
        <v>802</v>
      </c>
      <c r="E552" s="4">
        <v>46149</v>
      </c>
      <c r="F552" s="4">
        <v>46161</v>
      </c>
      <c r="G552" s="4">
        <v>46159</v>
      </c>
      <c r="H552">
        <v>787</v>
      </c>
      <c r="I552" t="s">
        <v>904</v>
      </c>
      <c r="J552">
        <v>24</v>
      </c>
      <c r="K552" t="s">
        <v>1563</v>
      </c>
      <c r="L552" t="str">
        <f t="shared" si="72"/>
        <v>Y</v>
      </c>
      <c r="M552" t="str">
        <f t="shared" si="73"/>
        <v>Y</v>
      </c>
      <c r="N552" t="str">
        <f t="shared" si="74"/>
        <v>Y</v>
      </c>
      <c r="O552">
        <f t="shared" si="75"/>
        <v>10</v>
      </c>
      <c r="P552" s="6">
        <f t="shared" si="76"/>
        <v>0.98129675810473815</v>
      </c>
      <c r="Q552" s="6">
        <f t="shared" si="77"/>
        <v>3.0495552731893267E-2</v>
      </c>
      <c r="R552">
        <f t="shared" si="78"/>
        <v>1</v>
      </c>
      <c r="S552">
        <f t="shared" si="79"/>
        <v>0</v>
      </c>
      <c r="T552">
        <f t="shared" si="80"/>
        <v>0</v>
      </c>
    </row>
    <row r="553" spans="1:20">
      <c r="A553" t="s">
        <v>975</v>
      </c>
      <c r="B553" t="s">
        <v>32</v>
      </c>
      <c r="C553" t="s">
        <v>16</v>
      </c>
      <c r="D553">
        <v>751</v>
      </c>
      <c r="E553" s="4">
        <v>46153</v>
      </c>
      <c r="F553" s="4">
        <v>46159</v>
      </c>
      <c r="G553" s="4">
        <v>46159</v>
      </c>
      <c r="H553">
        <v>713</v>
      </c>
      <c r="I553" t="s">
        <v>366</v>
      </c>
      <c r="J553">
        <v>21</v>
      </c>
      <c r="K553" t="s">
        <v>1563</v>
      </c>
      <c r="L553" t="str">
        <f t="shared" si="72"/>
        <v>Y</v>
      </c>
      <c r="M553" t="str">
        <f t="shared" si="73"/>
        <v>N</v>
      </c>
      <c r="N553" t="str">
        <f t="shared" si="74"/>
        <v>N</v>
      </c>
      <c r="O553">
        <f t="shared" si="75"/>
        <v>6</v>
      </c>
      <c r="P553" s="6">
        <f t="shared" si="76"/>
        <v>0.94940079893475371</v>
      </c>
      <c r="Q553" s="6">
        <f t="shared" si="77"/>
        <v>2.9453015427769985E-2</v>
      </c>
      <c r="R553">
        <f t="shared" si="78"/>
        <v>0</v>
      </c>
      <c r="S553">
        <f t="shared" si="79"/>
        <v>0</v>
      </c>
      <c r="T553">
        <f t="shared" si="80"/>
        <v>0</v>
      </c>
    </row>
    <row r="554" spans="1:20">
      <c r="A554" t="s">
        <v>976</v>
      </c>
      <c r="B554" t="s">
        <v>49</v>
      </c>
      <c r="C554" t="s">
        <v>12</v>
      </c>
      <c r="D554">
        <v>646</v>
      </c>
      <c r="E554" s="4">
        <v>46116</v>
      </c>
      <c r="F554" s="4">
        <v>46128</v>
      </c>
      <c r="G554" s="4">
        <v>46125</v>
      </c>
      <c r="H554">
        <v>651</v>
      </c>
      <c r="I554" t="s">
        <v>113</v>
      </c>
      <c r="J554">
        <v>7</v>
      </c>
      <c r="K554" t="s">
        <v>1563</v>
      </c>
      <c r="L554" t="str">
        <f t="shared" si="72"/>
        <v>Y</v>
      </c>
      <c r="M554" t="str">
        <f t="shared" si="73"/>
        <v>Y</v>
      </c>
      <c r="N554" t="str">
        <f t="shared" si="74"/>
        <v>Y</v>
      </c>
      <c r="O554">
        <f t="shared" si="75"/>
        <v>9</v>
      </c>
      <c r="P554" s="6">
        <f t="shared" si="76"/>
        <v>1.0077399380804954</v>
      </c>
      <c r="Q554" s="6">
        <f t="shared" si="77"/>
        <v>1.0752688172043012E-2</v>
      </c>
      <c r="R554">
        <f t="shared" si="78"/>
        <v>1</v>
      </c>
      <c r="S554">
        <f t="shared" si="79"/>
        <v>0</v>
      </c>
      <c r="T554">
        <f t="shared" si="80"/>
        <v>0</v>
      </c>
    </row>
    <row r="555" spans="1:20">
      <c r="A555" t="s">
        <v>977</v>
      </c>
      <c r="B555" t="s">
        <v>67</v>
      </c>
      <c r="C555" t="s">
        <v>16</v>
      </c>
      <c r="D555">
        <v>427</v>
      </c>
      <c r="E555" s="4">
        <v>46170</v>
      </c>
      <c r="F555" s="4">
        <v>46181</v>
      </c>
      <c r="G555" s="4">
        <v>46179</v>
      </c>
      <c r="H555">
        <v>434</v>
      </c>
      <c r="I555" t="s">
        <v>978</v>
      </c>
      <c r="J555">
        <v>13</v>
      </c>
      <c r="K555" t="s">
        <v>1563</v>
      </c>
      <c r="L555" t="str">
        <f t="shared" si="72"/>
        <v>Y</v>
      </c>
      <c r="M555" t="str">
        <f t="shared" si="73"/>
        <v>Y</v>
      </c>
      <c r="N555" t="str">
        <f t="shared" si="74"/>
        <v>Y</v>
      </c>
      <c r="O555">
        <f t="shared" si="75"/>
        <v>9</v>
      </c>
      <c r="P555" s="6">
        <f t="shared" si="76"/>
        <v>1.0163934426229508</v>
      </c>
      <c r="Q555" s="6">
        <f t="shared" si="77"/>
        <v>2.9953917050691243E-2</v>
      </c>
      <c r="R555">
        <f t="shared" si="78"/>
        <v>1</v>
      </c>
      <c r="S555">
        <f t="shared" si="79"/>
        <v>0</v>
      </c>
      <c r="T555">
        <f t="shared" si="80"/>
        <v>0</v>
      </c>
    </row>
    <row r="556" spans="1:20">
      <c r="A556" t="s">
        <v>979</v>
      </c>
      <c r="B556" t="s">
        <v>11</v>
      </c>
      <c r="C556" t="s">
        <v>23</v>
      </c>
      <c r="D556">
        <v>940</v>
      </c>
      <c r="E556" s="4">
        <v>46054</v>
      </c>
      <c r="F556" s="4">
        <v>46064</v>
      </c>
      <c r="G556" s="4">
        <v>46061</v>
      </c>
      <c r="H556">
        <v>786</v>
      </c>
      <c r="I556" t="s">
        <v>980</v>
      </c>
      <c r="J556">
        <v>25</v>
      </c>
      <c r="K556" t="s">
        <v>1563</v>
      </c>
      <c r="L556" t="str">
        <f t="shared" si="72"/>
        <v>Y</v>
      </c>
      <c r="M556" t="str">
        <f t="shared" si="73"/>
        <v>N</v>
      </c>
      <c r="N556" t="str">
        <f t="shared" si="74"/>
        <v>N</v>
      </c>
      <c r="O556">
        <f t="shared" si="75"/>
        <v>7</v>
      </c>
      <c r="P556" s="6">
        <f t="shared" si="76"/>
        <v>0.83617021276595749</v>
      </c>
      <c r="Q556" s="6">
        <f t="shared" si="77"/>
        <v>3.1806615776081425E-2</v>
      </c>
      <c r="R556">
        <f t="shared" si="78"/>
        <v>0</v>
      </c>
      <c r="S556">
        <f t="shared" si="79"/>
        <v>0</v>
      </c>
      <c r="T556">
        <f t="shared" si="80"/>
        <v>0</v>
      </c>
    </row>
    <row r="557" spans="1:20">
      <c r="A557" t="s">
        <v>981</v>
      </c>
      <c r="B557" t="s">
        <v>35</v>
      </c>
      <c r="C557" t="s">
        <v>16</v>
      </c>
      <c r="D557">
        <v>85</v>
      </c>
      <c r="E557" s="4">
        <v>46049</v>
      </c>
      <c r="F557" s="4">
        <v>46061</v>
      </c>
      <c r="G557" s="4">
        <v>46065</v>
      </c>
      <c r="H557">
        <v>70</v>
      </c>
      <c r="I557" t="s">
        <v>944</v>
      </c>
      <c r="J557">
        <v>0</v>
      </c>
      <c r="K557" t="s">
        <v>1563</v>
      </c>
      <c r="L557" t="str">
        <f t="shared" si="72"/>
        <v>N</v>
      </c>
      <c r="M557" t="str">
        <f t="shared" si="73"/>
        <v>N</v>
      </c>
      <c r="N557" t="str">
        <f t="shared" si="74"/>
        <v>N</v>
      </c>
      <c r="O557">
        <f t="shared" si="75"/>
        <v>16</v>
      </c>
      <c r="P557" s="6">
        <f t="shared" si="76"/>
        <v>0.82352941176470584</v>
      </c>
      <c r="Q557" s="6">
        <f t="shared" si="77"/>
        <v>0</v>
      </c>
      <c r="R557">
        <f t="shared" si="78"/>
        <v>0</v>
      </c>
      <c r="S557">
        <f t="shared" si="79"/>
        <v>4</v>
      </c>
      <c r="T557">
        <f t="shared" si="80"/>
        <v>2000</v>
      </c>
    </row>
    <row r="558" spans="1:20">
      <c r="A558" t="s">
        <v>982</v>
      </c>
      <c r="B558" t="s">
        <v>43</v>
      </c>
      <c r="C558" t="s">
        <v>12</v>
      </c>
      <c r="D558">
        <v>171</v>
      </c>
      <c r="E558" s="4">
        <v>46173</v>
      </c>
      <c r="F558" s="4">
        <v>46185</v>
      </c>
      <c r="G558" s="4">
        <v>46184</v>
      </c>
      <c r="H558">
        <v>170</v>
      </c>
      <c r="I558" t="s">
        <v>983</v>
      </c>
      <c r="J558">
        <v>3</v>
      </c>
      <c r="K558" t="s">
        <v>1563</v>
      </c>
      <c r="L558" t="str">
        <f t="shared" si="72"/>
        <v>Y</v>
      </c>
      <c r="M558" t="str">
        <f t="shared" si="73"/>
        <v>Y</v>
      </c>
      <c r="N558" t="str">
        <f t="shared" si="74"/>
        <v>Y</v>
      </c>
      <c r="O558">
        <f t="shared" si="75"/>
        <v>11</v>
      </c>
      <c r="P558" s="6">
        <f t="shared" si="76"/>
        <v>0.99415204678362568</v>
      </c>
      <c r="Q558" s="6">
        <f t="shared" si="77"/>
        <v>1.7647058823529412E-2</v>
      </c>
      <c r="R558">
        <f t="shared" si="78"/>
        <v>1</v>
      </c>
      <c r="S558">
        <f t="shared" si="79"/>
        <v>0</v>
      </c>
      <c r="T558">
        <f t="shared" si="80"/>
        <v>0</v>
      </c>
    </row>
    <row r="559" spans="1:20">
      <c r="A559" t="s">
        <v>984</v>
      </c>
      <c r="B559" t="s">
        <v>29</v>
      </c>
      <c r="C559" t="s">
        <v>12</v>
      </c>
      <c r="D559">
        <v>826</v>
      </c>
      <c r="E559" s="4">
        <v>46033</v>
      </c>
      <c r="F559" s="4">
        <v>46042</v>
      </c>
      <c r="G559" s="4"/>
      <c r="I559" t="s">
        <v>985</v>
      </c>
      <c r="K559" t="s">
        <v>1565</v>
      </c>
      <c r="L559" t="str">
        <f t="shared" si="72"/>
        <v>N/A</v>
      </c>
      <c r="M559" t="str">
        <f t="shared" si="73"/>
        <v>N/A</v>
      </c>
      <c r="N559" t="str">
        <f t="shared" si="74"/>
        <v>N/A</v>
      </c>
      <c r="O559" t="str">
        <f t="shared" si="75"/>
        <v>N/A</v>
      </c>
      <c r="P559" s="6" t="str">
        <f t="shared" si="76"/>
        <v>N/A</v>
      </c>
      <c r="Q559" s="6" t="str">
        <f t="shared" si="77"/>
        <v>N/A</v>
      </c>
      <c r="R559" t="str">
        <f t="shared" si="78"/>
        <v/>
      </c>
      <c r="S559" t="str">
        <f t="shared" si="79"/>
        <v>N/A</v>
      </c>
      <c r="T559">
        <f t="shared" si="80"/>
        <v>0</v>
      </c>
    </row>
    <row r="560" spans="1:20">
      <c r="A560" t="s">
        <v>986</v>
      </c>
      <c r="B560" t="s">
        <v>35</v>
      </c>
      <c r="C560" t="s">
        <v>23</v>
      </c>
      <c r="D560">
        <v>921</v>
      </c>
      <c r="E560" s="4">
        <v>46079</v>
      </c>
      <c r="F560" s="4">
        <v>46090</v>
      </c>
      <c r="G560" s="4">
        <v>46097</v>
      </c>
      <c r="H560">
        <v>775</v>
      </c>
      <c r="I560" t="s">
        <v>987</v>
      </c>
      <c r="J560">
        <v>44</v>
      </c>
      <c r="K560" t="s">
        <v>1563</v>
      </c>
      <c r="L560" t="str">
        <f t="shared" si="72"/>
        <v>N</v>
      </c>
      <c r="M560" t="str">
        <f t="shared" si="73"/>
        <v>N</v>
      </c>
      <c r="N560" t="str">
        <f t="shared" si="74"/>
        <v>N</v>
      </c>
      <c r="O560">
        <f t="shared" si="75"/>
        <v>18</v>
      </c>
      <c r="P560" s="6">
        <f t="shared" si="76"/>
        <v>0.84147665580890341</v>
      </c>
      <c r="Q560" s="6">
        <f t="shared" si="77"/>
        <v>5.67741935483871E-2</v>
      </c>
      <c r="R560">
        <f t="shared" si="78"/>
        <v>0</v>
      </c>
      <c r="S560">
        <f t="shared" si="79"/>
        <v>7</v>
      </c>
      <c r="T560">
        <f t="shared" si="80"/>
        <v>3500</v>
      </c>
    </row>
    <row r="561" spans="1:20">
      <c r="A561" t="s">
        <v>988</v>
      </c>
      <c r="B561" t="s">
        <v>67</v>
      </c>
      <c r="C561" t="s">
        <v>16</v>
      </c>
      <c r="D561">
        <v>296</v>
      </c>
      <c r="E561" s="4">
        <v>46079</v>
      </c>
      <c r="F561" s="4">
        <v>46091</v>
      </c>
      <c r="G561" s="4">
        <v>46100</v>
      </c>
      <c r="H561">
        <v>292</v>
      </c>
      <c r="I561" t="s">
        <v>989</v>
      </c>
      <c r="J561">
        <v>0</v>
      </c>
      <c r="K561" t="s">
        <v>1563</v>
      </c>
      <c r="L561" t="str">
        <f t="shared" si="72"/>
        <v>N</v>
      </c>
      <c r="M561" t="str">
        <f t="shared" si="73"/>
        <v>Y</v>
      </c>
      <c r="N561" t="str">
        <f t="shared" si="74"/>
        <v>N</v>
      </c>
      <c r="O561">
        <f t="shared" si="75"/>
        <v>21</v>
      </c>
      <c r="P561" s="6">
        <f t="shared" si="76"/>
        <v>0.98648648648648651</v>
      </c>
      <c r="Q561" s="6">
        <f t="shared" si="77"/>
        <v>0</v>
      </c>
      <c r="R561">
        <f t="shared" si="78"/>
        <v>0</v>
      </c>
      <c r="S561">
        <f t="shared" si="79"/>
        <v>9</v>
      </c>
      <c r="T561">
        <f t="shared" si="80"/>
        <v>4500</v>
      </c>
    </row>
    <row r="562" spans="1:20">
      <c r="A562" t="s">
        <v>990</v>
      </c>
      <c r="B562" t="s">
        <v>35</v>
      </c>
      <c r="C562" t="s">
        <v>12</v>
      </c>
      <c r="D562">
        <v>486</v>
      </c>
      <c r="E562" s="4">
        <v>46111</v>
      </c>
      <c r="F562" s="4">
        <v>46123</v>
      </c>
      <c r="G562" s="4">
        <v>46121</v>
      </c>
      <c r="H562">
        <v>390</v>
      </c>
      <c r="I562" t="s">
        <v>589</v>
      </c>
      <c r="J562">
        <v>21</v>
      </c>
      <c r="K562" t="s">
        <v>1563</v>
      </c>
      <c r="L562" t="str">
        <f t="shared" si="72"/>
        <v>Y</v>
      </c>
      <c r="M562" t="str">
        <f t="shared" si="73"/>
        <v>N</v>
      </c>
      <c r="N562" t="str">
        <f t="shared" si="74"/>
        <v>N</v>
      </c>
      <c r="O562">
        <f t="shared" si="75"/>
        <v>10</v>
      </c>
      <c r="P562" s="6">
        <f t="shared" si="76"/>
        <v>0.80246913580246915</v>
      </c>
      <c r="Q562" s="6">
        <f t="shared" si="77"/>
        <v>5.3846153846153849E-2</v>
      </c>
      <c r="R562">
        <f t="shared" si="78"/>
        <v>0</v>
      </c>
      <c r="S562">
        <f t="shared" si="79"/>
        <v>0</v>
      </c>
      <c r="T562">
        <f t="shared" si="80"/>
        <v>0</v>
      </c>
    </row>
    <row r="563" spans="1:20">
      <c r="A563" t="s">
        <v>991</v>
      </c>
      <c r="B563" t="s">
        <v>120</v>
      </c>
      <c r="C563" t="s">
        <v>12</v>
      </c>
      <c r="D563">
        <v>766</v>
      </c>
      <c r="E563" s="4">
        <v>46070</v>
      </c>
      <c r="F563" s="4">
        <v>46084</v>
      </c>
      <c r="G563" s="4">
        <v>46083</v>
      </c>
      <c r="H563">
        <v>711</v>
      </c>
      <c r="I563" t="s">
        <v>992</v>
      </c>
      <c r="J563">
        <v>13</v>
      </c>
      <c r="K563" t="s">
        <v>1563</v>
      </c>
      <c r="L563" t="str">
        <f t="shared" si="72"/>
        <v>Y</v>
      </c>
      <c r="M563" t="str">
        <f t="shared" si="73"/>
        <v>N</v>
      </c>
      <c r="N563" t="str">
        <f t="shared" si="74"/>
        <v>N</v>
      </c>
      <c r="O563">
        <f t="shared" si="75"/>
        <v>13</v>
      </c>
      <c r="P563" s="6">
        <f t="shared" si="76"/>
        <v>0.92819843342036557</v>
      </c>
      <c r="Q563" s="6">
        <f t="shared" si="77"/>
        <v>1.8284106891701828E-2</v>
      </c>
      <c r="R563">
        <f t="shared" si="78"/>
        <v>0</v>
      </c>
      <c r="S563">
        <f t="shared" si="79"/>
        <v>0</v>
      </c>
      <c r="T563">
        <f t="shared" si="80"/>
        <v>0</v>
      </c>
    </row>
    <row r="564" spans="1:20">
      <c r="A564" t="s">
        <v>993</v>
      </c>
      <c r="B564" t="s">
        <v>67</v>
      </c>
      <c r="C564" t="s">
        <v>12</v>
      </c>
      <c r="D564">
        <v>740</v>
      </c>
      <c r="E564" s="4">
        <v>46117</v>
      </c>
      <c r="F564" s="4">
        <v>46123</v>
      </c>
      <c r="G564" s="4">
        <v>46121</v>
      </c>
      <c r="H564">
        <v>746</v>
      </c>
      <c r="I564" t="s">
        <v>994</v>
      </c>
      <c r="J564">
        <v>17</v>
      </c>
      <c r="K564" t="s">
        <v>1563</v>
      </c>
      <c r="L564" t="str">
        <f t="shared" si="72"/>
        <v>Y</v>
      </c>
      <c r="M564" t="str">
        <f t="shared" si="73"/>
        <v>Y</v>
      </c>
      <c r="N564" t="str">
        <f t="shared" si="74"/>
        <v>Y</v>
      </c>
      <c r="O564">
        <f t="shared" si="75"/>
        <v>4</v>
      </c>
      <c r="P564" s="6">
        <f t="shared" si="76"/>
        <v>1.008108108108108</v>
      </c>
      <c r="Q564" s="6">
        <f t="shared" si="77"/>
        <v>2.2788203753351208E-2</v>
      </c>
      <c r="R564">
        <f t="shared" si="78"/>
        <v>1</v>
      </c>
      <c r="S564">
        <f t="shared" si="79"/>
        <v>0</v>
      </c>
      <c r="T564">
        <f t="shared" si="80"/>
        <v>0</v>
      </c>
    </row>
    <row r="565" spans="1:20">
      <c r="A565" t="s">
        <v>995</v>
      </c>
      <c r="B565" t="s">
        <v>70</v>
      </c>
      <c r="C565" t="s">
        <v>16</v>
      </c>
      <c r="D565">
        <v>250</v>
      </c>
      <c r="E565" s="4">
        <v>46058</v>
      </c>
      <c r="F565" s="4">
        <v>46072</v>
      </c>
      <c r="G565" s="4">
        <v>46081</v>
      </c>
      <c r="H565">
        <v>250</v>
      </c>
      <c r="I565" t="s">
        <v>923</v>
      </c>
      <c r="J565">
        <v>6</v>
      </c>
      <c r="K565" t="s">
        <v>1563</v>
      </c>
      <c r="L565" t="str">
        <f t="shared" si="72"/>
        <v>N</v>
      </c>
      <c r="M565" t="str">
        <f t="shared" si="73"/>
        <v>Y</v>
      </c>
      <c r="N565" t="str">
        <f t="shared" si="74"/>
        <v>N</v>
      </c>
      <c r="O565">
        <f t="shared" si="75"/>
        <v>23</v>
      </c>
      <c r="P565" s="6">
        <f t="shared" si="76"/>
        <v>1</v>
      </c>
      <c r="Q565" s="6">
        <f t="shared" si="77"/>
        <v>2.4E-2</v>
      </c>
      <c r="R565">
        <f t="shared" si="78"/>
        <v>0</v>
      </c>
      <c r="S565">
        <f t="shared" si="79"/>
        <v>9</v>
      </c>
      <c r="T565">
        <f t="shared" si="80"/>
        <v>4500</v>
      </c>
    </row>
    <row r="566" spans="1:20">
      <c r="A566" t="s">
        <v>996</v>
      </c>
      <c r="B566" t="s">
        <v>49</v>
      </c>
      <c r="C566" t="s">
        <v>12</v>
      </c>
      <c r="D566">
        <v>846</v>
      </c>
      <c r="E566" s="4">
        <v>46056</v>
      </c>
      <c r="F566" s="4">
        <v>46067</v>
      </c>
      <c r="G566" s="4">
        <v>46066</v>
      </c>
      <c r="H566">
        <v>830</v>
      </c>
      <c r="I566" t="s">
        <v>968</v>
      </c>
      <c r="J566">
        <v>8</v>
      </c>
      <c r="K566" t="s">
        <v>1563</v>
      </c>
      <c r="L566" t="str">
        <f t="shared" si="72"/>
        <v>Y</v>
      </c>
      <c r="M566" t="str">
        <f t="shared" si="73"/>
        <v>Y</v>
      </c>
      <c r="N566" t="str">
        <f t="shared" si="74"/>
        <v>Y</v>
      </c>
      <c r="O566">
        <f t="shared" si="75"/>
        <v>10</v>
      </c>
      <c r="P566" s="6">
        <f t="shared" si="76"/>
        <v>0.98108747044917255</v>
      </c>
      <c r="Q566" s="6">
        <f t="shared" si="77"/>
        <v>9.6385542168674707E-3</v>
      </c>
      <c r="R566">
        <f t="shared" si="78"/>
        <v>1</v>
      </c>
      <c r="S566">
        <f t="shared" si="79"/>
        <v>0</v>
      </c>
      <c r="T566">
        <f t="shared" si="80"/>
        <v>0</v>
      </c>
    </row>
    <row r="567" spans="1:20">
      <c r="A567" t="s">
        <v>997</v>
      </c>
      <c r="B567" t="s">
        <v>49</v>
      </c>
      <c r="C567" t="s">
        <v>12</v>
      </c>
      <c r="D567">
        <v>988</v>
      </c>
      <c r="E567" s="4">
        <v>46100</v>
      </c>
      <c r="F567" s="4">
        <v>46111</v>
      </c>
      <c r="G567" s="4">
        <v>46119</v>
      </c>
      <c r="H567">
        <v>976</v>
      </c>
      <c r="I567" t="s">
        <v>68</v>
      </c>
      <c r="J567">
        <v>14</v>
      </c>
      <c r="K567" t="s">
        <v>1563</v>
      </c>
      <c r="L567" t="str">
        <f t="shared" si="72"/>
        <v>N</v>
      </c>
      <c r="M567" t="str">
        <f t="shared" si="73"/>
        <v>Y</v>
      </c>
      <c r="N567" t="str">
        <f t="shared" si="74"/>
        <v>N</v>
      </c>
      <c r="O567">
        <f t="shared" si="75"/>
        <v>19</v>
      </c>
      <c r="P567" s="6">
        <f t="shared" si="76"/>
        <v>0.98785425101214575</v>
      </c>
      <c r="Q567" s="6">
        <f t="shared" si="77"/>
        <v>1.4344262295081968E-2</v>
      </c>
      <c r="R567">
        <f t="shared" si="78"/>
        <v>0</v>
      </c>
      <c r="S567">
        <f t="shared" si="79"/>
        <v>8</v>
      </c>
      <c r="T567">
        <f t="shared" si="80"/>
        <v>4000</v>
      </c>
    </row>
    <row r="568" spans="1:20">
      <c r="A568" t="s">
        <v>998</v>
      </c>
      <c r="B568" t="s">
        <v>26</v>
      </c>
      <c r="C568" t="s">
        <v>12</v>
      </c>
      <c r="D568">
        <v>969</v>
      </c>
      <c r="E568" s="4">
        <v>46125</v>
      </c>
      <c r="F568" s="4">
        <v>46133</v>
      </c>
      <c r="G568" s="4">
        <v>46132</v>
      </c>
      <c r="H568">
        <v>900</v>
      </c>
      <c r="I568" t="s">
        <v>461</v>
      </c>
      <c r="J568">
        <v>21</v>
      </c>
      <c r="K568" t="s">
        <v>1563</v>
      </c>
      <c r="L568" t="str">
        <f t="shared" si="72"/>
        <v>Y</v>
      </c>
      <c r="M568" t="str">
        <f t="shared" si="73"/>
        <v>N</v>
      </c>
      <c r="N568" t="str">
        <f t="shared" si="74"/>
        <v>N</v>
      </c>
      <c r="O568">
        <f t="shared" si="75"/>
        <v>7</v>
      </c>
      <c r="P568" s="6">
        <f t="shared" si="76"/>
        <v>0.92879256965944268</v>
      </c>
      <c r="Q568" s="6">
        <f t="shared" si="77"/>
        <v>2.3333333333333334E-2</v>
      </c>
      <c r="R568">
        <f t="shared" si="78"/>
        <v>0</v>
      </c>
      <c r="S568">
        <f t="shared" si="79"/>
        <v>0</v>
      </c>
      <c r="T568">
        <f t="shared" si="80"/>
        <v>0</v>
      </c>
    </row>
    <row r="569" spans="1:20">
      <c r="A569" t="s">
        <v>999</v>
      </c>
      <c r="B569" t="s">
        <v>49</v>
      </c>
      <c r="C569" t="s">
        <v>12</v>
      </c>
      <c r="D569">
        <v>118</v>
      </c>
      <c r="E569" s="4">
        <v>46055</v>
      </c>
      <c r="F569" s="4">
        <v>46068</v>
      </c>
      <c r="G569" s="4">
        <v>46067</v>
      </c>
      <c r="H569">
        <v>117</v>
      </c>
      <c r="I569" t="s">
        <v>187</v>
      </c>
      <c r="J569">
        <v>1</v>
      </c>
      <c r="K569" t="s">
        <v>1563</v>
      </c>
      <c r="L569" t="str">
        <f t="shared" si="72"/>
        <v>Y</v>
      </c>
      <c r="M569" t="str">
        <f t="shared" si="73"/>
        <v>Y</v>
      </c>
      <c r="N569" t="str">
        <f t="shared" si="74"/>
        <v>Y</v>
      </c>
      <c r="O569">
        <f t="shared" si="75"/>
        <v>12</v>
      </c>
      <c r="P569" s="6">
        <f t="shared" si="76"/>
        <v>0.99152542372881358</v>
      </c>
      <c r="Q569" s="6">
        <f t="shared" si="77"/>
        <v>8.5470085470085479E-3</v>
      </c>
      <c r="R569">
        <f t="shared" si="78"/>
        <v>1</v>
      </c>
      <c r="S569">
        <f t="shared" si="79"/>
        <v>0</v>
      </c>
      <c r="T569">
        <f t="shared" si="80"/>
        <v>0</v>
      </c>
    </row>
    <row r="570" spans="1:20">
      <c r="A570" t="s">
        <v>1000</v>
      </c>
      <c r="B570" t="s">
        <v>11</v>
      </c>
      <c r="C570" t="s">
        <v>12</v>
      </c>
      <c r="D570">
        <v>967</v>
      </c>
      <c r="E570" s="4">
        <v>46061</v>
      </c>
      <c r="F570" s="4">
        <v>46068</v>
      </c>
      <c r="G570" s="4">
        <v>46067</v>
      </c>
      <c r="H570">
        <v>954</v>
      </c>
      <c r="I570" t="s">
        <v>891</v>
      </c>
      <c r="J570">
        <v>22</v>
      </c>
      <c r="K570" t="s">
        <v>1563</v>
      </c>
      <c r="L570" t="str">
        <f t="shared" si="72"/>
        <v>Y</v>
      </c>
      <c r="M570" t="str">
        <f t="shared" si="73"/>
        <v>Y</v>
      </c>
      <c r="N570" t="str">
        <f t="shared" si="74"/>
        <v>Y</v>
      </c>
      <c r="O570">
        <f t="shared" si="75"/>
        <v>6</v>
      </c>
      <c r="P570" s="6">
        <f t="shared" si="76"/>
        <v>0.98655635987590484</v>
      </c>
      <c r="Q570" s="6">
        <f t="shared" si="77"/>
        <v>2.3060796645702306E-2</v>
      </c>
      <c r="R570">
        <f t="shared" si="78"/>
        <v>1</v>
      </c>
      <c r="S570">
        <f t="shared" si="79"/>
        <v>0</v>
      </c>
      <c r="T570">
        <f t="shared" si="80"/>
        <v>0</v>
      </c>
    </row>
    <row r="571" spans="1:20">
      <c r="A571" t="s">
        <v>1001</v>
      </c>
      <c r="B571" t="s">
        <v>100</v>
      </c>
      <c r="C571" t="s">
        <v>12</v>
      </c>
      <c r="D571">
        <v>296</v>
      </c>
      <c r="E571" s="4">
        <v>46094</v>
      </c>
      <c r="F571" s="4">
        <v>46106</v>
      </c>
      <c r="G571" s="4">
        <v>46103</v>
      </c>
      <c r="H571">
        <v>285</v>
      </c>
      <c r="I571" t="s">
        <v>503</v>
      </c>
      <c r="J571">
        <v>8</v>
      </c>
      <c r="K571" t="s">
        <v>1563</v>
      </c>
      <c r="L571" t="str">
        <f t="shared" si="72"/>
        <v>Y</v>
      </c>
      <c r="M571" t="str">
        <f t="shared" si="73"/>
        <v>N</v>
      </c>
      <c r="N571" t="str">
        <f t="shared" si="74"/>
        <v>N</v>
      </c>
      <c r="O571">
        <f t="shared" si="75"/>
        <v>9</v>
      </c>
      <c r="P571" s="6">
        <f t="shared" si="76"/>
        <v>0.96283783783783783</v>
      </c>
      <c r="Q571" s="6">
        <f t="shared" si="77"/>
        <v>2.8070175438596492E-2</v>
      </c>
      <c r="R571">
        <f t="shared" si="78"/>
        <v>0</v>
      </c>
      <c r="S571">
        <f t="shared" si="79"/>
        <v>0</v>
      </c>
      <c r="T571">
        <f t="shared" si="80"/>
        <v>0</v>
      </c>
    </row>
    <row r="572" spans="1:20">
      <c r="A572" t="s">
        <v>1002</v>
      </c>
      <c r="B572" t="s">
        <v>26</v>
      </c>
      <c r="C572" t="s">
        <v>12</v>
      </c>
      <c r="D572">
        <v>469</v>
      </c>
      <c r="E572" s="4">
        <v>46047</v>
      </c>
      <c r="F572" s="4">
        <v>46056</v>
      </c>
      <c r="G572" s="4">
        <v>46054</v>
      </c>
      <c r="H572">
        <v>470</v>
      </c>
      <c r="I572" t="s">
        <v>1003</v>
      </c>
      <c r="J572">
        <v>3</v>
      </c>
      <c r="K572" t="s">
        <v>1563</v>
      </c>
      <c r="L572" t="str">
        <f t="shared" si="72"/>
        <v>Y</v>
      </c>
      <c r="M572" t="str">
        <f t="shared" si="73"/>
        <v>Y</v>
      </c>
      <c r="N572" t="str">
        <f t="shared" si="74"/>
        <v>Y</v>
      </c>
      <c r="O572">
        <f t="shared" si="75"/>
        <v>7</v>
      </c>
      <c r="P572" s="6">
        <f t="shared" si="76"/>
        <v>1.0021321961620469</v>
      </c>
      <c r="Q572" s="6">
        <f t="shared" si="77"/>
        <v>6.382978723404255E-3</v>
      </c>
      <c r="R572">
        <f t="shared" si="78"/>
        <v>1</v>
      </c>
      <c r="S572">
        <f t="shared" si="79"/>
        <v>0</v>
      </c>
      <c r="T572">
        <f t="shared" si="80"/>
        <v>0</v>
      </c>
    </row>
    <row r="573" spans="1:20">
      <c r="A573" t="s">
        <v>1004</v>
      </c>
      <c r="B573" t="s">
        <v>49</v>
      </c>
      <c r="C573" t="s">
        <v>23</v>
      </c>
      <c r="D573">
        <v>270</v>
      </c>
      <c r="E573" s="4">
        <v>46054</v>
      </c>
      <c r="F573" s="4">
        <v>46063</v>
      </c>
      <c r="G573" s="4"/>
      <c r="I573" t="s">
        <v>1005</v>
      </c>
      <c r="K573" t="s">
        <v>1565</v>
      </c>
      <c r="L573" t="str">
        <f t="shared" si="72"/>
        <v>N/A</v>
      </c>
      <c r="M573" t="str">
        <f t="shared" si="73"/>
        <v>N/A</v>
      </c>
      <c r="N573" t="str">
        <f t="shared" si="74"/>
        <v>N/A</v>
      </c>
      <c r="O573" t="str">
        <f t="shared" si="75"/>
        <v>N/A</v>
      </c>
      <c r="P573" s="6" t="str">
        <f t="shared" si="76"/>
        <v>N/A</v>
      </c>
      <c r="Q573" s="6" t="str">
        <f t="shared" si="77"/>
        <v>N/A</v>
      </c>
      <c r="R573" t="str">
        <f t="shared" si="78"/>
        <v/>
      </c>
      <c r="S573" t="str">
        <f t="shared" si="79"/>
        <v>N/A</v>
      </c>
      <c r="T573">
        <f t="shared" si="80"/>
        <v>0</v>
      </c>
    </row>
    <row r="574" spans="1:20">
      <c r="A574" t="s">
        <v>1006</v>
      </c>
      <c r="B574" t="s">
        <v>49</v>
      </c>
      <c r="C574" t="s">
        <v>12</v>
      </c>
      <c r="D574">
        <v>883</v>
      </c>
      <c r="E574" s="4">
        <v>46138</v>
      </c>
      <c r="F574" s="4">
        <v>46150</v>
      </c>
      <c r="G574" s="4">
        <v>46156</v>
      </c>
      <c r="H574">
        <v>894</v>
      </c>
      <c r="I574" t="s">
        <v>310</v>
      </c>
      <c r="J574">
        <v>2</v>
      </c>
      <c r="K574" t="s">
        <v>1563</v>
      </c>
      <c r="L574" t="str">
        <f t="shared" si="72"/>
        <v>N</v>
      </c>
      <c r="M574" t="str">
        <f t="shared" si="73"/>
        <v>Y</v>
      </c>
      <c r="N574" t="str">
        <f t="shared" si="74"/>
        <v>N</v>
      </c>
      <c r="O574">
        <f t="shared" si="75"/>
        <v>18</v>
      </c>
      <c r="P574" s="6">
        <f t="shared" si="76"/>
        <v>1.0124575311438277</v>
      </c>
      <c r="Q574" s="6">
        <f t="shared" si="77"/>
        <v>2.2371364653243847E-3</v>
      </c>
      <c r="R574">
        <f t="shared" si="78"/>
        <v>0</v>
      </c>
      <c r="S574">
        <f t="shared" si="79"/>
        <v>6</v>
      </c>
      <c r="T574">
        <f t="shared" si="80"/>
        <v>3000</v>
      </c>
    </row>
    <row r="575" spans="1:20">
      <c r="A575" t="s">
        <v>1007</v>
      </c>
      <c r="B575" t="s">
        <v>100</v>
      </c>
      <c r="C575" t="s">
        <v>23</v>
      </c>
      <c r="D575">
        <v>690</v>
      </c>
      <c r="E575" s="4">
        <v>46063</v>
      </c>
      <c r="F575" s="4">
        <v>46077</v>
      </c>
      <c r="G575" s="4">
        <v>46080</v>
      </c>
      <c r="H575">
        <v>695</v>
      </c>
      <c r="I575" t="s">
        <v>833</v>
      </c>
      <c r="J575">
        <v>17</v>
      </c>
      <c r="K575" t="s">
        <v>1563</v>
      </c>
      <c r="L575" t="str">
        <f t="shared" si="72"/>
        <v>N</v>
      </c>
      <c r="M575" t="str">
        <f t="shared" si="73"/>
        <v>Y</v>
      </c>
      <c r="N575" t="str">
        <f t="shared" si="74"/>
        <v>N</v>
      </c>
      <c r="O575">
        <f t="shared" si="75"/>
        <v>17</v>
      </c>
      <c r="P575" s="6">
        <f t="shared" si="76"/>
        <v>1.0072463768115942</v>
      </c>
      <c r="Q575" s="6">
        <f t="shared" si="77"/>
        <v>2.4460431654676259E-2</v>
      </c>
      <c r="R575">
        <f t="shared" si="78"/>
        <v>0</v>
      </c>
      <c r="S575">
        <f t="shared" si="79"/>
        <v>3</v>
      </c>
      <c r="T575">
        <f t="shared" si="80"/>
        <v>1500</v>
      </c>
    </row>
    <row r="576" spans="1:20">
      <c r="A576" t="s">
        <v>1008</v>
      </c>
      <c r="B576" t="s">
        <v>29</v>
      </c>
      <c r="C576" t="s">
        <v>12</v>
      </c>
      <c r="D576">
        <v>991</v>
      </c>
      <c r="E576" s="4">
        <v>46118</v>
      </c>
      <c r="F576" s="4">
        <v>46128</v>
      </c>
      <c r="G576" s="4">
        <v>46127</v>
      </c>
      <c r="H576">
        <v>993</v>
      </c>
      <c r="I576" t="s">
        <v>1009</v>
      </c>
      <c r="J576">
        <v>3</v>
      </c>
      <c r="K576" t="s">
        <v>1563</v>
      </c>
      <c r="L576" t="str">
        <f t="shared" si="72"/>
        <v>Y</v>
      </c>
      <c r="M576" t="str">
        <f t="shared" si="73"/>
        <v>Y</v>
      </c>
      <c r="N576" t="str">
        <f t="shared" si="74"/>
        <v>Y</v>
      </c>
      <c r="O576">
        <f t="shared" si="75"/>
        <v>9</v>
      </c>
      <c r="P576" s="6">
        <f t="shared" si="76"/>
        <v>1.0020181634712411</v>
      </c>
      <c r="Q576" s="6">
        <f t="shared" si="77"/>
        <v>3.0211480362537764E-3</v>
      </c>
      <c r="R576">
        <f t="shared" si="78"/>
        <v>1</v>
      </c>
      <c r="S576">
        <f t="shared" si="79"/>
        <v>0</v>
      </c>
      <c r="T576">
        <f t="shared" si="80"/>
        <v>0</v>
      </c>
    </row>
    <row r="577" spans="1:20">
      <c r="A577" t="s">
        <v>1010</v>
      </c>
      <c r="B577" t="s">
        <v>43</v>
      </c>
      <c r="C577" t="s">
        <v>12</v>
      </c>
      <c r="D577">
        <v>197</v>
      </c>
      <c r="E577" s="4">
        <v>46099</v>
      </c>
      <c r="F577" s="4">
        <v>46112</v>
      </c>
      <c r="G577" s="4">
        <v>46120</v>
      </c>
      <c r="H577">
        <v>199</v>
      </c>
      <c r="I577" t="s">
        <v>189</v>
      </c>
      <c r="J577">
        <v>10</v>
      </c>
      <c r="K577" t="s">
        <v>1563</v>
      </c>
      <c r="L577" t="str">
        <f t="shared" si="72"/>
        <v>N</v>
      </c>
      <c r="M577" t="str">
        <f t="shared" si="73"/>
        <v>Y</v>
      </c>
      <c r="N577" t="str">
        <f t="shared" si="74"/>
        <v>N</v>
      </c>
      <c r="O577">
        <f t="shared" si="75"/>
        <v>21</v>
      </c>
      <c r="P577" s="6">
        <f t="shared" si="76"/>
        <v>1.0101522842639594</v>
      </c>
      <c r="Q577" s="6">
        <f t="shared" si="77"/>
        <v>5.0251256281407038E-2</v>
      </c>
      <c r="R577">
        <f t="shared" si="78"/>
        <v>0</v>
      </c>
      <c r="S577">
        <f t="shared" si="79"/>
        <v>8</v>
      </c>
      <c r="T577">
        <f t="shared" si="80"/>
        <v>4000</v>
      </c>
    </row>
    <row r="578" spans="1:20">
      <c r="A578" t="s">
        <v>1011</v>
      </c>
      <c r="B578" t="s">
        <v>35</v>
      </c>
      <c r="C578" t="s">
        <v>23</v>
      </c>
      <c r="D578">
        <v>557</v>
      </c>
      <c r="E578" s="4">
        <v>46143</v>
      </c>
      <c r="F578" s="4">
        <v>46152</v>
      </c>
      <c r="G578" s="4">
        <v>46152</v>
      </c>
      <c r="H578">
        <v>549</v>
      </c>
      <c r="I578" t="s">
        <v>1012</v>
      </c>
      <c r="J578">
        <v>25</v>
      </c>
      <c r="K578" t="s">
        <v>1563</v>
      </c>
      <c r="L578" t="str">
        <f t="shared" ref="L578:L641" si="81">IF(G578="","N/A",IF(G578&lt;=F578,"Y","N"))</f>
        <v>Y</v>
      </c>
      <c r="M578" t="str">
        <f t="shared" ref="M578:M641" si="82">IF(H578="","N/A",IF(H578&gt;=D578*0.98,"Y","N"))</f>
        <v>Y</v>
      </c>
      <c r="N578" t="str">
        <f t="shared" ref="N578:N641" si="83">IF(OR(L578="N/A",M578="N/A"),"N/A",IF(AND(L578="Y",M578="Y"),"Y","N"))</f>
        <v>Y</v>
      </c>
      <c r="O578">
        <f t="shared" ref="O578:O641" si="84">IF(G578="","N/A",G578-E578)</f>
        <v>9</v>
      </c>
      <c r="P578" s="6">
        <f t="shared" ref="P578:P641" si="85">IF(H578="","N/A",H578/D578)</f>
        <v>0.98563734290843807</v>
      </c>
      <c r="Q578" s="6">
        <f t="shared" ref="Q578:Q641" si="86">IF(H578="","N/A",IF(H578=0,0,J578/H578))</f>
        <v>4.553734061930783E-2</v>
      </c>
      <c r="R578">
        <f t="shared" ref="R578:R641" si="87">IF(N578="Y",1,IF(N578="N",0,""))</f>
        <v>1</v>
      </c>
      <c r="S578">
        <f t="shared" ref="S578:S641" si="88">IF(G578="","N/A",MAX(G578-F578,0))</f>
        <v>0</v>
      </c>
      <c r="T578">
        <f t="shared" ref="T578:T641" si="89">IF(S578="N/A",0,S578*500)</f>
        <v>0</v>
      </c>
    </row>
    <row r="579" spans="1:20">
      <c r="A579" t="s">
        <v>1013</v>
      </c>
      <c r="B579" t="s">
        <v>19</v>
      </c>
      <c r="C579" t="s">
        <v>12</v>
      </c>
      <c r="D579">
        <v>808</v>
      </c>
      <c r="E579" s="4">
        <v>46121</v>
      </c>
      <c r="F579" s="4">
        <v>46126</v>
      </c>
      <c r="G579" s="4">
        <v>46126</v>
      </c>
      <c r="H579">
        <v>810</v>
      </c>
      <c r="I579" t="s">
        <v>1014</v>
      </c>
      <c r="J579">
        <v>24</v>
      </c>
      <c r="K579" t="s">
        <v>1563</v>
      </c>
      <c r="L579" t="str">
        <f t="shared" si="81"/>
        <v>Y</v>
      </c>
      <c r="M579" t="str">
        <f t="shared" si="82"/>
        <v>Y</v>
      </c>
      <c r="N579" t="str">
        <f t="shared" si="83"/>
        <v>Y</v>
      </c>
      <c r="O579">
        <f t="shared" si="84"/>
        <v>5</v>
      </c>
      <c r="P579" s="6">
        <f t="shared" si="85"/>
        <v>1.0024752475247525</v>
      </c>
      <c r="Q579" s="6">
        <f t="shared" si="86"/>
        <v>2.9629629629629631E-2</v>
      </c>
      <c r="R579">
        <f t="shared" si="87"/>
        <v>1</v>
      </c>
      <c r="S579">
        <f t="shared" si="88"/>
        <v>0</v>
      </c>
      <c r="T579">
        <f t="shared" si="89"/>
        <v>0</v>
      </c>
    </row>
    <row r="580" spans="1:20">
      <c r="A580" t="s">
        <v>1015</v>
      </c>
      <c r="B580" t="s">
        <v>29</v>
      </c>
      <c r="C580" t="s">
        <v>12</v>
      </c>
      <c r="D580">
        <v>621</v>
      </c>
      <c r="E580" s="4">
        <v>46085</v>
      </c>
      <c r="F580" s="4">
        <v>46094</v>
      </c>
      <c r="G580" s="4">
        <v>46099</v>
      </c>
      <c r="H580">
        <v>616</v>
      </c>
      <c r="I580" t="s">
        <v>983</v>
      </c>
      <c r="J580">
        <v>8</v>
      </c>
      <c r="K580" t="s">
        <v>1563</v>
      </c>
      <c r="L580" t="str">
        <f t="shared" si="81"/>
        <v>N</v>
      </c>
      <c r="M580" t="str">
        <f t="shared" si="82"/>
        <v>Y</v>
      </c>
      <c r="N580" t="str">
        <f t="shared" si="83"/>
        <v>N</v>
      </c>
      <c r="O580">
        <f t="shared" si="84"/>
        <v>14</v>
      </c>
      <c r="P580" s="6">
        <f t="shared" si="85"/>
        <v>0.99194847020933974</v>
      </c>
      <c r="Q580" s="6">
        <f t="shared" si="86"/>
        <v>1.2987012987012988E-2</v>
      </c>
      <c r="R580">
        <f t="shared" si="87"/>
        <v>0</v>
      </c>
      <c r="S580">
        <f t="shared" si="88"/>
        <v>5</v>
      </c>
      <c r="T580">
        <f t="shared" si="89"/>
        <v>2500</v>
      </c>
    </row>
    <row r="581" spans="1:20">
      <c r="A581" t="s">
        <v>1016</v>
      </c>
      <c r="B581" t="s">
        <v>52</v>
      </c>
      <c r="C581" t="s">
        <v>12</v>
      </c>
      <c r="D581">
        <v>447</v>
      </c>
      <c r="E581" s="4">
        <v>46136</v>
      </c>
      <c r="F581" s="4">
        <v>46142</v>
      </c>
      <c r="G581" s="4">
        <v>46142</v>
      </c>
      <c r="H581">
        <v>445</v>
      </c>
      <c r="I581" t="s">
        <v>664</v>
      </c>
      <c r="J581">
        <v>9</v>
      </c>
      <c r="K581" t="s">
        <v>1563</v>
      </c>
      <c r="L581" t="str">
        <f t="shared" si="81"/>
        <v>Y</v>
      </c>
      <c r="M581" t="str">
        <f t="shared" si="82"/>
        <v>Y</v>
      </c>
      <c r="N581" t="str">
        <f t="shared" si="83"/>
        <v>Y</v>
      </c>
      <c r="O581">
        <f t="shared" si="84"/>
        <v>6</v>
      </c>
      <c r="P581" s="6">
        <f t="shared" si="85"/>
        <v>0.99552572706935127</v>
      </c>
      <c r="Q581" s="6">
        <f t="shared" si="86"/>
        <v>2.0224719101123594E-2</v>
      </c>
      <c r="R581">
        <f t="shared" si="87"/>
        <v>1</v>
      </c>
      <c r="S581">
        <f t="shared" si="88"/>
        <v>0</v>
      </c>
      <c r="T581">
        <f t="shared" si="89"/>
        <v>0</v>
      </c>
    </row>
    <row r="582" spans="1:20">
      <c r="A582" t="s">
        <v>1017</v>
      </c>
      <c r="B582" t="s">
        <v>26</v>
      </c>
      <c r="C582" t="s">
        <v>12</v>
      </c>
      <c r="D582">
        <v>396</v>
      </c>
      <c r="E582" s="4">
        <v>46075</v>
      </c>
      <c r="F582" s="4">
        <v>46087</v>
      </c>
      <c r="G582" s="4">
        <v>46085</v>
      </c>
      <c r="H582">
        <v>398</v>
      </c>
      <c r="I582" t="s">
        <v>434</v>
      </c>
      <c r="J582">
        <v>8</v>
      </c>
      <c r="K582" t="s">
        <v>1563</v>
      </c>
      <c r="L582" t="str">
        <f t="shared" si="81"/>
        <v>Y</v>
      </c>
      <c r="M582" t="str">
        <f t="shared" si="82"/>
        <v>Y</v>
      </c>
      <c r="N582" t="str">
        <f t="shared" si="83"/>
        <v>Y</v>
      </c>
      <c r="O582">
        <f t="shared" si="84"/>
        <v>10</v>
      </c>
      <c r="P582" s="6">
        <f t="shared" si="85"/>
        <v>1.005050505050505</v>
      </c>
      <c r="Q582" s="6">
        <f t="shared" si="86"/>
        <v>2.0100502512562814E-2</v>
      </c>
      <c r="R582">
        <f t="shared" si="87"/>
        <v>1</v>
      </c>
      <c r="S582">
        <f t="shared" si="88"/>
        <v>0</v>
      </c>
      <c r="T582">
        <f t="shared" si="89"/>
        <v>0</v>
      </c>
    </row>
    <row r="583" spans="1:20">
      <c r="A583" t="s">
        <v>1018</v>
      </c>
      <c r="B583" t="s">
        <v>81</v>
      </c>
      <c r="C583" t="s">
        <v>16</v>
      </c>
      <c r="D583">
        <v>678</v>
      </c>
      <c r="E583" s="4">
        <v>46173</v>
      </c>
      <c r="F583" s="4">
        <v>46182</v>
      </c>
      <c r="G583" s="4">
        <v>46183</v>
      </c>
      <c r="H583">
        <v>610</v>
      </c>
      <c r="I583" t="s">
        <v>1019</v>
      </c>
      <c r="J583">
        <v>3</v>
      </c>
      <c r="K583" t="s">
        <v>1563</v>
      </c>
      <c r="L583" t="str">
        <f t="shared" si="81"/>
        <v>N</v>
      </c>
      <c r="M583" t="str">
        <f t="shared" si="82"/>
        <v>N</v>
      </c>
      <c r="N583" t="str">
        <f t="shared" si="83"/>
        <v>N</v>
      </c>
      <c r="O583">
        <f t="shared" si="84"/>
        <v>10</v>
      </c>
      <c r="P583" s="6">
        <f t="shared" si="85"/>
        <v>0.89970501474926257</v>
      </c>
      <c r="Q583" s="6">
        <f t="shared" si="86"/>
        <v>4.9180327868852463E-3</v>
      </c>
      <c r="R583">
        <f t="shared" si="87"/>
        <v>0</v>
      </c>
      <c r="S583">
        <f t="shared" si="88"/>
        <v>1</v>
      </c>
      <c r="T583">
        <f t="shared" si="89"/>
        <v>500</v>
      </c>
    </row>
    <row r="584" spans="1:20">
      <c r="A584" t="s">
        <v>1020</v>
      </c>
      <c r="B584" t="s">
        <v>52</v>
      </c>
      <c r="C584" t="s">
        <v>16</v>
      </c>
      <c r="D584">
        <v>379</v>
      </c>
      <c r="E584" s="4">
        <v>46135</v>
      </c>
      <c r="F584" s="4">
        <v>46150</v>
      </c>
      <c r="G584" s="4">
        <v>46147</v>
      </c>
      <c r="H584">
        <v>304</v>
      </c>
      <c r="I584" t="s">
        <v>831</v>
      </c>
      <c r="J584">
        <v>7</v>
      </c>
      <c r="K584" t="s">
        <v>1563</v>
      </c>
      <c r="L584" t="str">
        <f t="shared" si="81"/>
        <v>Y</v>
      </c>
      <c r="M584" t="str">
        <f t="shared" si="82"/>
        <v>N</v>
      </c>
      <c r="N584" t="str">
        <f t="shared" si="83"/>
        <v>N</v>
      </c>
      <c r="O584">
        <f t="shared" si="84"/>
        <v>12</v>
      </c>
      <c r="P584" s="6">
        <f t="shared" si="85"/>
        <v>0.80211081794195249</v>
      </c>
      <c r="Q584" s="6">
        <f t="shared" si="86"/>
        <v>2.3026315789473683E-2</v>
      </c>
      <c r="R584">
        <f t="shared" si="87"/>
        <v>0</v>
      </c>
      <c r="S584">
        <f t="shared" si="88"/>
        <v>0</v>
      </c>
      <c r="T584">
        <f t="shared" si="89"/>
        <v>0</v>
      </c>
    </row>
    <row r="585" spans="1:20">
      <c r="A585" t="s">
        <v>1021</v>
      </c>
      <c r="B585" t="s">
        <v>54</v>
      </c>
      <c r="C585" t="s">
        <v>12</v>
      </c>
      <c r="D585">
        <v>630</v>
      </c>
      <c r="E585" s="4">
        <v>46166</v>
      </c>
      <c r="F585" s="4">
        <v>46177</v>
      </c>
      <c r="G585" s="4">
        <v>46176</v>
      </c>
      <c r="H585">
        <v>625</v>
      </c>
      <c r="I585" t="s">
        <v>854</v>
      </c>
      <c r="J585">
        <v>9</v>
      </c>
      <c r="K585" t="s">
        <v>1563</v>
      </c>
      <c r="L585" t="str">
        <f t="shared" si="81"/>
        <v>Y</v>
      </c>
      <c r="M585" t="str">
        <f t="shared" si="82"/>
        <v>Y</v>
      </c>
      <c r="N585" t="str">
        <f t="shared" si="83"/>
        <v>Y</v>
      </c>
      <c r="O585">
        <f t="shared" si="84"/>
        <v>10</v>
      </c>
      <c r="P585" s="6">
        <f t="shared" si="85"/>
        <v>0.99206349206349209</v>
      </c>
      <c r="Q585" s="6">
        <f t="shared" si="86"/>
        <v>1.44E-2</v>
      </c>
      <c r="R585">
        <f t="shared" si="87"/>
        <v>1</v>
      </c>
      <c r="S585">
        <f t="shared" si="88"/>
        <v>0</v>
      </c>
      <c r="T585">
        <f t="shared" si="89"/>
        <v>0</v>
      </c>
    </row>
    <row r="586" spans="1:20">
      <c r="A586" t="s">
        <v>1022</v>
      </c>
      <c r="B586" t="s">
        <v>46</v>
      </c>
      <c r="C586" t="s">
        <v>12</v>
      </c>
      <c r="D586">
        <v>612</v>
      </c>
      <c r="E586" s="4">
        <v>46081</v>
      </c>
      <c r="F586" s="4">
        <v>46086</v>
      </c>
      <c r="G586" s="4">
        <v>46090</v>
      </c>
      <c r="H586">
        <v>607</v>
      </c>
      <c r="I586" t="s">
        <v>994</v>
      </c>
      <c r="J586">
        <v>11</v>
      </c>
      <c r="K586" t="s">
        <v>1563</v>
      </c>
      <c r="L586" t="str">
        <f t="shared" si="81"/>
        <v>N</v>
      </c>
      <c r="M586" t="str">
        <f t="shared" si="82"/>
        <v>Y</v>
      </c>
      <c r="N586" t="str">
        <f t="shared" si="83"/>
        <v>N</v>
      </c>
      <c r="O586">
        <f t="shared" si="84"/>
        <v>9</v>
      </c>
      <c r="P586" s="6">
        <f t="shared" si="85"/>
        <v>0.99183006535947715</v>
      </c>
      <c r="Q586" s="6">
        <f t="shared" si="86"/>
        <v>1.8121911037891267E-2</v>
      </c>
      <c r="R586">
        <f t="shared" si="87"/>
        <v>0</v>
      </c>
      <c r="S586">
        <f t="shared" si="88"/>
        <v>4</v>
      </c>
      <c r="T586">
        <f t="shared" si="89"/>
        <v>2000</v>
      </c>
    </row>
    <row r="587" spans="1:20">
      <c r="A587" t="s">
        <v>1023</v>
      </c>
      <c r="B587" t="s">
        <v>46</v>
      </c>
      <c r="C587" t="s">
        <v>12</v>
      </c>
      <c r="D587">
        <v>581</v>
      </c>
      <c r="E587" s="4">
        <v>46108</v>
      </c>
      <c r="F587" s="4">
        <v>46114</v>
      </c>
      <c r="G587" s="4">
        <v>46113</v>
      </c>
      <c r="H587">
        <v>499</v>
      </c>
      <c r="I587" t="s">
        <v>1024</v>
      </c>
      <c r="J587">
        <v>42</v>
      </c>
      <c r="K587" t="s">
        <v>1563</v>
      </c>
      <c r="L587" t="str">
        <f t="shared" si="81"/>
        <v>Y</v>
      </c>
      <c r="M587" t="str">
        <f t="shared" si="82"/>
        <v>N</v>
      </c>
      <c r="N587" t="str">
        <f t="shared" si="83"/>
        <v>N</v>
      </c>
      <c r="O587">
        <f t="shared" si="84"/>
        <v>5</v>
      </c>
      <c r="P587" s="6">
        <f t="shared" si="85"/>
        <v>0.85886402753872637</v>
      </c>
      <c r="Q587" s="6">
        <f t="shared" si="86"/>
        <v>8.4168336673346694E-2</v>
      </c>
      <c r="R587">
        <f t="shared" si="87"/>
        <v>0</v>
      </c>
      <c r="S587">
        <f t="shared" si="88"/>
        <v>0</v>
      </c>
      <c r="T587">
        <f t="shared" si="89"/>
        <v>0</v>
      </c>
    </row>
    <row r="588" spans="1:20">
      <c r="A588" t="s">
        <v>1025</v>
      </c>
      <c r="B588" t="s">
        <v>67</v>
      </c>
      <c r="C588" t="s">
        <v>12</v>
      </c>
      <c r="D588">
        <v>457</v>
      </c>
      <c r="E588" s="4">
        <v>46037</v>
      </c>
      <c r="F588" s="4">
        <v>46044</v>
      </c>
      <c r="G588" s="4">
        <v>46041</v>
      </c>
      <c r="H588">
        <v>459</v>
      </c>
      <c r="I588" t="s">
        <v>731</v>
      </c>
      <c r="J588">
        <v>5</v>
      </c>
      <c r="K588" t="s">
        <v>1563</v>
      </c>
      <c r="L588" t="str">
        <f t="shared" si="81"/>
        <v>Y</v>
      </c>
      <c r="M588" t="str">
        <f t="shared" si="82"/>
        <v>Y</v>
      </c>
      <c r="N588" t="str">
        <f t="shared" si="83"/>
        <v>Y</v>
      </c>
      <c r="O588">
        <f t="shared" si="84"/>
        <v>4</v>
      </c>
      <c r="P588" s="6">
        <f t="shared" si="85"/>
        <v>1.0043763676148796</v>
      </c>
      <c r="Q588" s="6">
        <f t="shared" si="86"/>
        <v>1.0893246187363835E-2</v>
      </c>
      <c r="R588">
        <f t="shared" si="87"/>
        <v>1</v>
      </c>
      <c r="S588">
        <f t="shared" si="88"/>
        <v>0</v>
      </c>
      <c r="T588">
        <f t="shared" si="89"/>
        <v>0</v>
      </c>
    </row>
    <row r="589" spans="1:20">
      <c r="A589" t="s">
        <v>1026</v>
      </c>
      <c r="B589" t="s">
        <v>29</v>
      </c>
      <c r="C589" t="s">
        <v>12</v>
      </c>
      <c r="D589">
        <v>938</v>
      </c>
      <c r="E589" s="4">
        <v>46050</v>
      </c>
      <c r="F589" s="4">
        <v>46060</v>
      </c>
      <c r="G589" s="4">
        <v>46060</v>
      </c>
      <c r="H589">
        <v>771</v>
      </c>
      <c r="I589" t="s">
        <v>1027</v>
      </c>
      <c r="J589">
        <v>10</v>
      </c>
      <c r="K589" t="s">
        <v>1563</v>
      </c>
      <c r="L589" t="str">
        <f t="shared" si="81"/>
        <v>Y</v>
      </c>
      <c r="M589" t="str">
        <f t="shared" si="82"/>
        <v>N</v>
      </c>
      <c r="N589" t="str">
        <f t="shared" si="83"/>
        <v>N</v>
      </c>
      <c r="O589">
        <f t="shared" si="84"/>
        <v>10</v>
      </c>
      <c r="P589" s="6">
        <f t="shared" si="85"/>
        <v>0.82196162046908317</v>
      </c>
      <c r="Q589" s="6">
        <f t="shared" si="86"/>
        <v>1.2970168612191959E-2</v>
      </c>
      <c r="R589">
        <f t="shared" si="87"/>
        <v>0</v>
      </c>
      <c r="S589">
        <f t="shared" si="88"/>
        <v>0</v>
      </c>
      <c r="T589">
        <f t="shared" si="89"/>
        <v>0</v>
      </c>
    </row>
    <row r="590" spans="1:20">
      <c r="A590" t="s">
        <v>1028</v>
      </c>
      <c r="B590" t="s">
        <v>70</v>
      </c>
      <c r="C590" t="s">
        <v>16</v>
      </c>
      <c r="D590">
        <v>547</v>
      </c>
      <c r="E590" s="4">
        <v>46030</v>
      </c>
      <c r="F590" s="4">
        <v>46041</v>
      </c>
      <c r="G590" s="4">
        <v>46043</v>
      </c>
      <c r="H590">
        <v>551</v>
      </c>
      <c r="I590" t="s">
        <v>279</v>
      </c>
      <c r="J590">
        <v>4</v>
      </c>
      <c r="K590" t="s">
        <v>1563</v>
      </c>
      <c r="L590" t="str">
        <f t="shared" si="81"/>
        <v>N</v>
      </c>
      <c r="M590" t="str">
        <f t="shared" si="82"/>
        <v>Y</v>
      </c>
      <c r="N590" t="str">
        <f t="shared" si="83"/>
        <v>N</v>
      </c>
      <c r="O590">
        <f t="shared" si="84"/>
        <v>13</v>
      </c>
      <c r="P590" s="6">
        <f t="shared" si="85"/>
        <v>1.0073126142595978</v>
      </c>
      <c r="Q590" s="6">
        <f t="shared" si="86"/>
        <v>7.2595281306715061E-3</v>
      </c>
      <c r="R590">
        <f t="shared" si="87"/>
        <v>0</v>
      </c>
      <c r="S590">
        <f t="shared" si="88"/>
        <v>2</v>
      </c>
      <c r="T590">
        <f t="shared" si="89"/>
        <v>1000</v>
      </c>
    </row>
    <row r="591" spans="1:20">
      <c r="A591" t="s">
        <v>1029</v>
      </c>
      <c r="B591" t="s">
        <v>52</v>
      </c>
      <c r="C591" t="s">
        <v>12</v>
      </c>
      <c r="D591">
        <v>741</v>
      </c>
      <c r="E591" s="4">
        <v>46061</v>
      </c>
      <c r="F591" s="4">
        <v>46072</v>
      </c>
      <c r="G591" s="4">
        <v>46069</v>
      </c>
      <c r="H591">
        <v>751</v>
      </c>
      <c r="I591" t="s">
        <v>734</v>
      </c>
      <c r="J591">
        <v>18</v>
      </c>
      <c r="K591" t="s">
        <v>1563</v>
      </c>
      <c r="L591" t="str">
        <f t="shared" si="81"/>
        <v>Y</v>
      </c>
      <c r="M591" t="str">
        <f t="shared" si="82"/>
        <v>Y</v>
      </c>
      <c r="N591" t="str">
        <f t="shared" si="83"/>
        <v>Y</v>
      </c>
      <c r="O591">
        <f t="shared" si="84"/>
        <v>8</v>
      </c>
      <c r="P591" s="6">
        <f t="shared" si="85"/>
        <v>1.0134952766531713</v>
      </c>
      <c r="Q591" s="6">
        <f t="shared" si="86"/>
        <v>2.3968042609853527E-2</v>
      </c>
      <c r="R591">
        <f t="shared" si="87"/>
        <v>1</v>
      </c>
      <c r="S591">
        <f t="shared" si="88"/>
        <v>0</v>
      </c>
      <c r="T591">
        <f t="shared" si="89"/>
        <v>0</v>
      </c>
    </row>
    <row r="592" spans="1:20">
      <c r="A592" t="s">
        <v>1030</v>
      </c>
      <c r="B592" t="s">
        <v>49</v>
      </c>
      <c r="C592" t="s">
        <v>16</v>
      </c>
      <c r="D592">
        <v>215</v>
      </c>
      <c r="E592" s="4">
        <v>46075</v>
      </c>
      <c r="F592" s="4">
        <v>46085</v>
      </c>
      <c r="G592" s="4">
        <v>46084</v>
      </c>
      <c r="H592">
        <v>185</v>
      </c>
      <c r="I592" t="s">
        <v>266</v>
      </c>
      <c r="J592">
        <v>2</v>
      </c>
      <c r="K592" t="s">
        <v>1563</v>
      </c>
      <c r="L592" t="str">
        <f t="shared" si="81"/>
        <v>Y</v>
      </c>
      <c r="M592" t="str">
        <f t="shared" si="82"/>
        <v>N</v>
      </c>
      <c r="N592" t="str">
        <f t="shared" si="83"/>
        <v>N</v>
      </c>
      <c r="O592">
        <f t="shared" si="84"/>
        <v>9</v>
      </c>
      <c r="P592" s="6">
        <f t="shared" si="85"/>
        <v>0.86046511627906974</v>
      </c>
      <c r="Q592" s="6">
        <f t="shared" si="86"/>
        <v>1.0810810810810811E-2</v>
      </c>
      <c r="R592">
        <f t="shared" si="87"/>
        <v>0</v>
      </c>
      <c r="S592">
        <f t="shared" si="88"/>
        <v>0</v>
      </c>
      <c r="T592">
        <f t="shared" si="89"/>
        <v>0</v>
      </c>
    </row>
    <row r="593" spans="1:20">
      <c r="A593" t="s">
        <v>1031</v>
      </c>
      <c r="B593" t="s">
        <v>52</v>
      </c>
      <c r="C593" t="s">
        <v>16</v>
      </c>
      <c r="D593">
        <v>431</v>
      </c>
      <c r="E593" s="4">
        <v>46073</v>
      </c>
      <c r="F593" s="4">
        <v>46079</v>
      </c>
      <c r="G593" s="4">
        <v>46077</v>
      </c>
      <c r="H593">
        <v>423</v>
      </c>
      <c r="I593" t="s">
        <v>92</v>
      </c>
      <c r="J593">
        <v>7</v>
      </c>
      <c r="K593" t="s">
        <v>1563</v>
      </c>
      <c r="L593" t="str">
        <f t="shared" si="81"/>
        <v>Y</v>
      </c>
      <c r="M593" t="str">
        <f t="shared" si="82"/>
        <v>Y</v>
      </c>
      <c r="N593" t="str">
        <f t="shared" si="83"/>
        <v>Y</v>
      </c>
      <c r="O593">
        <f t="shared" si="84"/>
        <v>4</v>
      </c>
      <c r="P593" s="6">
        <f t="shared" si="85"/>
        <v>0.9814385150812065</v>
      </c>
      <c r="Q593" s="6">
        <f t="shared" si="86"/>
        <v>1.6548463356973995E-2</v>
      </c>
      <c r="R593">
        <f t="shared" si="87"/>
        <v>1</v>
      </c>
      <c r="S593">
        <f t="shared" si="88"/>
        <v>0</v>
      </c>
      <c r="T593">
        <f t="shared" si="89"/>
        <v>0</v>
      </c>
    </row>
    <row r="594" spans="1:20">
      <c r="A594" t="s">
        <v>1032</v>
      </c>
      <c r="B594" t="s">
        <v>11</v>
      </c>
      <c r="C594" t="s">
        <v>23</v>
      </c>
      <c r="D594">
        <v>766</v>
      </c>
      <c r="E594" s="4">
        <v>46091</v>
      </c>
      <c r="F594" s="4">
        <v>46096</v>
      </c>
      <c r="G594" s="4">
        <v>46096</v>
      </c>
      <c r="H594">
        <v>767</v>
      </c>
      <c r="I594" t="s">
        <v>785</v>
      </c>
      <c r="J594">
        <v>2</v>
      </c>
      <c r="K594" t="s">
        <v>1563</v>
      </c>
      <c r="L594" t="str">
        <f t="shared" si="81"/>
        <v>Y</v>
      </c>
      <c r="M594" t="str">
        <f t="shared" si="82"/>
        <v>Y</v>
      </c>
      <c r="N594" t="str">
        <f t="shared" si="83"/>
        <v>Y</v>
      </c>
      <c r="O594">
        <f t="shared" si="84"/>
        <v>5</v>
      </c>
      <c r="P594" s="6">
        <f t="shared" si="85"/>
        <v>1.0013054830287207</v>
      </c>
      <c r="Q594" s="6">
        <f t="shared" si="86"/>
        <v>2.6075619295958278E-3</v>
      </c>
      <c r="R594">
        <f t="shared" si="87"/>
        <v>1</v>
      </c>
      <c r="S594">
        <f t="shared" si="88"/>
        <v>0</v>
      </c>
      <c r="T594">
        <f t="shared" si="89"/>
        <v>0</v>
      </c>
    </row>
    <row r="595" spans="1:20">
      <c r="A595" t="s">
        <v>1033</v>
      </c>
      <c r="B595" t="s">
        <v>19</v>
      </c>
      <c r="C595" t="s">
        <v>12</v>
      </c>
      <c r="D595">
        <v>261</v>
      </c>
      <c r="E595" s="4">
        <v>46101</v>
      </c>
      <c r="F595" s="4">
        <v>46106</v>
      </c>
      <c r="G595" s="4">
        <v>46104</v>
      </c>
      <c r="H595">
        <v>253</v>
      </c>
      <c r="I595" t="s">
        <v>57</v>
      </c>
      <c r="J595">
        <v>5</v>
      </c>
      <c r="K595" t="s">
        <v>1563</v>
      </c>
      <c r="L595" t="str">
        <f t="shared" si="81"/>
        <v>Y</v>
      </c>
      <c r="M595" t="str">
        <f t="shared" si="82"/>
        <v>N</v>
      </c>
      <c r="N595" t="str">
        <f t="shared" si="83"/>
        <v>N</v>
      </c>
      <c r="O595">
        <f t="shared" si="84"/>
        <v>3</v>
      </c>
      <c r="P595" s="6">
        <f t="shared" si="85"/>
        <v>0.96934865900383138</v>
      </c>
      <c r="Q595" s="6">
        <f t="shared" si="86"/>
        <v>1.9762845849802372E-2</v>
      </c>
      <c r="R595">
        <f t="shared" si="87"/>
        <v>0</v>
      </c>
      <c r="S595">
        <f t="shared" si="88"/>
        <v>0</v>
      </c>
      <c r="T595">
        <f t="shared" si="89"/>
        <v>0</v>
      </c>
    </row>
    <row r="596" spans="1:20">
      <c r="A596" t="s">
        <v>1034</v>
      </c>
      <c r="B596" t="s">
        <v>26</v>
      </c>
      <c r="C596" t="s">
        <v>23</v>
      </c>
      <c r="D596">
        <v>724</v>
      </c>
      <c r="E596" s="4">
        <v>46052</v>
      </c>
      <c r="F596" s="4">
        <v>46064</v>
      </c>
      <c r="G596" s="4">
        <v>46061</v>
      </c>
      <c r="H596">
        <v>722</v>
      </c>
      <c r="I596" t="s">
        <v>1035</v>
      </c>
      <c r="J596">
        <v>6</v>
      </c>
      <c r="K596" t="s">
        <v>1563</v>
      </c>
      <c r="L596" t="str">
        <f t="shared" si="81"/>
        <v>Y</v>
      </c>
      <c r="M596" t="str">
        <f t="shared" si="82"/>
        <v>Y</v>
      </c>
      <c r="N596" t="str">
        <f t="shared" si="83"/>
        <v>Y</v>
      </c>
      <c r="O596">
        <f t="shared" si="84"/>
        <v>9</v>
      </c>
      <c r="P596" s="6">
        <f t="shared" si="85"/>
        <v>0.99723756906077343</v>
      </c>
      <c r="Q596" s="6">
        <f t="shared" si="86"/>
        <v>8.3102493074792248E-3</v>
      </c>
      <c r="R596">
        <f t="shared" si="87"/>
        <v>1</v>
      </c>
      <c r="S596">
        <f t="shared" si="88"/>
        <v>0</v>
      </c>
      <c r="T596">
        <f t="shared" si="89"/>
        <v>0</v>
      </c>
    </row>
    <row r="597" spans="1:20">
      <c r="A597" t="s">
        <v>1036</v>
      </c>
      <c r="B597" t="s">
        <v>120</v>
      </c>
      <c r="C597" t="s">
        <v>12</v>
      </c>
      <c r="D597">
        <v>651</v>
      </c>
      <c r="E597" s="4">
        <v>46116</v>
      </c>
      <c r="F597" s="4">
        <v>46129</v>
      </c>
      <c r="G597" s="4">
        <v>46126</v>
      </c>
      <c r="H597">
        <v>620</v>
      </c>
      <c r="I597" t="s">
        <v>1009</v>
      </c>
      <c r="J597">
        <v>36</v>
      </c>
      <c r="K597" t="s">
        <v>1563</v>
      </c>
      <c r="L597" t="str">
        <f t="shared" si="81"/>
        <v>Y</v>
      </c>
      <c r="M597" t="str">
        <f t="shared" si="82"/>
        <v>N</v>
      </c>
      <c r="N597" t="str">
        <f t="shared" si="83"/>
        <v>N</v>
      </c>
      <c r="O597">
        <f t="shared" si="84"/>
        <v>10</v>
      </c>
      <c r="P597" s="6">
        <f t="shared" si="85"/>
        <v>0.95238095238095233</v>
      </c>
      <c r="Q597" s="6">
        <f t="shared" si="86"/>
        <v>5.8064516129032261E-2</v>
      </c>
      <c r="R597">
        <f t="shared" si="87"/>
        <v>0</v>
      </c>
      <c r="S597">
        <f t="shared" si="88"/>
        <v>0</v>
      </c>
      <c r="T597">
        <f t="shared" si="89"/>
        <v>0</v>
      </c>
    </row>
    <row r="598" spans="1:20">
      <c r="A598" t="s">
        <v>1037</v>
      </c>
      <c r="B598" t="s">
        <v>22</v>
      </c>
      <c r="C598" t="s">
        <v>16</v>
      </c>
      <c r="D598">
        <v>440</v>
      </c>
      <c r="E598" s="4">
        <v>46107</v>
      </c>
      <c r="F598" s="4">
        <v>46115</v>
      </c>
      <c r="G598" s="4">
        <v>46121</v>
      </c>
      <c r="H598">
        <v>441</v>
      </c>
      <c r="I598" t="s">
        <v>235</v>
      </c>
      <c r="J598">
        <v>7</v>
      </c>
      <c r="K598" t="s">
        <v>1563</v>
      </c>
      <c r="L598" t="str">
        <f t="shared" si="81"/>
        <v>N</v>
      </c>
      <c r="M598" t="str">
        <f t="shared" si="82"/>
        <v>Y</v>
      </c>
      <c r="N598" t="str">
        <f t="shared" si="83"/>
        <v>N</v>
      </c>
      <c r="O598">
        <f t="shared" si="84"/>
        <v>14</v>
      </c>
      <c r="P598" s="6">
        <f t="shared" si="85"/>
        <v>1.0022727272727272</v>
      </c>
      <c r="Q598" s="6">
        <f t="shared" si="86"/>
        <v>1.5873015873015872E-2</v>
      </c>
      <c r="R598">
        <f t="shared" si="87"/>
        <v>0</v>
      </c>
      <c r="S598">
        <f t="shared" si="88"/>
        <v>6</v>
      </c>
      <c r="T598">
        <f t="shared" si="89"/>
        <v>3000</v>
      </c>
    </row>
    <row r="599" spans="1:20">
      <c r="A599" t="s">
        <v>1038</v>
      </c>
      <c r="B599" t="s">
        <v>49</v>
      </c>
      <c r="C599" t="s">
        <v>12</v>
      </c>
      <c r="D599">
        <v>650</v>
      </c>
      <c r="E599" s="4">
        <v>46113</v>
      </c>
      <c r="F599" s="4">
        <v>46126</v>
      </c>
      <c r="G599" s="4">
        <v>46123</v>
      </c>
      <c r="H599">
        <v>581</v>
      </c>
      <c r="I599" t="s">
        <v>1039</v>
      </c>
      <c r="J599">
        <v>7</v>
      </c>
      <c r="K599" t="s">
        <v>1563</v>
      </c>
      <c r="L599" t="str">
        <f t="shared" si="81"/>
        <v>Y</v>
      </c>
      <c r="M599" t="str">
        <f t="shared" si="82"/>
        <v>N</v>
      </c>
      <c r="N599" t="str">
        <f t="shared" si="83"/>
        <v>N</v>
      </c>
      <c r="O599">
        <f t="shared" si="84"/>
        <v>10</v>
      </c>
      <c r="P599" s="6">
        <f t="shared" si="85"/>
        <v>0.89384615384615385</v>
      </c>
      <c r="Q599" s="6">
        <f t="shared" si="86"/>
        <v>1.2048192771084338E-2</v>
      </c>
      <c r="R599">
        <f t="shared" si="87"/>
        <v>0</v>
      </c>
      <c r="S599">
        <f t="shared" si="88"/>
        <v>0</v>
      </c>
      <c r="T599">
        <f t="shared" si="89"/>
        <v>0</v>
      </c>
    </row>
    <row r="600" spans="1:20">
      <c r="A600" t="s">
        <v>1040</v>
      </c>
      <c r="B600" t="s">
        <v>81</v>
      </c>
      <c r="C600" t="s">
        <v>23</v>
      </c>
      <c r="D600">
        <v>994</v>
      </c>
      <c r="E600" s="4">
        <v>46115</v>
      </c>
      <c r="F600" s="4">
        <v>46121</v>
      </c>
      <c r="G600" s="4">
        <v>46118</v>
      </c>
      <c r="H600">
        <v>980</v>
      </c>
      <c r="I600" t="s">
        <v>1041</v>
      </c>
      <c r="J600">
        <v>4</v>
      </c>
      <c r="K600" t="s">
        <v>1563</v>
      </c>
      <c r="L600" t="str">
        <f t="shared" si="81"/>
        <v>Y</v>
      </c>
      <c r="M600" t="str">
        <f t="shared" si="82"/>
        <v>Y</v>
      </c>
      <c r="N600" t="str">
        <f t="shared" si="83"/>
        <v>Y</v>
      </c>
      <c r="O600">
        <f t="shared" si="84"/>
        <v>3</v>
      </c>
      <c r="P600" s="6">
        <f t="shared" si="85"/>
        <v>0.9859154929577465</v>
      </c>
      <c r="Q600" s="6">
        <f t="shared" si="86"/>
        <v>4.0816326530612249E-3</v>
      </c>
      <c r="R600">
        <f t="shared" si="87"/>
        <v>1</v>
      </c>
      <c r="S600">
        <f t="shared" si="88"/>
        <v>0</v>
      </c>
      <c r="T600">
        <f t="shared" si="89"/>
        <v>0</v>
      </c>
    </row>
    <row r="601" spans="1:20">
      <c r="A601" t="s">
        <v>1042</v>
      </c>
      <c r="B601" t="s">
        <v>67</v>
      </c>
      <c r="C601" t="s">
        <v>12</v>
      </c>
      <c r="D601">
        <v>880</v>
      </c>
      <c r="E601" s="4">
        <v>46149</v>
      </c>
      <c r="F601" s="4">
        <v>46156</v>
      </c>
      <c r="G601" s="4">
        <v>46153</v>
      </c>
      <c r="H601">
        <v>890</v>
      </c>
      <c r="I601" t="s">
        <v>1043</v>
      </c>
      <c r="J601">
        <v>22</v>
      </c>
      <c r="K601" t="s">
        <v>1563</v>
      </c>
      <c r="L601" t="str">
        <f t="shared" si="81"/>
        <v>Y</v>
      </c>
      <c r="M601" t="str">
        <f t="shared" si="82"/>
        <v>Y</v>
      </c>
      <c r="N601" t="str">
        <f t="shared" si="83"/>
        <v>Y</v>
      </c>
      <c r="O601">
        <f t="shared" si="84"/>
        <v>4</v>
      </c>
      <c r="P601" s="6">
        <f t="shared" si="85"/>
        <v>1.0113636363636365</v>
      </c>
      <c r="Q601" s="6">
        <f t="shared" si="86"/>
        <v>2.4719101123595506E-2</v>
      </c>
      <c r="R601">
        <f t="shared" si="87"/>
        <v>1</v>
      </c>
      <c r="S601">
        <f t="shared" si="88"/>
        <v>0</v>
      </c>
      <c r="T601">
        <f t="shared" si="89"/>
        <v>0</v>
      </c>
    </row>
    <row r="602" spans="1:20">
      <c r="A602" t="s">
        <v>1044</v>
      </c>
      <c r="B602" t="s">
        <v>32</v>
      </c>
      <c r="C602" t="s">
        <v>16</v>
      </c>
      <c r="D602">
        <v>729</v>
      </c>
      <c r="E602" s="4">
        <v>46120</v>
      </c>
      <c r="F602" s="4">
        <v>46131</v>
      </c>
      <c r="G602" s="4">
        <v>46130</v>
      </c>
      <c r="H602">
        <v>742</v>
      </c>
      <c r="I602" t="s">
        <v>906</v>
      </c>
      <c r="J602">
        <v>31</v>
      </c>
      <c r="K602" t="s">
        <v>1563</v>
      </c>
      <c r="L602" t="str">
        <f t="shared" si="81"/>
        <v>Y</v>
      </c>
      <c r="M602" t="str">
        <f t="shared" si="82"/>
        <v>Y</v>
      </c>
      <c r="N602" t="str">
        <f t="shared" si="83"/>
        <v>Y</v>
      </c>
      <c r="O602">
        <f t="shared" si="84"/>
        <v>10</v>
      </c>
      <c r="P602" s="6">
        <f t="shared" si="85"/>
        <v>1.0178326474622772</v>
      </c>
      <c r="Q602" s="6">
        <f t="shared" si="86"/>
        <v>4.1778975741239892E-2</v>
      </c>
      <c r="R602">
        <f t="shared" si="87"/>
        <v>1</v>
      </c>
      <c r="S602">
        <f t="shared" si="88"/>
        <v>0</v>
      </c>
      <c r="T602">
        <f t="shared" si="89"/>
        <v>0</v>
      </c>
    </row>
    <row r="603" spans="1:20">
      <c r="A603" t="s">
        <v>1045</v>
      </c>
      <c r="B603" t="s">
        <v>177</v>
      </c>
      <c r="C603" t="s">
        <v>12</v>
      </c>
      <c r="D603">
        <v>152</v>
      </c>
      <c r="E603" s="4">
        <v>46071</v>
      </c>
      <c r="F603" s="4">
        <v>46086</v>
      </c>
      <c r="G603" s="4">
        <v>46095</v>
      </c>
      <c r="H603">
        <v>152</v>
      </c>
      <c r="I603" t="s">
        <v>30</v>
      </c>
      <c r="J603">
        <v>1</v>
      </c>
      <c r="K603" t="s">
        <v>1563</v>
      </c>
      <c r="L603" t="str">
        <f t="shared" si="81"/>
        <v>N</v>
      </c>
      <c r="M603" t="str">
        <f t="shared" si="82"/>
        <v>Y</v>
      </c>
      <c r="N603" t="str">
        <f t="shared" si="83"/>
        <v>N</v>
      </c>
      <c r="O603">
        <f t="shared" si="84"/>
        <v>24</v>
      </c>
      <c r="P603" s="6">
        <f t="shared" si="85"/>
        <v>1</v>
      </c>
      <c r="Q603" s="6">
        <f t="shared" si="86"/>
        <v>6.5789473684210523E-3</v>
      </c>
      <c r="R603">
        <f t="shared" si="87"/>
        <v>0</v>
      </c>
      <c r="S603">
        <f t="shared" si="88"/>
        <v>9</v>
      </c>
      <c r="T603">
        <f t="shared" si="89"/>
        <v>4500</v>
      </c>
    </row>
    <row r="604" spans="1:20">
      <c r="A604" t="s">
        <v>1046</v>
      </c>
      <c r="B604" t="s">
        <v>26</v>
      </c>
      <c r="C604" t="s">
        <v>12</v>
      </c>
      <c r="D604">
        <v>82</v>
      </c>
      <c r="E604" s="4">
        <v>46093</v>
      </c>
      <c r="F604" s="4">
        <v>46100</v>
      </c>
      <c r="G604" s="4">
        <v>46100</v>
      </c>
      <c r="H604">
        <v>83</v>
      </c>
      <c r="I604" t="s">
        <v>941</v>
      </c>
      <c r="J604">
        <v>1</v>
      </c>
      <c r="K604" t="s">
        <v>1563</v>
      </c>
      <c r="L604" t="str">
        <f t="shared" si="81"/>
        <v>Y</v>
      </c>
      <c r="M604" t="str">
        <f t="shared" si="82"/>
        <v>Y</v>
      </c>
      <c r="N604" t="str">
        <f t="shared" si="83"/>
        <v>Y</v>
      </c>
      <c r="O604">
        <f t="shared" si="84"/>
        <v>7</v>
      </c>
      <c r="P604" s="6">
        <f t="shared" si="85"/>
        <v>1.0121951219512195</v>
      </c>
      <c r="Q604" s="6">
        <f t="shared" si="86"/>
        <v>1.2048192771084338E-2</v>
      </c>
      <c r="R604">
        <f t="shared" si="87"/>
        <v>1</v>
      </c>
      <c r="S604">
        <f t="shared" si="88"/>
        <v>0</v>
      </c>
      <c r="T604">
        <f t="shared" si="89"/>
        <v>0</v>
      </c>
    </row>
    <row r="605" spans="1:20">
      <c r="A605" t="s">
        <v>1047</v>
      </c>
      <c r="B605" t="s">
        <v>26</v>
      </c>
      <c r="C605" t="s">
        <v>12</v>
      </c>
      <c r="D605">
        <v>654</v>
      </c>
      <c r="E605" s="4">
        <v>46137</v>
      </c>
      <c r="F605" s="4">
        <v>46148</v>
      </c>
      <c r="G605" s="4">
        <v>46149</v>
      </c>
      <c r="H605">
        <v>559</v>
      </c>
      <c r="I605" t="s">
        <v>1048</v>
      </c>
      <c r="J605">
        <v>5</v>
      </c>
      <c r="K605" t="s">
        <v>1563</v>
      </c>
      <c r="L605" t="str">
        <f t="shared" si="81"/>
        <v>N</v>
      </c>
      <c r="M605" t="str">
        <f t="shared" si="82"/>
        <v>N</v>
      </c>
      <c r="N605" t="str">
        <f t="shared" si="83"/>
        <v>N</v>
      </c>
      <c r="O605">
        <f t="shared" si="84"/>
        <v>12</v>
      </c>
      <c r="P605" s="6">
        <f t="shared" si="85"/>
        <v>0.85474006116207946</v>
      </c>
      <c r="Q605" s="6">
        <f t="shared" si="86"/>
        <v>8.9445438282647581E-3</v>
      </c>
      <c r="R605">
        <f t="shared" si="87"/>
        <v>0</v>
      </c>
      <c r="S605">
        <f t="shared" si="88"/>
        <v>1</v>
      </c>
      <c r="T605">
        <f t="shared" si="89"/>
        <v>500</v>
      </c>
    </row>
    <row r="606" spans="1:20">
      <c r="A606" t="s">
        <v>1049</v>
      </c>
      <c r="B606" t="s">
        <v>52</v>
      </c>
      <c r="C606" t="s">
        <v>12</v>
      </c>
      <c r="D606">
        <v>105</v>
      </c>
      <c r="E606" s="4">
        <v>46132</v>
      </c>
      <c r="F606" s="4">
        <v>46145</v>
      </c>
      <c r="G606" s="4">
        <v>46144</v>
      </c>
      <c r="H606">
        <v>104</v>
      </c>
      <c r="I606" t="s">
        <v>836</v>
      </c>
      <c r="J606">
        <v>2</v>
      </c>
      <c r="K606" t="s">
        <v>1563</v>
      </c>
      <c r="L606" t="str">
        <f t="shared" si="81"/>
        <v>Y</v>
      </c>
      <c r="M606" t="str">
        <f t="shared" si="82"/>
        <v>Y</v>
      </c>
      <c r="N606" t="str">
        <f t="shared" si="83"/>
        <v>Y</v>
      </c>
      <c r="O606">
        <f t="shared" si="84"/>
        <v>12</v>
      </c>
      <c r="P606" s="6">
        <f t="shared" si="85"/>
        <v>0.99047619047619051</v>
      </c>
      <c r="Q606" s="6">
        <f t="shared" si="86"/>
        <v>1.9230769230769232E-2</v>
      </c>
      <c r="R606">
        <f t="shared" si="87"/>
        <v>1</v>
      </c>
      <c r="S606">
        <f t="shared" si="88"/>
        <v>0</v>
      </c>
      <c r="T606">
        <f t="shared" si="89"/>
        <v>0</v>
      </c>
    </row>
    <row r="607" spans="1:20">
      <c r="A607" t="s">
        <v>1050</v>
      </c>
      <c r="B607" t="s">
        <v>22</v>
      </c>
      <c r="C607" t="s">
        <v>23</v>
      </c>
      <c r="D607">
        <v>501</v>
      </c>
      <c r="E607" s="4">
        <v>46031</v>
      </c>
      <c r="F607" s="4">
        <v>46040</v>
      </c>
      <c r="G607" s="4">
        <v>46040</v>
      </c>
      <c r="H607">
        <v>509</v>
      </c>
      <c r="I607" t="s">
        <v>535</v>
      </c>
      <c r="J607">
        <v>11</v>
      </c>
      <c r="K607" t="s">
        <v>1563</v>
      </c>
      <c r="L607" t="str">
        <f t="shared" si="81"/>
        <v>Y</v>
      </c>
      <c r="M607" t="str">
        <f t="shared" si="82"/>
        <v>Y</v>
      </c>
      <c r="N607" t="str">
        <f t="shared" si="83"/>
        <v>Y</v>
      </c>
      <c r="O607">
        <f t="shared" si="84"/>
        <v>9</v>
      </c>
      <c r="P607" s="6">
        <f t="shared" si="85"/>
        <v>1.0159680638722555</v>
      </c>
      <c r="Q607" s="6">
        <f t="shared" si="86"/>
        <v>2.1611001964636542E-2</v>
      </c>
      <c r="R607">
        <f t="shared" si="87"/>
        <v>1</v>
      </c>
      <c r="S607">
        <f t="shared" si="88"/>
        <v>0</v>
      </c>
      <c r="T607">
        <f t="shared" si="89"/>
        <v>0</v>
      </c>
    </row>
    <row r="608" spans="1:20">
      <c r="A608" t="s">
        <v>1051</v>
      </c>
      <c r="B608" t="s">
        <v>19</v>
      </c>
      <c r="C608" t="s">
        <v>12</v>
      </c>
      <c r="D608">
        <v>492</v>
      </c>
      <c r="E608" s="4">
        <v>46085</v>
      </c>
      <c r="F608" s="4">
        <v>46091</v>
      </c>
      <c r="G608" s="4">
        <v>46090</v>
      </c>
      <c r="H608">
        <v>407</v>
      </c>
      <c r="I608" t="s">
        <v>533</v>
      </c>
      <c r="J608">
        <v>22</v>
      </c>
      <c r="K608" t="s">
        <v>1563</v>
      </c>
      <c r="L608" t="str">
        <f t="shared" si="81"/>
        <v>Y</v>
      </c>
      <c r="M608" t="str">
        <f t="shared" si="82"/>
        <v>N</v>
      </c>
      <c r="N608" t="str">
        <f t="shared" si="83"/>
        <v>N</v>
      </c>
      <c r="O608">
        <f t="shared" si="84"/>
        <v>5</v>
      </c>
      <c r="P608" s="6">
        <f t="shared" si="85"/>
        <v>0.82723577235772361</v>
      </c>
      <c r="Q608" s="6">
        <f t="shared" si="86"/>
        <v>5.4054054054054057E-2</v>
      </c>
      <c r="R608">
        <f t="shared" si="87"/>
        <v>0</v>
      </c>
      <c r="S608">
        <f t="shared" si="88"/>
        <v>0</v>
      </c>
      <c r="T608">
        <f t="shared" si="89"/>
        <v>0</v>
      </c>
    </row>
    <row r="609" spans="1:20">
      <c r="A609" t="s">
        <v>1052</v>
      </c>
      <c r="B609" t="s">
        <v>35</v>
      </c>
      <c r="C609" t="s">
        <v>23</v>
      </c>
      <c r="D609">
        <v>974</v>
      </c>
      <c r="E609" s="4">
        <v>46127</v>
      </c>
      <c r="F609" s="4">
        <v>46133</v>
      </c>
      <c r="G609" s="4">
        <v>46137</v>
      </c>
      <c r="H609">
        <v>981</v>
      </c>
      <c r="I609" t="s">
        <v>824</v>
      </c>
      <c r="J609">
        <v>12</v>
      </c>
      <c r="K609" t="s">
        <v>1563</v>
      </c>
      <c r="L609" t="str">
        <f t="shared" si="81"/>
        <v>N</v>
      </c>
      <c r="M609" t="str">
        <f t="shared" si="82"/>
        <v>Y</v>
      </c>
      <c r="N609" t="str">
        <f t="shared" si="83"/>
        <v>N</v>
      </c>
      <c r="O609">
        <f t="shared" si="84"/>
        <v>10</v>
      </c>
      <c r="P609" s="6">
        <f t="shared" si="85"/>
        <v>1.0071868583162218</v>
      </c>
      <c r="Q609" s="6">
        <f t="shared" si="86"/>
        <v>1.2232415902140673E-2</v>
      </c>
      <c r="R609">
        <f t="shared" si="87"/>
        <v>0</v>
      </c>
      <c r="S609">
        <f t="shared" si="88"/>
        <v>4</v>
      </c>
      <c r="T609">
        <f t="shared" si="89"/>
        <v>2000</v>
      </c>
    </row>
    <row r="610" spans="1:20">
      <c r="A610" t="s">
        <v>1053</v>
      </c>
      <c r="B610" t="s">
        <v>35</v>
      </c>
      <c r="C610" t="s">
        <v>12</v>
      </c>
      <c r="D610">
        <v>318</v>
      </c>
      <c r="E610" s="4">
        <v>46096</v>
      </c>
      <c r="F610" s="4">
        <v>46104</v>
      </c>
      <c r="G610" s="4">
        <v>46104</v>
      </c>
      <c r="H610">
        <v>322</v>
      </c>
      <c r="I610" t="s">
        <v>354</v>
      </c>
      <c r="J610">
        <v>8</v>
      </c>
      <c r="K610" t="s">
        <v>1563</v>
      </c>
      <c r="L610" t="str">
        <f t="shared" si="81"/>
        <v>Y</v>
      </c>
      <c r="M610" t="str">
        <f t="shared" si="82"/>
        <v>Y</v>
      </c>
      <c r="N610" t="str">
        <f t="shared" si="83"/>
        <v>Y</v>
      </c>
      <c r="O610">
        <f t="shared" si="84"/>
        <v>8</v>
      </c>
      <c r="P610" s="6">
        <f t="shared" si="85"/>
        <v>1.0125786163522013</v>
      </c>
      <c r="Q610" s="6">
        <f t="shared" si="86"/>
        <v>2.4844720496894408E-2</v>
      </c>
      <c r="R610">
        <f t="shared" si="87"/>
        <v>1</v>
      </c>
      <c r="S610">
        <f t="shared" si="88"/>
        <v>0</v>
      </c>
      <c r="T610">
        <f t="shared" si="89"/>
        <v>0</v>
      </c>
    </row>
    <row r="611" spans="1:20">
      <c r="A611" t="s">
        <v>1054</v>
      </c>
      <c r="B611" t="s">
        <v>81</v>
      </c>
      <c r="C611" t="s">
        <v>16</v>
      </c>
      <c r="D611">
        <v>148</v>
      </c>
      <c r="E611" s="4">
        <v>46069</v>
      </c>
      <c r="F611" s="4">
        <v>46084</v>
      </c>
      <c r="G611" s="4">
        <v>46082</v>
      </c>
      <c r="H611">
        <v>148</v>
      </c>
      <c r="I611" t="s">
        <v>244</v>
      </c>
      <c r="J611">
        <v>1</v>
      </c>
      <c r="K611" t="s">
        <v>1563</v>
      </c>
      <c r="L611" t="str">
        <f t="shared" si="81"/>
        <v>Y</v>
      </c>
      <c r="M611" t="str">
        <f t="shared" si="82"/>
        <v>Y</v>
      </c>
      <c r="N611" t="str">
        <f t="shared" si="83"/>
        <v>Y</v>
      </c>
      <c r="O611">
        <f t="shared" si="84"/>
        <v>13</v>
      </c>
      <c r="P611" s="6">
        <f t="shared" si="85"/>
        <v>1</v>
      </c>
      <c r="Q611" s="6">
        <f t="shared" si="86"/>
        <v>6.7567567567567571E-3</v>
      </c>
      <c r="R611">
        <f t="shared" si="87"/>
        <v>1</v>
      </c>
      <c r="S611">
        <f t="shared" si="88"/>
        <v>0</v>
      </c>
      <c r="T611">
        <f t="shared" si="89"/>
        <v>0</v>
      </c>
    </row>
    <row r="612" spans="1:20">
      <c r="A612" t="s">
        <v>1055</v>
      </c>
      <c r="B612" t="s">
        <v>32</v>
      </c>
      <c r="C612" t="s">
        <v>12</v>
      </c>
      <c r="D612">
        <v>639</v>
      </c>
      <c r="E612" s="4">
        <v>46152</v>
      </c>
      <c r="F612" s="4">
        <v>46162</v>
      </c>
      <c r="G612" s="4">
        <v>46167</v>
      </c>
      <c r="H612">
        <v>639</v>
      </c>
      <c r="I612" t="s">
        <v>152</v>
      </c>
      <c r="J612">
        <v>32</v>
      </c>
      <c r="K612" t="s">
        <v>1563</v>
      </c>
      <c r="L612" t="str">
        <f t="shared" si="81"/>
        <v>N</v>
      </c>
      <c r="M612" t="str">
        <f t="shared" si="82"/>
        <v>Y</v>
      </c>
      <c r="N612" t="str">
        <f t="shared" si="83"/>
        <v>N</v>
      </c>
      <c r="O612">
        <f t="shared" si="84"/>
        <v>15</v>
      </c>
      <c r="P612" s="6">
        <f t="shared" si="85"/>
        <v>1</v>
      </c>
      <c r="Q612" s="6">
        <f t="shared" si="86"/>
        <v>5.0078247261345854E-2</v>
      </c>
      <c r="R612">
        <f t="shared" si="87"/>
        <v>0</v>
      </c>
      <c r="S612">
        <f t="shared" si="88"/>
        <v>5</v>
      </c>
      <c r="T612">
        <f t="shared" si="89"/>
        <v>2500</v>
      </c>
    </row>
    <row r="613" spans="1:20">
      <c r="A613" t="s">
        <v>1056</v>
      </c>
      <c r="B613" t="s">
        <v>49</v>
      </c>
      <c r="C613" t="s">
        <v>16</v>
      </c>
      <c r="D613">
        <v>459</v>
      </c>
      <c r="E613" s="4">
        <v>46144</v>
      </c>
      <c r="F613" s="4">
        <v>46152</v>
      </c>
      <c r="G613" s="4">
        <v>46151</v>
      </c>
      <c r="H613">
        <v>453</v>
      </c>
      <c r="I613" t="s">
        <v>383</v>
      </c>
      <c r="J613">
        <v>5</v>
      </c>
      <c r="K613" t="s">
        <v>1563</v>
      </c>
      <c r="L613" t="str">
        <f t="shared" si="81"/>
        <v>Y</v>
      </c>
      <c r="M613" t="str">
        <f t="shared" si="82"/>
        <v>Y</v>
      </c>
      <c r="N613" t="str">
        <f t="shared" si="83"/>
        <v>Y</v>
      </c>
      <c r="O613">
        <f t="shared" si="84"/>
        <v>7</v>
      </c>
      <c r="P613" s="6">
        <f t="shared" si="85"/>
        <v>0.98692810457516345</v>
      </c>
      <c r="Q613" s="6">
        <f t="shared" si="86"/>
        <v>1.1037527593818985E-2</v>
      </c>
      <c r="R613">
        <f t="shared" si="87"/>
        <v>1</v>
      </c>
      <c r="S613">
        <f t="shared" si="88"/>
        <v>0</v>
      </c>
      <c r="T613">
        <f t="shared" si="89"/>
        <v>0</v>
      </c>
    </row>
    <row r="614" spans="1:20">
      <c r="A614" t="s">
        <v>1057</v>
      </c>
      <c r="B614" t="s">
        <v>52</v>
      </c>
      <c r="C614" t="s">
        <v>12</v>
      </c>
      <c r="D614">
        <v>526</v>
      </c>
      <c r="E614" s="4">
        <v>46118</v>
      </c>
      <c r="F614" s="4">
        <v>46129</v>
      </c>
      <c r="G614" s="4">
        <v>46129</v>
      </c>
      <c r="H614">
        <v>534</v>
      </c>
      <c r="I614" t="s">
        <v>1058</v>
      </c>
      <c r="J614">
        <v>6</v>
      </c>
      <c r="K614" t="s">
        <v>1563</v>
      </c>
      <c r="L614" t="str">
        <f t="shared" si="81"/>
        <v>Y</v>
      </c>
      <c r="M614" t="str">
        <f t="shared" si="82"/>
        <v>Y</v>
      </c>
      <c r="N614" t="str">
        <f t="shared" si="83"/>
        <v>Y</v>
      </c>
      <c r="O614">
        <f t="shared" si="84"/>
        <v>11</v>
      </c>
      <c r="P614" s="6">
        <f t="shared" si="85"/>
        <v>1.0152091254752851</v>
      </c>
      <c r="Q614" s="6">
        <f t="shared" si="86"/>
        <v>1.1235955056179775E-2</v>
      </c>
      <c r="R614">
        <f t="shared" si="87"/>
        <v>1</v>
      </c>
      <c r="S614">
        <f t="shared" si="88"/>
        <v>0</v>
      </c>
      <c r="T614">
        <f t="shared" si="89"/>
        <v>0</v>
      </c>
    </row>
    <row r="615" spans="1:20">
      <c r="A615" t="s">
        <v>1059</v>
      </c>
      <c r="B615" t="s">
        <v>19</v>
      </c>
      <c r="C615" t="s">
        <v>23</v>
      </c>
      <c r="D615">
        <v>267</v>
      </c>
      <c r="E615" s="4">
        <v>46027</v>
      </c>
      <c r="F615" s="4">
        <v>46036</v>
      </c>
      <c r="G615" s="4">
        <v>46033</v>
      </c>
      <c r="H615">
        <v>269</v>
      </c>
      <c r="I615" t="s">
        <v>824</v>
      </c>
      <c r="J615">
        <v>3</v>
      </c>
      <c r="K615" t="s">
        <v>1563</v>
      </c>
      <c r="L615" t="str">
        <f t="shared" si="81"/>
        <v>Y</v>
      </c>
      <c r="M615" t="str">
        <f t="shared" si="82"/>
        <v>Y</v>
      </c>
      <c r="N615" t="str">
        <f t="shared" si="83"/>
        <v>Y</v>
      </c>
      <c r="O615">
        <f t="shared" si="84"/>
        <v>6</v>
      </c>
      <c r="P615" s="6">
        <f t="shared" si="85"/>
        <v>1.0074906367041199</v>
      </c>
      <c r="Q615" s="6">
        <f t="shared" si="86"/>
        <v>1.1152416356877323E-2</v>
      </c>
      <c r="R615">
        <f t="shared" si="87"/>
        <v>1</v>
      </c>
      <c r="S615">
        <f t="shared" si="88"/>
        <v>0</v>
      </c>
      <c r="T615">
        <f t="shared" si="89"/>
        <v>0</v>
      </c>
    </row>
    <row r="616" spans="1:20">
      <c r="A616" t="s">
        <v>1060</v>
      </c>
      <c r="B616" t="s">
        <v>22</v>
      </c>
      <c r="C616" t="s">
        <v>16</v>
      </c>
      <c r="D616">
        <v>290</v>
      </c>
      <c r="E616" s="4">
        <v>46102</v>
      </c>
      <c r="F616" s="4">
        <v>46112</v>
      </c>
      <c r="G616" s="4">
        <v>46109</v>
      </c>
      <c r="H616">
        <v>289</v>
      </c>
      <c r="I616" t="s">
        <v>1061</v>
      </c>
      <c r="J616">
        <v>9</v>
      </c>
      <c r="K616" t="s">
        <v>1563</v>
      </c>
      <c r="L616" t="str">
        <f t="shared" si="81"/>
        <v>Y</v>
      </c>
      <c r="M616" t="str">
        <f t="shared" si="82"/>
        <v>Y</v>
      </c>
      <c r="N616" t="str">
        <f t="shared" si="83"/>
        <v>Y</v>
      </c>
      <c r="O616">
        <f t="shared" si="84"/>
        <v>7</v>
      </c>
      <c r="P616" s="6">
        <f t="shared" si="85"/>
        <v>0.99655172413793103</v>
      </c>
      <c r="Q616" s="6">
        <f t="shared" si="86"/>
        <v>3.1141868512110725E-2</v>
      </c>
      <c r="R616">
        <f t="shared" si="87"/>
        <v>1</v>
      </c>
      <c r="S616">
        <f t="shared" si="88"/>
        <v>0</v>
      </c>
      <c r="T616">
        <f t="shared" si="89"/>
        <v>0</v>
      </c>
    </row>
    <row r="617" spans="1:20">
      <c r="A617" t="s">
        <v>1062</v>
      </c>
      <c r="B617" t="s">
        <v>11</v>
      </c>
      <c r="C617" t="s">
        <v>16</v>
      </c>
      <c r="D617">
        <v>281</v>
      </c>
      <c r="E617" s="4">
        <v>46057</v>
      </c>
      <c r="F617" s="4">
        <v>46071</v>
      </c>
      <c r="G617" s="4">
        <v>46073</v>
      </c>
      <c r="H617">
        <v>282</v>
      </c>
      <c r="I617" t="s">
        <v>1063</v>
      </c>
      <c r="J617">
        <v>12</v>
      </c>
      <c r="K617" t="s">
        <v>1563</v>
      </c>
      <c r="L617" t="str">
        <f t="shared" si="81"/>
        <v>N</v>
      </c>
      <c r="M617" t="str">
        <f t="shared" si="82"/>
        <v>Y</v>
      </c>
      <c r="N617" t="str">
        <f t="shared" si="83"/>
        <v>N</v>
      </c>
      <c r="O617">
        <f t="shared" si="84"/>
        <v>16</v>
      </c>
      <c r="P617" s="6">
        <f t="shared" si="85"/>
        <v>1.0035587188612101</v>
      </c>
      <c r="Q617" s="6">
        <f t="shared" si="86"/>
        <v>4.2553191489361701E-2</v>
      </c>
      <c r="R617">
        <f t="shared" si="87"/>
        <v>0</v>
      </c>
      <c r="S617">
        <f t="shared" si="88"/>
        <v>2</v>
      </c>
      <c r="T617">
        <f t="shared" si="89"/>
        <v>1000</v>
      </c>
    </row>
    <row r="618" spans="1:20">
      <c r="A618" t="s">
        <v>1064</v>
      </c>
      <c r="B618" t="s">
        <v>52</v>
      </c>
      <c r="C618" t="s">
        <v>12</v>
      </c>
      <c r="D618">
        <v>885</v>
      </c>
      <c r="E618" s="4">
        <v>46116</v>
      </c>
      <c r="F618" s="4">
        <v>46131</v>
      </c>
      <c r="G618" s="4">
        <v>46129</v>
      </c>
      <c r="H618">
        <v>900</v>
      </c>
      <c r="I618" t="s">
        <v>376</v>
      </c>
      <c r="J618">
        <v>15</v>
      </c>
      <c r="K618" t="s">
        <v>1563</v>
      </c>
      <c r="L618" t="str">
        <f t="shared" si="81"/>
        <v>Y</v>
      </c>
      <c r="M618" t="str">
        <f t="shared" si="82"/>
        <v>Y</v>
      </c>
      <c r="N618" t="str">
        <f t="shared" si="83"/>
        <v>Y</v>
      </c>
      <c r="O618">
        <f t="shared" si="84"/>
        <v>13</v>
      </c>
      <c r="P618" s="6">
        <f t="shared" si="85"/>
        <v>1.0169491525423728</v>
      </c>
      <c r="Q618" s="6">
        <f t="shared" si="86"/>
        <v>1.6666666666666666E-2</v>
      </c>
      <c r="R618">
        <f t="shared" si="87"/>
        <v>1</v>
      </c>
      <c r="S618">
        <f t="shared" si="88"/>
        <v>0</v>
      </c>
      <c r="T618">
        <f t="shared" si="89"/>
        <v>0</v>
      </c>
    </row>
    <row r="619" spans="1:20">
      <c r="A619" t="s">
        <v>1065</v>
      </c>
      <c r="B619" t="s">
        <v>52</v>
      </c>
      <c r="C619" t="s">
        <v>12</v>
      </c>
      <c r="D619">
        <v>583</v>
      </c>
      <c r="E619" s="4">
        <v>46045</v>
      </c>
      <c r="F619" s="4">
        <v>46052</v>
      </c>
      <c r="G619" s="4">
        <v>46056</v>
      </c>
      <c r="H619">
        <v>572</v>
      </c>
      <c r="I619" t="s">
        <v>600</v>
      </c>
      <c r="J619">
        <v>9</v>
      </c>
      <c r="K619" t="s">
        <v>1563</v>
      </c>
      <c r="L619" t="str">
        <f t="shared" si="81"/>
        <v>N</v>
      </c>
      <c r="M619" t="str">
        <f t="shared" si="82"/>
        <v>Y</v>
      </c>
      <c r="N619" t="str">
        <f t="shared" si="83"/>
        <v>N</v>
      </c>
      <c r="O619">
        <f t="shared" si="84"/>
        <v>11</v>
      </c>
      <c r="P619" s="6">
        <f t="shared" si="85"/>
        <v>0.98113207547169812</v>
      </c>
      <c r="Q619" s="6">
        <f t="shared" si="86"/>
        <v>1.5734265734265736E-2</v>
      </c>
      <c r="R619">
        <f t="shared" si="87"/>
        <v>0</v>
      </c>
      <c r="S619">
        <f t="shared" si="88"/>
        <v>4</v>
      </c>
      <c r="T619">
        <f t="shared" si="89"/>
        <v>2000</v>
      </c>
    </row>
    <row r="620" spans="1:20">
      <c r="A620" t="s">
        <v>1066</v>
      </c>
      <c r="B620" t="s">
        <v>52</v>
      </c>
      <c r="C620" t="s">
        <v>16</v>
      </c>
      <c r="D620">
        <v>939</v>
      </c>
      <c r="E620" s="4">
        <v>46098</v>
      </c>
      <c r="F620" s="4">
        <v>46104</v>
      </c>
      <c r="G620" s="4">
        <v>46102</v>
      </c>
      <c r="H620">
        <v>938</v>
      </c>
      <c r="I620" t="s">
        <v>1067</v>
      </c>
      <c r="J620">
        <v>17</v>
      </c>
      <c r="K620" t="s">
        <v>1563</v>
      </c>
      <c r="L620" t="str">
        <f t="shared" si="81"/>
        <v>Y</v>
      </c>
      <c r="M620" t="str">
        <f t="shared" si="82"/>
        <v>Y</v>
      </c>
      <c r="N620" t="str">
        <f t="shared" si="83"/>
        <v>Y</v>
      </c>
      <c r="O620">
        <f t="shared" si="84"/>
        <v>4</v>
      </c>
      <c r="P620" s="6">
        <f t="shared" si="85"/>
        <v>0.99893503727369537</v>
      </c>
      <c r="Q620" s="6">
        <f t="shared" si="86"/>
        <v>1.8123667377398719E-2</v>
      </c>
      <c r="R620">
        <f t="shared" si="87"/>
        <v>1</v>
      </c>
      <c r="S620">
        <f t="shared" si="88"/>
        <v>0</v>
      </c>
      <c r="T620">
        <f t="shared" si="89"/>
        <v>0</v>
      </c>
    </row>
    <row r="621" spans="1:20">
      <c r="A621" t="s">
        <v>1068</v>
      </c>
      <c r="B621" t="s">
        <v>177</v>
      </c>
      <c r="C621" t="s">
        <v>12</v>
      </c>
      <c r="D621">
        <v>423</v>
      </c>
      <c r="E621" s="4">
        <v>46075</v>
      </c>
      <c r="F621" s="4">
        <v>46088</v>
      </c>
      <c r="G621" s="4">
        <v>46093</v>
      </c>
      <c r="H621">
        <v>416</v>
      </c>
      <c r="I621" t="s">
        <v>75</v>
      </c>
      <c r="J621">
        <v>9</v>
      </c>
      <c r="K621" t="s">
        <v>1563</v>
      </c>
      <c r="L621" t="str">
        <f t="shared" si="81"/>
        <v>N</v>
      </c>
      <c r="M621" t="str">
        <f t="shared" si="82"/>
        <v>Y</v>
      </c>
      <c r="N621" t="str">
        <f t="shared" si="83"/>
        <v>N</v>
      </c>
      <c r="O621">
        <f t="shared" si="84"/>
        <v>18</v>
      </c>
      <c r="P621" s="6">
        <f t="shared" si="85"/>
        <v>0.98345153664302598</v>
      </c>
      <c r="Q621" s="6">
        <f t="shared" si="86"/>
        <v>2.1634615384615384E-2</v>
      </c>
      <c r="R621">
        <f t="shared" si="87"/>
        <v>0</v>
      </c>
      <c r="S621">
        <f t="shared" si="88"/>
        <v>5</v>
      </c>
      <c r="T621">
        <f t="shared" si="89"/>
        <v>2500</v>
      </c>
    </row>
    <row r="622" spans="1:20">
      <c r="A622" t="s">
        <v>1069</v>
      </c>
      <c r="B622" t="s">
        <v>64</v>
      </c>
      <c r="C622" t="s">
        <v>16</v>
      </c>
      <c r="D622">
        <v>239</v>
      </c>
      <c r="E622" s="4">
        <v>46144</v>
      </c>
      <c r="F622" s="4">
        <v>46153</v>
      </c>
      <c r="G622" s="4">
        <v>46153</v>
      </c>
      <c r="H622">
        <v>236</v>
      </c>
      <c r="I622" t="s">
        <v>1070</v>
      </c>
      <c r="J622">
        <v>1</v>
      </c>
      <c r="K622" t="s">
        <v>1563</v>
      </c>
      <c r="L622" t="str">
        <f t="shared" si="81"/>
        <v>Y</v>
      </c>
      <c r="M622" t="str">
        <f t="shared" si="82"/>
        <v>Y</v>
      </c>
      <c r="N622" t="str">
        <f t="shared" si="83"/>
        <v>Y</v>
      </c>
      <c r="O622">
        <f t="shared" si="84"/>
        <v>9</v>
      </c>
      <c r="P622" s="6">
        <f t="shared" si="85"/>
        <v>0.9874476987447699</v>
      </c>
      <c r="Q622" s="6">
        <f t="shared" si="86"/>
        <v>4.2372881355932203E-3</v>
      </c>
      <c r="R622">
        <f t="shared" si="87"/>
        <v>1</v>
      </c>
      <c r="S622">
        <f t="shared" si="88"/>
        <v>0</v>
      </c>
      <c r="T622">
        <f t="shared" si="89"/>
        <v>0</v>
      </c>
    </row>
    <row r="623" spans="1:20">
      <c r="A623" t="s">
        <v>1071</v>
      </c>
      <c r="B623" t="s">
        <v>54</v>
      </c>
      <c r="C623" t="s">
        <v>12</v>
      </c>
      <c r="D623">
        <v>872</v>
      </c>
      <c r="E623" s="4">
        <v>46036</v>
      </c>
      <c r="F623" s="4">
        <v>46049</v>
      </c>
      <c r="G623" s="4">
        <v>46046</v>
      </c>
      <c r="H623">
        <v>872</v>
      </c>
      <c r="I623" t="s">
        <v>1072</v>
      </c>
      <c r="J623">
        <v>13</v>
      </c>
      <c r="K623" t="s">
        <v>1563</v>
      </c>
      <c r="L623" t="str">
        <f t="shared" si="81"/>
        <v>Y</v>
      </c>
      <c r="M623" t="str">
        <f t="shared" si="82"/>
        <v>Y</v>
      </c>
      <c r="N623" t="str">
        <f t="shared" si="83"/>
        <v>Y</v>
      </c>
      <c r="O623">
        <f t="shared" si="84"/>
        <v>10</v>
      </c>
      <c r="P623" s="6">
        <f t="shared" si="85"/>
        <v>1</v>
      </c>
      <c r="Q623" s="6">
        <f t="shared" si="86"/>
        <v>1.4908256880733946E-2</v>
      </c>
      <c r="R623">
        <f t="shared" si="87"/>
        <v>1</v>
      </c>
      <c r="S623">
        <f t="shared" si="88"/>
        <v>0</v>
      </c>
      <c r="T623">
        <f t="shared" si="89"/>
        <v>0</v>
      </c>
    </row>
    <row r="624" spans="1:20">
      <c r="A624" t="s">
        <v>1073</v>
      </c>
      <c r="B624" t="s">
        <v>81</v>
      </c>
      <c r="C624" t="s">
        <v>23</v>
      </c>
      <c r="D624">
        <v>241</v>
      </c>
      <c r="E624" s="4">
        <v>46104</v>
      </c>
      <c r="F624" s="4">
        <v>46110</v>
      </c>
      <c r="G624" s="4">
        <v>46110</v>
      </c>
      <c r="H624">
        <v>238</v>
      </c>
      <c r="I624" t="s">
        <v>552</v>
      </c>
      <c r="J624">
        <v>1</v>
      </c>
      <c r="K624" t="s">
        <v>1563</v>
      </c>
      <c r="L624" t="str">
        <f t="shared" si="81"/>
        <v>Y</v>
      </c>
      <c r="M624" t="str">
        <f t="shared" si="82"/>
        <v>Y</v>
      </c>
      <c r="N624" t="str">
        <f t="shared" si="83"/>
        <v>Y</v>
      </c>
      <c r="O624">
        <f t="shared" si="84"/>
        <v>6</v>
      </c>
      <c r="P624" s="6">
        <f t="shared" si="85"/>
        <v>0.98755186721991706</v>
      </c>
      <c r="Q624" s="6">
        <f t="shared" si="86"/>
        <v>4.2016806722689074E-3</v>
      </c>
      <c r="R624">
        <f t="shared" si="87"/>
        <v>1</v>
      </c>
      <c r="S624">
        <f t="shared" si="88"/>
        <v>0</v>
      </c>
      <c r="T624">
        <f t="shared" si="89"/>
        <v>0</v>
      </c>
    </row>
    <row r="625" spans="1:20">
      <c r="A625" t="s">
        <v>1074</v>
      </c>
      <c r="B625" t="s">
        <v>46</v>
      </c>
      <c r="C625" t="s">
        <v>16</v>
      </c>
      <c r="D625">
        <v>973</v>
      </c>
      <c r="E625" s="4">
        <v>46052</v>
      </c>
      <c r="F625" s="4">
        <v>46059</v>
      </c>
      <c r="G625" s="4"/>
      <c r="I625" t="s">
        <v>452</v>
      </c>
      <c r="K625" t="s">
        <v>1565</v>
      </c>
      <c r="L625" t="str">
        <f t="shared" si="81"/>
        <v>N/A</v>
      </c>
      <c r="M625" t="str">
        <f t="shared" si="82"/>
        <v>N/A</v>
      </c>
      <c r="N625" t="str">
        <f t="shared" si="83"/>
        <v>N/A</v>
      </c>
      <c r="O625" t="str">
        <f t="shared" si="84"/>
        <v>N/A</v>
      </c>
      <c r="P625" s="6" t="str">
        <f t="shared" si="85"/>
        <v>N/A</v>
      </c>
      <c r="Q625" s="6" t="str">
        <f t="shared" si="86"/>
        <v>N/A</v>
      </c>
      <c r="R625" t="str">
        <f t="shared" si="87"/>
        <v/>
      </c>
      <c r="S625" t="str">
        <f t="shared" si="88"/>
        <v>N/A</v>
      </c>
      <c r="T625">
        <f t="shared" si="89"/>
        <v>0</v>
      </c>
    </row>
    <row r="626" spans="1:20">
      <c r="A626" t="s">
        <v>1075</v>
      </c>
      <c r="B626" t="s">
        <v>11</v>
      </c>
      <c r="C626" t="s">
        <v>16</v>
      </c>
      <c r="D626">
        <v>278</v>
      </c>
      <c r="E626" s="4">
        <v>46076</v>
      </c>
      <c r="F626" s="4">
        <v>46084</v>
      </c>
      <c r="G626" s="4">
        <v>46084</v>
      </c>
      <c r="H626">
        <v>283</v>
      </c>
      <c r="I626" t="s">
        <v>1076</v>
      </c>
      <c r="J626">
        <v>12</v>
      </c>
      <c r="K626" t="s">
        <v>1563</v>
      </c>
      <c r="L626" t="str">
        <f t="shared" si="81"/>
        <v>Y</v>
      </c>
      <c r="M626" t="str">
        <f t="shared" si="82"/>
        <v>Y</v>
      </c>
      <c r="N626" t="str">
        <f t="shared" si="83"/>
        <v>Y</v>
      </c>
      <c r="O626">
        <f t="shared" si="84"/>
        <v>8</v>
      </c>
      <c r="P626" s="6">
        <f t="shared" si="85"/>
        <v>1.0179856115107915</v>
      </c>
      <c r="Q626" s="6">
        <f t="shared" si="86"/>
        <v>4.2402826855123678E-2</v>
      </c>
      <c r="R626">
        <f t="shared" si="87"/>
        <v>1</v>
      </c>
      <c r="S626">
        <f t="shared" si="88"/>
        <v>0</v>
      </c>
      <c r="T626">
        <f t="shared" si="89"/>
        <v>0</v>
      </c>
    </row>
    <row r="627" spans="1:20">
      <c r="A627" t="s">
        <v>1077</v>
      </c>
      <c r="B627" t="s">
        <v>19</v>
      </c>
      <c r="C627" t="s">
        <v>16</v>
      </c>
      <c r="D627">
        <v>773</v>
      </c>
      <c r="E627" s="4">
        <v>46139</v>
      </c>
      <c r="F627" s="4">
        <v>46144</v>
      </c>
      <c r="G627" s="4">
        <v>46142</v>
      </c>
      <c r="H627">
        <v>772</v>
      </c>
      <c r="I627" t="s">
        <v>266</v>
      </c>
      <c r="J627">
        <v>28</v>
      </c>
      <c r="K627" t="s">
        <v>1563</v>
      </c>
      <c r="L627" t="str">
        <f t="shared" si="81"/>
        <v>Y</v>
      </c>
      <c r="M627" t="str">
        <f t="shared" si="82"/>
        <v>Y</v>
      </c>
      <c r="N627" t="str">
        <f t="shared" si="83"/>
        <v>Y</v>
      </c>
      <c r="O627">
        <f t="shared" si="84"/>
        <v>3</v>
      </c>
      <c r="P627" s="6">
        <f t="shared" si="85"/>
        <v>0.99870633893919791</v>
      </c>
      <c r="Q627" s="6">
        <f t="shared" si="86"/>
        <v>3.6269430051813469E-2</v>
      </c>
      <c r="R627">
        <f t="shared" si="87"/>
        <v>1</v>
      </c>
      <c r="S627">
        <f t="shared" si="88"/>
        <v>0</v>
      </c>
      <c r="T627">
        <f t="shared" si="89"/>
        <v>0</v>
      </c>
    </row>
    <row r="628" spans="1:20">
      <c r="A628" t="s">
        <v>1078</v>
      </c>
      <c r="B628" t="s">
        <v>11</v>
      </c>
      <c r="C628" t="s">
        <v>16</v>
      </c>
      <c r="D628">
        <v>121</v>
      </c>
      <c r="E628" s="4">
        <v>46068</v>
      </c>
      <c r="F628" s="4">
        <v>46079</v>
      </c>
      <c r="G628" s="4">
        <v>46078</v>
      </c>
      <c r="H628">
        <v>120</v>
      </c>
      <c r="I628" t="s">
        <v>50</v>
      </c>
      <c r="J628">
        <v>4</v>
      </c>
      <c r="K628" t="s">
        <v>1563</v>
      </c>
      <c r="L628" t="str">
        <f t="shared" si="81"/>
        <v>Y</v>
      </c>
      <c r="M628" t="str">
        <f t="shared" si="82"/>
        <v>Y</v>
      </c>
      <c r="N628" t="str">
        <f t="shared" si="83"/>
        <v>Y</v>
      </c>
      <c r="O628">
        <f t="shared" si="84"/>
        <v>10</v>
      </c>
      <c r="P628" s="6">
        <f t="shared" si="85"/>
        <v>0.99173553719008267</v>
      </c>
      <c r="Q628" s="6">
        <f t="shared" si="86"/>
        <v>3.3333333333333333E-2</v>
      </c>
      <c r="R628">
        <f t="shared" si="87"/>
        <v>1</v>
      </c>
      <c r="S628">
        <f t="shared" si="88"/>
        <v>0</v>
      </c>
      <c r="T628">
        <f t="shared" si="89"/>
        <v>0</v>
      </c>
    </row>
    <row r="629" spans="1:20">
      <c r="A629" t="s">
        <v>1079</v>
      </c>
      <c r="B629" t="s">
        <v>64</v>
      </c>
      <c r="C629" t="s">
        <v>16</v>
      </c>
      <c r="D629">
        <v>108</v>
      </c>
      <c r="E629" s="4">
        <v>46151</v>
      </c>
      <c r="F629" s="4">
        <v>46162</v>
      </c>
      <c r="G629" s="4">
        <v>46168</v>
      </c>
      <c r="H629">
        <v>101</v>
      </c>
      <c r="I629" t="s">
        <v>944</v>
      </c>
      <c r="J629">
        <v>2</v>
      </c>
      <c r="K629" t="s">
        <v>1563</v>
      </c>
      <c r="L629" t="str">
        <f t="shared" si="81"/>
        <v>N</v>
      </c>
      <c r="M629" t="str">
        <f t="shared" si="82"/>
        <v>N</v>
      </c>
      <c r="N629" t="str">
        <f t="shared" si="83"/>
        <v>N</v>
      </c>
      <c r="O629">
        <f t="shared" si="84"/>
        <v>17</v>
      </c>
      <c r="P629" s="6">
        <f t="shared" si="85"/>
        <v>0.93518518518518523</v>
      </c>
      <c r="Q629" s="6">
        <f t="shared" si="86"/>
        <v>1.9801980198019802E-2</v>
      </c>
      <c r="R629">
        <f t="shared" si="87"/>
        <v>0</v>
      </c>
      <c r="S629">
        <f t="shared" si="88"/>
        <v>6</v>
      </c>
      <c r="T629">
        <f t="shared" si="89"/>
        <v>3000</v>
      </c>
    </row>
    <row r="630" spans="1:20">
      <c r="A630" t="s">
        <v>1080</v>
      </c>
      <c r="B630" t="s">
        <v>70</v>
      </c>
      <c r="C630" t="s">
        <v>16</v>
      </c>
      <c r="D630">
        <v>870</v>
      </c>
      <c r="E630" s="4">
        <v>46113</v>
      </c>
      <c r="F630" s="4">
        <v>46123</v>
      </c>
      <c r="G630" s="4">
        <v>46127</v>
      </c>
      <c r="H630">
        <v>856</v>
      </c>
      <c r="I630" t="s">
        <v>432</v>
      </c>
      <c r="J630">
        <v>5</v>
      </c>
      <c r="K630" t="s">
        <v>1563</v>
      </c>
      <c r="L630" t="str">
        <f t="shared" si="81"/>
        <v>N</v>
      </c>
      <c r="M630" t="str">
        <f t="shared" si="82"/>
        <v>Y</v>
      </c>
      <c r="N630" t="str">
        <f t="shared" si="83"/>
        <v>N</v>
      </c>
      <c r="O630">
        <f t="shared" si="84"/>
        <v>14</v>
      </c>
      <c r="P630" s="6">
        <f t="shared" si="85"/>
        <v>0.98390804597701154</v>
      </c>
      <c r="Q630" s="6">
        <f t="shared" si="86"/>
        <v>5.8411214953271026E-3</v>
      </c>
      <c r="R630">
        <f t="shared" si="87"/>
        <v>0</v>
      </c>
      <c r="S630">
        <f t="shared" si="88"/>
        <v>4</v>
      </c>
      <c r="T630">
        <f t="shared" si="89"/>
        <v>2000</v>
      </c>
    </row>
    <row r="631" spans="1:20">
      <c r="A631" t="s">
        <v>1081</v>
      </c>
      <c r="B631" t="s">
        <v>177</v>
      </c>
      <c r="C631" t="s">
        <v>12</v>
      </c>
      <c r="D631">
        <v>612</v>
      </c>
      <c r="E631" s="4">
        <v>46089</v>
      </c>
      <c r="F631" s="4">
        <v>46100</v>
      </c>
      <c r="G631" s="4">
        <v>46098</v>
      </c>
      <c r="H631">
        <v>621</v>
      </c>
      <c r="I631" t="s">
        <v>547</v>
      </c>
      <c r="J631">
        <v>14</v>
      </c>
      <c r="K631" t="s">
        <v>1563</v>
      </c>
      <c r="L631" t="str">
        <f t="shared" si="81"/>
        <v>Y</v>
      </c>
      <c r="M631" t="str">
        <f t="shared" si="82"/>
        <v>Y</v>
      </c>
      <c r="N631" t="str">
        <f t="shared" si="83"/>
        <v>Y</v>
      </c>
      <c r="O631">
        <f t="shared" si="84"/>
        <v>9</v>
      </c>
      <c r="P631" s="6">
        <f t="shared" si="85"/>
        <v>1.0147058823529411</v>
      </c>
      <c r="Q631" s="6">
        <f t="shared" si="86"/>
        <v>2.2544283413848631E-2</v>
      </c>
      <c r="R631">
        <f t="shared" si="87"/>
        <v>1</v>
      </c>
      <c r="S631">
        <f t="shared" si="88"/>
        <v>0</v>
      </c>
      <c r="T631">
        <f t="shared" si="89"/>
        <v>0</v>
      </c>
    </row>
    <row r="632" spans="1:20">
      <c r="A632" t="s">
        <v>1082</v>
      </c>
      <c r="B632" t="s">
        <v>26</v>
      </c>
      <c r="C632" t="s">
        <v>16</v>
      </c>
      <c r="D632">
        <v>428</v>
      </c>
      <c r="E632" s="4">
        <v>46140</v>
      </c>
      <c r="F632" s="4">
        <v>46150</v>
      </c>
      <c r="G632" s="4">
        <v>46153</v>
      </c>
      <c r="H632">
        <v>422</v>
      </c>
      <c r="I632" t="s">
        <v>92</v>
      </c>
      <c r="J632">
        <v>4</v>
      </c>
      <c r="K632" t="s">
        <v>1563</v>
      </c>
      <c r="L632" t="str">
        <f t="shared" si="81"/>
        <v>N</v>
      </c>
      <c r="M632" t="str">
        <f t="shared" si="82"/>
        <v>Y</v>
      </c>
      <c r="N632" t="str">
        <f t="shared" si="83"/>
        <v>N</v>
      </c>
      <c r="O632">
        <f t="shared" si="84"/>
        <v>13</v>
      </c>
      <c r="P632" s="6">
        <f t="shared" si="85"/>
        <v>0.98598130841121501</v>
      </c>
      <c r="Q632" s="6">
        <f t="shared" si="86"/>
        <v>9.4786729857819912E-3</v>
      </c>
      <c r="R632">
        <f t="shared" si="87"/>
        <v>0</v>
      </c>
      <c r="S632">
        <f t="shared" si="88"/>
        <v>3</v>
      </c>
      <c r="T632">
        <f t="shared" si="89"/>
        <v>1500</v>
      </c>
    </row>
    <row r="633" spans="1:20">
      <c r="A633" t="s">
        <v>1083</v>
      </c>
      <c r="B633" t="s">
        <v>43</v>
      </c>
      <c r="C633" t="s">
        <v>12</v>
      </c>
      <c r="D633">
        <v>784</v>
      </c>
      <c r="E633" s="4">
        <v>46140</v>
      </c>
      <c r="F633" s="4">
        <v>46147</v>
      </c>
      <c r="G633" s="4">
        <v>46144</v>
      </c>
      <c r="H633">
        <v>781</v>
      </c>
      <c r="I633" t="s">
        <v>152</v>
      </c>
      <c r="J633">
        <v>55</v>
      </c>
      <c r="K633" t="s">
        <v>1563</v>
      </c>
      <c r="L633" t="str">
        <f t="shared" si="81"/>
        <v>Y</v>
      </c>
      <c r="M633" t="str">
        <f t="shared" si="82"/>
        <v>Y</v>
      </c>
      <c r="N633" t="str">
        <f t="shared" si="83"/>
        <v>Y</v>
      </c>
      <c r="O633">
        <f t="shared" si="84"/>
        <v>4</v>
      </c>
      <c r="P633" s="6">
        <f t="shared" si="85"/>
        <v>0.99617346938775508</v>
      </c>
      <c r="Q633" s="6">
        <f t="shared" si="86"/>
        <v>7.0422535211267609E-2</v>
      </c>
      <c r="R633">
        <f t="shared" si="87"/>
        <v>1</v>
      </c>
      <c r="S633">
        <f t="shared" si="88"/>
        <v>0</v>
      </c>
      <c r="T633">
        <f t="shared" si="89"/>
        <v>0</v>
      </c>
    </row>
    <row r="634" spans="1:20">
      <c r="A634" t="s">
        <v>1084</v>
      </c>
      <c r="B634" t="s">
        <v>46</v>
      </c>
      <c r="C634" t="s">
        <v>12</v>
      </c>
      <c r="D634">
        <v>665</v>
      </c>
      <c r="E634" s="4">
        <v>46079</v>
      </c>
      <c r="F634" s="4">
        <v>46088</v>
      </c>
      <c r="G634" s="4">
        <v>46093</v>
      </c>
      <c r="H634">
        <v>674</v>
      </c>
      <c r="I634" t="s">
        <v>936</v>
      </c>
      <c r="J634">
        <v>47</v>
      </c>
      <c r="K634" t="s">
        <v>1563</v>
      </c>
      <c r="L634" t="str">
        <f t="shared" si="81"/>
        <v>N</v>
      </c>
      <c r="M634" t="str">
        <f t="shared" si="82"/>
        <v>Y</v>
      </c>
      <c r="N634" t="str">
        <f t="shared" si="83"/>
        <v>N</v>
      </c>
      <c r="O634">
        <f t="shared" si="84"/>
        <v>14</v>
      </c>
      <c r="P634" s="6">
        <f t="shared" si="85"/>
        <v>1.0135338345864662</v>
      </c>
      <c r="Q634" s="6">
        <f t="shared" si="86"/>
        <v>6.9732937685459948E-2</v>
      </c>
      <c r="R634">
        <f t="shared" si="87"/>
        <v>0</v>
      </c>
      <c r="S634">
        <f t="shared" si="88"/>
        <v>5</v>
      </c>
      <c r="T634">
        <f t="shared" si="89"/>
        <v>2500</v>
      </c>
    </row>
    <row r="635" spans="1:20">
      <c r="A635" t="s">
        <v>1085</v>
      </c>
      <c r="B635" t="s">
        <v>46</v>
      </c>
      <c r="C635" t="s">
        <v>12</v>
      </c>
      <c r="D635">
        <v>418</v>
      </c>
      <c r="E635" s="4">
        <v>46106</v>
      </c>
      <c r="F635" s="4">
        <v>46118</v>
      </c>
      <c r="G635" s="4">
        <v>46115</v>
      </c>
      <c r="H635">
        <v>422</v>
      </c>
      <c r="I635" t="s">
        <v>160</v>
      </c>
      <c r="J635">
        <v>26</v>
      </c>
      <c r="K635" t="s">
        <v>1563</v>
      </c>
      <c r="L635" t="str">
        <f t="shared" si="81"/>
        <v>Y</v>
      </c>
      <c r="M635" t="str">
        <f t="shared" si="82"/>
        <v>Y</v>
      </c>
      <c r="N635" t="str">
        <f t="shared" si="83"/>
        <v>Y</v>
      </c>
      <c r="O635">
        <f t="shared" si="84"/>
        <v>9</v>
      </c>
      <c r="P635" s="6">
        <f t="shared" si="85"/>
        <v>1.0095693779904307</v>
      </c>
      <c r="Q635" s="6">
        <f t="shared" si="86"/>
        <v>6.1611374407582936E-2</v>
      </c>
      <c r="R635">
        <f t="shared" si="87"/>
        <v>1</v>
      </c>
      <c r="S635">
        <f t="shared" si="88"/>
        <v>0</v>
      </c>
      <c r="T635">
        <f t="shared" si="89"/>
        <v>0</v>
      </c>
    </row>
    <row r="636" spans="1:20">
      <c r="A636" t="s">
        <v>1086</v>
      </c>
      <c r="B636" t="s">
        <v>19</v>
      </c>
      <c r="C636" t="s">
        <v>23</v>
      </c>
      <c r="D636">
        <v>940</v>
      </c>
      <c r="E636" s="4">
        <v>46115</v>
      </c>
      <c r="F636" s="4">
        <v>46120</v>
      </c>
      <c r="G636" s="4">
        <v>46117</v>
      </c>
      <c r="H636">
        <v>938</v>
      </c>
      <c r="I636" t="s">
        <v>219</v>
      </c>
      <c r="J636">
        <v>28</v>
      </c>
      <c r="K636" t="s">
        <v>1563</v>
      </c>
      <c r="L636" t="str">
        <f t="shared" si="81"/>
        <v>Y</v>
      </c>
      <c r="M636" t="str">
        <f t="shared" si="82"/>
        <v>Y</v>
      </c>
      <c r="N636" t="str">
        <f t="shared" si="83"/>
        <v>Y</v>
      </c>
      <c r="O636">
        <f t="shared" si="84"/>
        <v>2</v>
      </c>
      <c r="P636" s="6">
        <f t="shared" si="85"/>
        <v>0.99787234042553197</v>
      </c>
      <c r="Q636" s="6">
        <f t="shared" si="86"/>
        <v>2.9850746268656716E-2</v>
      </c>
      <c r="R636">
        <f t="shared" si="87"/>
        <v>1</v>
      </c>
      <c r="S636">
        <f t="shared" si="88"/>
        <v>0</v>
      </c>
      <c r="T636">
        <f t="shared" si="89"/>
        <v>0</v>
      </c>
    </row>
    <row r="637" spans="1:20">
      <c r="A637" t="s">
        <v>1087</v>
      </c>
      <c r="B637" t="s">
        <v>11</v>
      </c>
      <c r="C637" t="s">
        <v>12</v>
      </c>
      <c r="D637">
        <v>550</v>
      </c>
      <c r="E637" s="4">
        <v>46126</v>
      </c>
      <c r="F637" s="4">
        <v>46135</v>
      </c>
      <c r="G637" s="4">
        <v>46135</v>
      </c>
      <c r="H637">
        <v>482</v>
      </c>
      <c r="I637" t="s">
        <v>1027</v>
      </c>
      <c r="J637">
        <v>2</v>
      </c>
      <c r="K637" t="s">
        <v>1563</v>
      </c>
      <c r="L637" t="str">
        <f t="shared" si="81"/>
        <v>Y</v>
      </c>
      <c r="M637" t="str">
        <f t="shared" si="82"/>
        <v>N</v>
      </c>
      <c r="N637" t="str">
        <f t="shared" si="83"/>
        <v>N</v>
      </c>
      <c r="O637">
        <f t="shared" si="84"/>
        <v>9</v>
      </c>
      <c r="P637" s="6">
        <f t="shared" si="85"/>
        <v>0.87636363636363634</v>
      </c>
      <c r="Q637" s="6">
        <f t="shared" si="86"/>
        <v>4.1493775933609959E-3</v>
      </c>
      <c r="R637">
        <f t="shared" si="87"/>
        <v>0</v>
      </c>
      <c r="S637">
        <f t="shared" si="88"/>
        <v>0</v>
      </c>
      <c r="T637">
        <f t="shared" si="89"/>
        <v>0</v>
      </c>
    </row>
    <row r="638" spans="1:20">
      <c r="A638" t="s">
        <v>1088</v>
      </c>
      <c r="B638" t="s">
        <v>49</v>
      </c>
      <c r="C638" t="s">
        <v>23</v>
      </c>
      <c r="D638">
        <v>475</v>
      </c>
      <c r="E638" s="4">
        <v>46113</v>
      </c>
      <c r="F638" s="4">
        <v>46120</v>
      </c>
      <c r="G638" s="4">
        <v>46119</v>
      </c>
      <c r="H638">
        <v>480</v>
      </c>
      <c r="I638" t="s">
        <v>948</v>
      </c>
      <c r="J638">
        <v>4</v>
      </c>
      <c r="K638" t="s">
        <v>1563</v>
      </c>
      <c r="L638" t="str">
        <f t="shared" si="81"/>
        <v>Y</v>
      </c>
      <c r="M638" t="str">
        <f t="shared" si="82"/>
        <v>Y</v>
      </c>
      <c r="N638" t="str">
        <f t="shared" si="83"/>
        <v>Y</v>
      </c>
      <c r="O638">
        <f t="shared" si="84"/>
        <v>6</v>
      </c>
      <c r="P638" s="6">
        <f t="shared" si="85"/>
        <v>1.0105263157894737</v>
      </c>
      <c r="Q638" s="6">
        <f t="shared" si="86"/>
        <v>8.3333333333333332E-3</v>
      </c>
      <c r="R638">
        <f t="shared" si="87"/>
        <v>1</v>
      </c>
      <c r="S638">
        <f t="shared" si="88"/>
        <v>0</v>
      </c>
      <c r="T638">
        <f t="shared" si="89"/>
        <v>0</v>
      </c>
    </row>
    <row r="639" spans="1:20">
      <c r="A639" t="s">
        <v>1089</v>
      </c>
      <c r="B639" t="s">
        <v>70</v>
      </c>
      <c r="C639" t="s">
        <v>16</v>
      </c>
      <c r="D639">
        <v>745</v>
      </c>
      <c r="E639" s="4">
        <v>46051</v>
      </c>
      <c r="F639" s="4">
        <v>46059</v>
      </c>
      <c r="G639" s="4">
        <v>46064</v>
      </c>
      <c r="H639">
        <v>740</v>
      </c>
      <c r="I639" t="s">
        <v>1090</v>
      </c>
      <c r="J639">
        <v>6</v>
      </c>
      <c r="K639" t="s">
        <v>1563</v>
      </c>
      <c r="L639" t="str">
        <f t="shared" si="81"/>
        <v>N</v>
      </c>
      <c r="M639" t="str">
        <f t="shared" si="82"/>
        <v>Y</v>
      </c>
      <c r="N639" t="str">
        <f t="shared" si="83"/>
        <v>N</v>
      </c>
      <c r="O639">
        <f t="shared" si="84"/>
        <v>13</v>
      </c>
      <c r="P639" s="6">
        <f t="shared" si="85"/>
        <v>0.99328859060402686</v>
      </c>
      <c r="Q639" s="6">
        <f t="shared" si="86"/>
        <v>8.1081081081081086E-3</v>
      </c>
      <c r="R639">
        <f t="shared" si="87"/>
        <v>0</v>
      </c>
      <c r="S639">
        <f t="shared" si="88"/>
        <v>5</v>
      </c>
      <c r="T639">
        <f t="shared" si="89"/>
        <v>2500</v>
      </c>
    </row>
    <row r="640" spans="1:20">
      <c r="A640" t="s">
        <v>1091</v>
      </c>
      <c r="B640" t="s">
        <v>67</v>
      </c>
      <c r="C640" t="s">
        <v>16</v>
      </c>
      <c r="D640">
        <v>377</v>
      </c>
      <c r="E640" s="4">
        <v>46148</v>
      </c>
      <c r="F640" s="4">
        <v>46157</v>
      </c>
      <c r="G640" s="4">
        <v>46154</v>
      </c>
      <c r="H640">
        <v>371</v>
      </c>
      <c r="I640" t="s">
        <v>1092</v>
      </c>
      <c r="J640">
        <v>19</v>
      </c>
      <c r="K640" t="s">
        <v>1563</v>
      </c>
      <c r="L640" t="str">
        <f t="shared" si="81"/>
        <v>Y</v>
      </c>
      <c r="M640" t="str">
        <f t="shared" si="82"/>
        <v>Y</v>
      </c>
      <c r="N640" t="str">
        <f t="shared" si="83"/>
        <v>Y</v>
      </c>
      <c r="O640">
        <f t="shared" si="84"/>
        <v>6</v>
      </c>
      <c r="P640" s="6">
        <f t="shared" si="85"/>
        <v>0.98408488063660482</v>
      </c>
      <c r="Q640" s="6">
        <f t="shared" si="86"/>
        <v>5.1212938005390833E-2</v>
      </c>
      <c r="R640">
        <f t="shared" si="87"/>
        <v>1</v>
      </c>
      <c r="S640">
        <f t="shared" si="88"/>
        <v>0</v>
      </c>
      <c r="T640">
        <f t="shared" si="89"/>
        <v>0</v>
      </c>
    </row>
    <row r="641" spans="1:20">
      <c r="A641" t="s">
        <v>1093</v>
      </c>
      <c r="B641" t="s">
        <v>29</v>
      </c>
      <c r="C641" t="s">
        <v>23</v>
      </c>
      <c r="D641">
        <v>646</v>
      </c>
      <c r="E641" s="4">
        <v>46130</v>
      </c>
      <c r="F641" s="4">
        <v>46136</v>
      </c>
      <c r="G641" s="4">
        <v>46135</v>
      </c>
      <c r="H641">
        <v>544</v>
      </c>
      <c r="I641" t="s">
        <v>1094</v>
      </c>
      <c r="J641">
        <v>3</v>
      </c>
      <c r="K641" t="s">
        <v>1563</v>
      </c>
      <c r="L641" t="str">
        <f t="shared" si="81"/>
        <v>Y</v>
      </c>
      <c r="M641" t="str">
        <f t="shared" si="82"/>
        <v>N</v>
      </c>
      <c r="N641" t="str">
        <f t="shared" si="83"/>
        <v>N</v>
      </c>
      <c r="O641">
        <f t="shared" si="84"/>
        <v>5</v>
      </c>
      <c r="P641" s="6">
        <f t="shared" si="85"/>
        <v>0.84210526315789469</v>
      </c>
      <c r="Q641" s="6">
        <f t="shared" si="86"/>
        <v>5.5147058823529415E-3</v>
      </c>
      <c r="R641">
        <f t="shared" si="87"/>
        <v>0</v>
      </c>
      <c r="S641">
        <f t="shared" si="88"/>
        <v>0</v>
      </c>
      <c r="T641">
        <f t="shared" si="89"/>
        <v>0</v>
      </c>
    </row>
    <row r="642" spans="1:20">
      <c r="A642" t="s">
        <v>1095</v>
      </c>
      <c r="B642" t="s">
        <v>43</v>
      </c>
      <c r="C642" t="s">
        <v>16</v>
      </c>
      <c r="D642">
        <v>360</v>
      </c>
      <c r="E642" s="4">
        <v>46045</v>
      </c>
      <c r="F642" s="4">
        <v>46058</v>
      </c>
      <c r="G642" s="4">
        <v>46059</v>
      </c>
      <c r="H642">
        <v>365</v>
      </c>
      <c r="I642" t="s">
        <v>268</v>
      </c>
      <c r="J642">
        <v>12</v>
      </c>
      <c r="K642" t="s">
        <v>1563</v>
      </c>
      <c r="L642" t="str">
        <f t="shared" ref="L642:L705" si="90">IF(G642="","N/A",IF(G642&lt;=F642,"Y","N"))</f>
        <v>N</v>
      </c>
      <c r="M642" t="str">
        <f t="shared" ref="M642:M705" si="91">IF(H642="","N/A",IF(H642&gt;=D642*0.98,"Y","N"))</f>
        <v>Y</v>
      </c>
      <c r="N642" t="str">
        <f t="shared" ref="N642:N705" si="92">IF(OR(L642="N/A",M642="N/A"),"N/A",IF(AND(L642="Y",M642="Y"),"Y","N"))</f>
        <v>N</v>
      </c>
      <c r="O642">
        <f t="shared" ref="O642:O705" si="93">IF(G642="","N/A",G642-E642)</f>
        <v>14</v>
      </c>
      <c r="P642" s="6">
        <f t="shared" ref="P642:P705" si="94">IF(H642="","N/A",H642/D642)</f>
        <v>1.0138888888888888</v>
      </c>
      <c r="Q642" s="6">
        <f t="shared" ref="Q642:Q705" si="95">IF(H642="","N/A",IF(H642=0,0,J642/H642))</f>
        <v>3.287671232876712E-2</v>
      </c>
      <c r="R642">
        <f t="shared" ref="R642:R705" si="96">IF(N642="Y",1,IF(N642="N",0,""))</f>
        <v>0</v>
      </c>
      <c r="S642">
        <f t="shared" ref="S642:S705" si="97">IF(G642="","N/A",MAX(G642-F642,0))</f>
        <v>1</v>
      </c>
      <c r="T642">
        <f t="shared" ref="T642:T705" si="98">IF(S642="N/A",0,S642*500)</f>
        <v>500</v>
      </c>
    </row>
    <row r="643" spans="1:20">
      <c r="A643" t="s">
        <v>1096</v>
      </c>
      <c r="B643" t="s">
        <v>54</v>
      </c>
      <c r="C643" t="s">
        <v>16</v>
      </c>
      <c r="D643">
        <v>618</v>
      </c>
      <c r="E643" s="4">
        <v>46048</v>
      </c>
      <c r="F643" s="4">
        <v>46063</v>
      </c>
      <c r="G643" s="4">
        <v>46061</v>
      </c>
      <c r="H643">
        <v>616</v>
      </c>
      <c r="I643" t="s">
        <v>398</v>
      </c>
      <c r="J643">
        <v>14</v>
      </c>
      <c r="K643" t="s">
        <v>1563</v>
      </c>
      <c r="L643" t="str">
        <f t="shared" si="90"/>
        <v>Y</v>
      </c>
      <c r="M643" t="str">
        <f t="shared" si="91"/>
        <v>Y</v>
      </c>
      <c r="N643" t="str">
        <f t="shared" si="92"/>
        <v>Y</v>
      </c>
      <c r="O643">
        <f t="shared" si="93"/>
        <v>13</v>
      </c>
      <c r="P643" s="6">
        <f t="shared" si="94"/>
        <v>0.99676375404530748</v>
      </c>
      <c r="Q643" s="6">
        <f t="shared" si="95"/>
        <v>2.2727272727272728E-2</v>
      </c>
      <c r="R643">
        <f t="shared" si="96"/>
        <v>1</v>
      </c>
      <c r="S643">
        <f t="shared" si="97"/>
        <v>0</v>
      </c>
      <c r="T643">
        <f t="shared" si="98"/>
        <v>0</v>
      </c>
    </row>
    <row r="644" spans="1:20">
      <c r="A644" t="s">
        <v>1097</v>
      </c>
      <c r="B644" t="s">
        <v>29</v>
      </c>
      <c r="C644" t="s">
        <v>12</v>
      </c>
      <c r="D644">
        <v>969</v>
      </c>
      <c r="E644" s="4">
        <v>46087</v>
      </c>
      <c r="F644" s="4">
        <v>46096</v>
      </c>
      <c r="G644" s="4">
        <v>46095</v>
      </c>
      <c r="H644">
        <v>953</v>
      </c>
      <c r="I644" t="s">
        <v>1098</v>
      </c>
      <c r="J644">
        <v>8</v>
      </c>
      <c r="K644" t="s">
        <v>1563</v>
      </c>
      <c r="L644" t="str">
        <f t="shared" si="90"/>
        <v>Y</v>
      </c>
      <c r="M644" t="str">
        <f t="shared" si="91"/>
        <v>Y</v>
      </c>
      <c r="N644" t="str">
        <f t="shared" si="92"/>
        <v>Y</v>
      </c>
      <c r="O644">
        <f t="shared" si="93"/>
        <v>8</v>
      </c>
      <c r="P644" s="6">
        <f t="shared" si="94"/>
        <v>0.98348813209494323</v>
      </c>
      <c r="Q644" s="6">
        <f t="shared" si="95"/>
        <v>8.3945435466946487E-3</v>
      </c>
      <c r="R644">
        <f t="shared" si="96"/>
        <v>1</v>
      </c>
      <c r="S644">
        <f t="shared" si="97"/>
        <v>0</v>
      </c>
      <c r="T644">
        <f t="shared" si="98"/>
        <v>0</v>
      </c>
    </row>
    <row r="645" spans="1:20">
      <c r="A645" t="s">
        <v>1099</v>
      </c>
      <c r="B645" t="s">
        <v>177</v>
      </c>
      <c r="C645" t="s">
        <v>23</v>
      </c>
      <c r="D645">
        <v>332</v>
      </c>
      <c r="E645" s="4">
        <v>46053</v>
      </c>
      <c r="F645" s="4">
        <v>46062</v>
      </c>
      <c r="G645" s="4">
        <v>46061</v>
      </c>
      <c r="H645">
        <v>338</v>
      </c>
      <c r="I645" t="s">
        <v>1100</v>
      </c>
      <c r="J645">
        <v>12</v>
      </c>
      <c r="K645" t="s">
        <v>1563</v>
      </c>
      <c r="L645" t="str">
        <f t="shared" si="90"/>
        <v>Y</v>
      </c>
      <c r="M645" t="str">
        <f t="shared" si="91"/>
        <v>Y</v>
      </c>
      <c r="N645" t="str">
        <f t="shared" si="92"/>
        <v>Y</v>
      </c>
      <c r="O645">
        <f t="shared" si="93"/>
        <v>8</v>
      </c>
      <c r="P645" s="6">
        <f t="shared" si="94"/>
        <v>1.0180722891566265</v>
      </c>
      <c r="Q645" s="6">
        <f t="shared" si="95"/>
        <v>3.5502958579881658E-2</v>
      </c>
      <c r="R645">
        <f t="shared" si="96"/>
        <v>1</v>
      </c>
      <c r="S645">
        <f t="shared" si="97"/>
        <v>0</v>
      </c>
      <c r="T645">
        <f t="shared" si="98"/>
        <v>0</v>
      </c>
    </row>
    <row r="646" spans="1:20">
      <c r="A646" t="s">
        <v>1101</v>
      </c>
      <c r="B646" t="s">
        <v>120</v>
      </c>
      <c r="C646" t="s">
        <v>23</v>
      </c>
      <c r="D646">
        <v>742</v>
      </c>
      <c r="E646" s="4">
        <v>46122</v>
      </c>
      <c r="F646" s="4">
        <v>46134</v>
      </c>
      <c r="G646" s="4">
        <v>46131</v>
      </c>
      <c r="H646">
        <v>679</v>
      </c>
      <c r="I646" t="s">
        <v>980</v>
      </c>
      <c r="J646">
        <v>32</v>
      </c>
      <c r="K646" t="s">
        <v>1563</v>
      </c>
      <c r="L646" t="str">
        <f t="shared" si="90"/>
        <v>Y</v>
      </c>
      <c r="M646" t="str">
        <f t="shared" si="91"/>
        <v>N</v>
      </c>
      <c r="N646" t="str">
        <f t="shared" si="92"/>
        <v>N</v>
      </c>
      <c r="O646">
        <f t="shared" si="93"/>
        <v>9</v>
      </c>
      <c r="P646" s="6">
        <f t="shared" si="94"/>
        <v>0.91509433962264153</v>
      </c>
      <c r="Q646" s="6">
        <f t="shared" si="95"/>
        <v>4.7128129602356406E-2</v>
      </c>
      <c r="R646">
        <f t="shared" si="96"/>
        <v>0</v>
      </c>
      <c r="S646">
        <f t="shared" si="97"/>
        <v>0</v>
      </c>
      <c r="T646">
        <f t="shared" si="98"/>
        <v>0</v>
      </c>
    </row>
    <row r="647" spans="1:20">
      <c r="A647" t="s">
        <v>1102</v>
      </c>
      <c r="B647" t="s">
        <v>81</v>
      </c>
      <c r="C647" t="s">
        <v>12</v>
      </c>
      <c r="D647">
        <v>741</v>
      </c>
      <c r="E647" s="4">
        <v>46172</v>
      </c>
      <c r="F647" s="4">
        <v>46179</v>
      </c>
      <c r="G647" s="4">
        <v>46187</v>
      </c>
      <c r="H647">
        <v>745</v>
      </c>
      <c r="I647" t="s">
        <v>750</v>
      </c>
      <c r="J647">
        <v>3</v>
      </c>
      <c r="K647" t="s">
        <v>1563</v>
      </c>
      <c r="L647" t="str">
        <f t="shared" si="90"/>
        <v>N</v>
      </c>
      <c r="M647" t="str">
        <f t="shared" si="91"/>
        <v>Y</v>
      </c>
      <c r="N647" t="str">
        <f t="shared" si="92"/>
        <v>N</v>
      </c>
      <c r="O647">
        <f t="shared" si="93"/>
        <v>15</v>
      </c>
      <c r="P647" s="6">
        <f t="shared" si="94"/>
        <v>1.0053981106612686</v>
      </c>
      <c r="Q647" s="6">
        <f t="shared" si="95"/>
        <v>4.0268456375838931E-3</v>
      </c>
      <c r="R647">
        <f t="shared" si="96"/>
        <v>0</v>
      </c>
      <c r="S647">
        <f t="shared" si="97"/>
        <v>8</v>
      </c>
      <c r="T647">
        <f t="shared" si="98"/>
        <v>4000</v>
      </c>
    </row>
    <row r="648" spans="1:20">
      <c r="A648" t="s">
        <v>1103</v>
      </c>
      <c r="B648" t="s">
        <v>46</v>
      </c>
      <c r="C648" t="s">
        <v>16</v>
      </c>
      <c r="D648">
        <v>690</v>
      </c>
      <c r="E648" s="4">
        <v>46143</v>
      </c>
      <c r="F648" s="4">
        <v>46150</v>
      </c>
      <c r="G648" s="4">
        <v>46149</v>
      </c>
      <c r="H648">
        <v>693</v>
      </c>
      <c r="I648" t="s">
        <v>1104</v>
      </c>
      <c r="J648">
        <v>67</v>
      </c>
      <c r="K648" t="s">
        <v>1563</v>
      </c>
      <c r="L648" t="str">
        <f t="shared" si="90"/>
        <v>Y</v>
      </c>
      <c r="M648" t="str">
        <f t="shared" si="91"/>
        <v>Y</v>
      </c>
      <c r="N648" t="str">
        <f t="shared" si="92"/>
        <v>Y</v>
      </c>
      <c r="O648">
        <f t="shared" si="93"/>
        <v>6</v>
      </c>
      <c r="P648" s="6">
        <f t="shared" si="94"/>
        <v>1.0043478260869565</v>
      </c>
      <c r="Q648" s="6">
        <f t="shared" si="95"/>
        <v>9.6681096681096687E-2</v>
      </c>
      <c r="R648">
        <f t="shared" si="96"/>
        <v>1</v>
      </c>
      <c r="S648">
        <f t="shared" si="97"/>
        <v>0</v>
      </c>
      <c r="T648">
        <f t="shared" si="98"/>
        <v>0</v>
      </c>
    </row>
    <row r="649" spans="1:20">
      <c r="A649" t="s">
        <v>1105</v>
      </c>
      <c r="B649" t="s">
        <v>11</v>
      </c>
      <c r="C649" t="s">
        <v>23</v>
      </c>
      <c r="D649">
        <v>816</v>
      </c>
      <c r="E649" s="4">
        <v>46107</v>
      </c>
      <c r="F649" s="4">
        <v>46112</v>
      </c>
      <c r="G649" s="4">
        <v>46111</v>
      </c>
      <c r="H649">
        <v>808</v>
      </c>
      <c r="I649" t="s">
        <v>1106</v>
      </c>
      <c r="J649">
        <v>1</v>
      </c>
      <c r="K649" t="s">
        <v>1563</v>
      </c>
      <c r="L649" t="str">
        <f t="shared" si="90"/>
        <v>Y</v>
      </c>
      <c r="M649" t="str">
        <f t="shared" si="91"/>
        <v>Y</v>
      </c>
      <c r="N649" t="str">
        <f t="shared" si="92"/>
        <v>Y</v>
      </c>
      <c r="O649">
        <f t="shared" si="93"/>
        <v>4</v>
      </c>
      <c r="P649" s="6">
        <f t="shared" si="94"/>
        <v>0.99019607843137258</v>
      </c>
      <c r="Q649" s="6">
        <f t="shared" si="95"/>
        <v>1.2376237623762376E-3</v>
      </c>
      <c r="R649">
        <f t="shared" si="96"/>
        <v>1</v>
      </c>
      <c r="S649">
        <f t="shared" si="97"/>
        <v>0</v>
      </c>
      <c r="T649">
        <f t="shared" si="98"/>
        <v>0</v>
      </c>
    </row>
    <row r="650" spans="1:20">
      <c r="A650" t="s">
        <v>1107</v>
      </c>
      <c r="B650" t="s">
        <v>35</v>
      </c>
      <c r="C650" t="s">
        <v>16</v>
      </c>
      <c r="D650">
        <v>654</v>
      </c>
      <c r="E650" s="4">
        <v>46071</v>
      </c>
      <c r="F650" s="4">
        <v>46079</v>
      </c>
      <c r="G650" s="4">
        <v>46083</v>
      </c>
      <c r="H650">
        <v>666</v>
      </c>
      <c r="I650" t="s">
        <v>1108</v>
      </c>
      <c r="J650">
        <v>19</v>
      </c>
      <c r="K650" t="s">
        <v>1563</v>
      </c>
      <c r="L650" t="str">
        <f t="shared" si="90"/>
        <v>N</v>
      </c>
      <c r="M650" t="str">
        <f t="shared" si="91"/>
        <v>Y</v>
      </c>
      <c r="N650" t="str">
        <f t="shared" si="92"/>
        <v>N</v>
      </c>
      <c r="O650">
        <f t="shared" si="93"/>
        <v>12</v>
      </c>
      <c r="P650" s="6">
        <f t="shared" si="94"/>
        <v>1.0183486238532109</v>
      </c>
      <c r="Q650" s="6">
        <f t="shared" si="95"/>
        <v>2.8528528528528527E-2</v>
      </c>
      <c r="R650">
        <f t="shared" si="96"/>
        <v>0</v>
      </c>
      <c r="S650">
        <f t="shared" si="97"/>
        <v>4</v>
      </c>
      <c r="T650">
        <f t="shared" si="98"/>
        <v>2000</v>
      </c>
    </row>
    <row r="651" spans="1:20">
      <c r="A651" t="s">
        <v>1109</v>
      </c>
      <c r="B651" t="s">
        <v>19</v>
      </c>
      <c r="C651" t="s">
        <v>16</v>
      </c>
      <c r="D651">
        <v>199</v>
      </c>
      <c r="E651" s="4">
        <v>46077</v>
      </c>
      <c r="F651" s="4">
        <v>46091</v>
      </c>
      <c r="G651" s="4">
        <v>46091</v>
      </c>
      <c r="H651">
        <v>197</v>
      </c>
      <c r="I651" t="s">
        <v>272</v>
      </c>
      <c r="J651">
        <v>5</v>
      </c>
      <c r="K651" t="s">
        <v>1563</v>
      </c>
      <c r="L651" t="str">
        <f t="shared" si="90"/>
        <v>Y</v>
      </c>
      <c r="M651" t="str">
        <f t="shared" si="91"/>
        <v>Y</v>
      </c>
      <c r="N651" t="str">
        <f t="shared" si="92"/>
        <v>Y</v>
      </c>
      <c r="O651">
        <f t="shared" si="93"/>
        <v>14</v>
      </c>
      <c r="P651" s="6">
        <f t="shared" si="94"/>
        <v>0.98994974874371855</v>
      </c>
      <c r="Q651" s="6">
        <f t="shared" si="95"/>
        <v>2.5380710659898477E-2</v>
      </c>
      <c r="R651">
        <f t="shared" si="96"/>
        <v>1</v>
      </c>
      <c r="S651">
        <f t="shared" si="97"/>
        <v>0</v>
      </c>
      <c r="T651">
        <f t="shared" si="98"/>
        <v>0</v>
      </c>
    </row>
    <row r="652" spans="1:20">
      <c r="A652" t="s">
        <v>1110</v>
      </c>
      <c r="B652" t="s">
        <v>64</v>
      </c>
      <c r="C652" t="s">
        <v>12</v>
      </c>
      <c r="D652">
        <v>299</v>
      </c>
      <c r="E652" s="4">
        <v>46161</v>
      </c>
      <c r="F652" s="4">
        <v>46168</v>
      </c>
      <c r="G652" s="4">
        <v>46166</v>
      </c>
      <c r="H652">
        <v>278</v>
      </c>
      <c r="I652" t="s">
        <v>690</v>
      </c>
      <c r="J652">
        <v>10</v>
      </c>
      <c r="K652" t="s">
        <v>1563</v>
      </c>
      <c r="L652" t="str">
        <f t="shared" si="90"/>
        <v>Y</v>
      </c>
      <c r="M652" t="str">
        <f t="shared" si="91"/>
        <v>N</v>
      </c>
      <c r="N652" t="str">
        <f t="shared" si="92"/>
        <v>N</v>
      </c>
      <c r="O652">
        <f t="shared" si="93"/>
        <v>5</v>
      </c>
      <c r="P652" s="6">
        <f t="shared" si="94"/>
        <v>0.92976588628762546</v>
      </c>
      <c r="Q652" s="6">
        <f t="shared" si="95"/>
        <v>3.5971223021582732E-2</v>
      </c>
      <c r="R652">
        <f t="shared" si="96"/>
        <v>0</v>
      </c>
      <c r="S652">
        <f t="shared" si="97"/>
        <v>0</v>
      </c>
      <c r="T652">
        <f t="shared" si="98"/>
        <v>0</v>
      </c>
    </row>
    <row r="653" spans="1:20">
      <c r="A653" t="s">
        <v>1111</v>
      </c>
      <c r="B653" t="s">
        <v>26</v>
      </c>
      <c r="C653" t="s">
        <v>12</v>
      </c>
      <c r="D653">
        <v>597</v>
      </c>
      <c r="E653" s="4">
        <v>46118</v>
      </c>
      <c r="F653" s="4">
        <v>46125</v>
      </c>
      <c r="G653" s="4">
        <v>46123</v>
      </c>
      <c r="H653">
        <v>597</v>
      </c>
      <c r="I653" t="s">
        <v>310</v>
      </c>
      <c r="J653">
        <v>8</v>
      </c>
      <c r="K653" t="s">
        <v>1563</v>
      </c>
      <c r="L653" t="str">
        <f t="shared" si="90"/>
        <v>Y</v>
      </c>
      <c r="M653" t="str">
        <f t="shared" si="91"/>
        <v>Y</v>
      </c>
      <c r="N653" t="str">
        <f t="shared" si="92"/>
        <v>Y</v>
      </c>
      <c r="O653">
        <f t="shared" si="93"/>
        <v>5</v>
      </c>
      <c r="P653" s="6">
        <f t="shared" si="94"/>
        <v>1</v>
      </c>
      <c r="Q653" s="6">
        <f t="shared" si="95"/>
        <v>1.340033500837521E-2</v>
      </c>
      <c r="R653">
        <f t="shared" si="96"/>
        <v>1</v>
      </c>
      <c r="S653">
        <f t="shared" si="97"/>
        <v>0</v>
      </c>
      <c r="T653">
        <f t="shared" si="98"/>
        <v>0</v>
      </c>
    </row>
    <row r="654" spans="1:20">
      <c r="A654" t="s">
        <v>1112</v>
      </c>
      <c r="B654" t="s">
        <v>26</v>
      </c>
      <c r="C654" t="s">
        <v>12</v>
      </c>
      <c r="D654">
        <v>486</v>
      </c>
      <c r="E654" s="4">
        <v>46121</v>
      </c>
      <c r="F654" s="4">
        <v>46128</v>
      </c>
      <c r="G654" s="4">
        <v>46125</v>
      </c>
      <c r="H654">
        <v>451</v>
      </c>
      <c r="I654" t="s">
        <v>187</v>
      </c>
      <c r="J654">
        <v>11</v>
      </c>
      <c r="K654" t="s">
        <v>1563</v>
      </c>
      <c r="L654" t="str">
        <f t="shared" si="90"/>
        <v>Y</v>
      </c>
      <c r="M654" t="str">
        <f t="shared" si="91"/>
        <v>N</v>
      </c>
      <c r="N654" t="str">
        <f t="shared" si="92"/>
        <v>N</v>
      </c>
      <c r="O654">
        <f t="shared" si="93"/>
        <v>4</v>
      </c>
      <c r="P654" s="6">
        <f t="shared" si="94"/>
        <v>0.92798353909465026</v>
      </c>
      <c r="Q654" s="6">
        <f t="shared" si="95"/>
        <v>2.4390243902439025E-2</v>
      </c>
      <c r="R654">
        <f t="shared" si="96"/>
        <v>0</v>
      </c>
      <c r="S654">
        <f t="shared" si="97"/>
        <v>0</v>
      </c>
      <c r="T654">
        <f t="shared" si="98"/>
        <v>0</v>
      </c>
    </row>
    <row r="655" spans="1:20">
      <c r="A655" t="s">
        <v>1113</v>
      </c>
      <c r="B655" t="s">
        <v>49</v>
      </c>
      <c r="C655" t="s">
        <v>12</v>
      </c>
      <c r="D655">
        <v>353</v>
      </c>
      <c r="E655" s="4">
        <v>46100</v>
      </c>
      <c r="F655" s="4">
        <v>46105</v>
      </c>
      <c r="G655" s="4">
        <v>46105</v>
      </c>
      <c r="H655">
        <v>351</v>
      </c>
      <c r="I655" t="s">
        <v>115</v>
      </c>
      <c r="J655">
        <v>2</v>
      </c>
      <c r="K655" t="s">
        <v>1563</v>
      </c>
      <c r="L655" t="str">
        <f t="shared" si="90"/>
        <v>Y</v>
      </c>
      <c r="M655" t="str">
        <f t="shared" si="91"/>
        <v>Y</v>
      </c>
      <c r="N655" t="str">
        <f t="shared" si="92"/>
        <v>Y</v>
      </c>
      <c r="O655">
        <f t="shared" si="93"/>
        <v>5</v>
      </c>
      <c r="P655" s="6">
        <f t="shared" si="94"/>
        <v>0.99433427762039661</v>
      </c>
      <c r="Q655" s="6">
        <f t="shared" si="95"/>
        <v>5.6980056980056983E-3</v>
      </c>
      <c r="R655">
        <f t="shared" si="96"/>
        <v>1</v>
      </c>
      <c r="S655">
        <f t="shared" si="97"/>
        <v>0</v>
      </c>
      <c r="T655">
        <f t="shared" si="98"/>
        <v>0</v>
      </c>
    </row>
    <row r="656" spans="1:20">
      <c r="A656" t="s">
        <v>1114</v>
      </c>
      <c r="B656" t="s">
        <v>46</v>
      </c>
      <c r="C656" t="s">
        <v>16</v>
      </c>
      <c r="D656">
        <v>774</v>
      </c>
      <c r="E656" s="4">
        <v>46129</v>
      </c>
      <c r="F656" s="4">
        <v>46139</v>
      </c>
      <c r="G656" s="4">
        <v>46137</v>
      </c>
      <c r="H656">
        <v>765</v>
      </c>
      <c r="I656" t="s">
        <v>1115</v>
      </c>
      <c r="J656">
        <v>61</v>
      </c>
      <c r="K656" t="s">
        <v>1563</v>
      </c>
      <c r="L656" t="str">
        <f t="shared" si="90"/>
        <v>Y</v>
      </c>
      <c r="M656" t="str">
        <f t="shared" si="91"/>
        <v>Y</v>
      </c>
      <c r="N656" t="str">
        <f t="shared" si="92"/>
        <v>Y</v>
      </c>
      <c r="O656">
        <f t="shared" si="93"/>
        <v>8</v>
      </c>
      <c r="P656" s="6">
        <f t="shared" si="94"/>
        <v>0.98837209302325579</v>
      </c>
      <c r="Q656" s="6">
        <f t="shared" si="95"/>
        <v>7.9738562091503262E-2</v>
      </c>
      <c r="R656">
        <f t="shared" si="96"/>
        <v>1</v>
      </c>
      <c r="S656">
        <f t="shared" si="97"/>
        <v>0</v>
      </c>
      <c r="T656">
        <f t="shared" si="98"/>
        <v>0</v>
      </c>
    </row>
    <row r="657" spans="1:20">
      <c r="A657" t="s">
        <v>1116</v>
      </c>
      <c r="B657" t="s">
        <v>81</v>
      </c>
      <c r="C657" t="s">
        <v>12</v>
      </c>
      <c r="D657">
        <v>485</v>
      </c>
      <c r="E657" s="4">
        <v>46118</v>
      </c>
      <c r="F657" s="4">
        <v>46126</v>
      </c>
      <c r="G657" s="4">
        <v>46125</v>
      </c>
      <c r="H657">
        <v>494</v>
      </c>
      <c r="I657" t="s">
        <v>1117</v>
      </c>
      <c r="J657">
        <v>5</v>
      </c>
      <c r="K657" t="s">
        <v>1563</v>
      </c>
      <c r="L657" t="str">
        <f t="shared" si="90"/>
        <v>Y</v>
      </c>
      <c r="M657" t="str">
        <f t="shared" si="91"/>
        <v>Y</v>
      </c>
      <c r="N657" t="str">
        <f t="shared" si="92"/>
        <v>Y</v>
      </c>
      <c r="O657">
        <f t="shared" si="93"/>
        <v>7</v>
      </c>
      <c r="P657" s="6">
        <f t="shared" si="94"/>
        <v>1.0185567010309278</v>
      </c>
      <c r="Q657" s="6">
        <f t="shared" si="95"/>
        <v>1.0121457489878543E-2</v>
      </c>
      <c r="R657">
        <f t="shared" si="96"/>
        <v>1</v>
      </c>
      <c r="S657">
        <f t="shared" si="97"/>
        <v>0</v>
      </c>
      <c r="T657">
        <f t="shared" si="98"/>
        <v>0</v>
      </c>
    </row>
    <row r="658" spans="1:20">
      <c r="A658" t="s">
        <v>1118</v>
      </c>
      <c r="B658" t="s">
        <v>43</v>
      </c>
      <c r="C658" t="s">
        <v>12</v>
      </c>
      <c r="D658">
        <v>627</v>
      </c>
      <c r="E658" s="4">
        <v>46081</v>
      </c>
      <c r="F658" s="4">
        <v>46090</v>
      </c>
      <c r="G658" s="4">
        <v>46087</v>
      </c>
      <c r="H658">
        <v>638</v>
      </c>
      <c r="I658" t="s">
        <v>1119</v>
      </c>
      <c r="J658">
        <v>40</v>
      </c>
      <c r="K658" t="s">
        <v>1563</v>
      </c>
      <c r="L658" t="str">
        <f t="shared" si="90"/>
        <v>Y</v>
      </c>
      <c r="M658" t="str">
        <f t="shared" si="91"/>
        <v>Y</v>
      </c>
      <c r="N658" t="str">
        <f t="shared" si="92"/>
        <v>Y</v>
      </c>
      <c r="O658">
        <f t="shared" si="93"/>
        <v>6</v>
      </c>
      <c r="P658" s="6">
        <f t="shared" si="94"/>
        <v>1.0175438596491229</v>
      </c>
      <c r="Q658" s="6">
        <f t="shared" si="95"/>
        <v>6.2695924764890276E-2</v>
      </c>
      <c r="R658">
        <f t="shared" si="96"/>
        <v>1</v>
      </c>
      <c r="S658">
        <f t="shared" si="97"/>
        <v>0</v>
      </c>
      <c r="T658">
        <f t="shared" si="98"/>
        <v>0</v>
      </c>
    </row>
    <row r="659" spans="1:20">
      <c r="A659" t="s">
        <v>1120</v>
      </c>
      <c r="B659" t="s">
        <v>64</v>
      </c>
      <c r="C659" t="s">
        <v>12</v>
      </c>
      <c r="D659">
        <v>265</v>
      </c>
      <c r="E659" s="4">
        <v>46165</v>
      </c>
      <c r="F659" s="4">
        <v>46171</v>
      </c>
      <c r="G659" s="4">
        <v>46168</v>
      </c>
      <c r="H659">
        <v>267</v>
      </c>
      <c r="I659" t="s">
        <v>305</v>
      </c>
      <c r="J659">
        <v>6</v>
      </c>
      <c r="K659" t="s">
        <v>1563</v>
      </c>
      <c r="L659" t="str">
        <f t="shared" si="90"/>
        <v>Y</v>
      </c>
      <c r="M659" t="str">
        <f t="shared" si="91"/>
        <v>Y</v>
      </c>
      <c r="N659" t="str">
        <f t="shared" si="92"/>
        <v>Y</v>
      </c>
      <c r="O659">
        <f t="shared" si="93"/>
        <v>3</v>
      </c>
      <c r="P659" s="6">
        <f t="shared" si="94"/>
        <v>1.0075471698113208</v>
      </c>
      <c r="Q659" s="6">
        <f t="shared" si="95"/>
        <v>2.247191011235955E-2</v>
      </c>
      <c r="R659">
        <f t="shared" si="96"/>
        <v>1</v>
      </c>
      <c r="S659">
        <f t="shared" si="97"/>
        <v>0</v>
      </c>
      <c r="T659">
        <f t="shared" si="98"/>
        <v>0</v>
      </c>
    </row>
    <row r="660" spans="1:20">
      <c r="A660" t="s">
        <v>1121</v>
      </c>
      <c r="B660" t="s">
        <v>43</v>
      </c>
      <c r="C660" t="s">
        <v>12</v>
      </c>
      <c r="D660">
        <v>791</v>
      </c>
      <c r="E660" s="4">
        <v>46122</v>
      </c>
      <c r="F660" s="4">
        <v>46132</v>
      </c>
      <c r="G660" s="4">
        <v>46130</v>
      </c>
      <c r="H660">
        <v>787</v>
      </c>
      <c r="I660" t="s">
        <v>478</v>
      </c>
      <c r="J660">
        <v>45</v>
      </c>
      <c r="K660" t="s">
        <v>1563</v>
      </c>
      <c r="L660" t="str">
        <f t="shared" si="90"/>
        <v>Y</v>
      </c>
      <c r="M660" t="str">
        <f t="shared" si="91"/>
        <v>Y</v>
      </c>
      <c r="N660" t="str">
        <f t="shared" si="92"/>
        <v>Y</v>
      </c>
      <c r="O660">
        <f t="shared" si="93"/>
        <v>8</v>
      </c>
      <c r="P660" s="6">
        <f t="shared" si="94"/>
        <v>0.9949431099873578</v>
      </c>
      <c r="Q660" s="6">
        <f t="shared" si="95"/>
        <v>5.7179161372299871E-2</v>
      </c>
      <c r="R660">
        <f t="shared" si="96"/>
        <v>1</v>
      </c>
      <c r="S660">
        <f t="shared" si="97"/>
        <v>0</v>
      </c>
      <c r="T660">
        <f t="shared" si="98"/>
        <v>0</v>
      </c>
    </row>
    <row r="661" spans="1:20">
      <c r="A661" t="s">
        <v>1123</v>
      </c>
      <c r="B661" t="s">
        <v>11</v>
      </c>
      <c r="C661" t="s">
        <v>23</v>
      </c>
      <c r="D661">
        <v>593</v>
      </c>
      <c r="E661" s="4">
        <v>46175</v>
      </c>
      <c r="F661" s="4">
        <v>46190</v>
      </c>
      <c r="G661" s="4">
        <v>46188</v>
      </c>
      <c r="H661">
        <v>586</v>
      </c>
      <c r="I661" t="s">
        <v>1124</v>
      </c>
      <c r="J661">
        <v>11</v>
      </c>
      <c r="K661" t="s">
        <v>1563</v>
      </c>
      <c r="L661" t="str">
        <f t="shared" si="90"/>
        <v>Y</v>
      </c>
      <c r="M661" t="str">
        <f t="shared" si="91"/>
        <v>Y</v>
      </c>
      <c r="N661" t="str">
        <f t="shared" si="92"/>
        <v>Y</v>
      </c>
      <c r="O661">
        <f t="shared" si="93"/>
        <v>13</v>
      </c>
      <c r="P661" s="6">
        <f t="shared" si="94"/>
        <v>0.98819561551433388</v>
      </c>
      <c r="Q661" s="6">
        <f t="shared" si="95"/>
        <v>1.877133105802048E-2</v>
      </c>
      <c r="R661">
        <f t="shared" si="96"/>
        <v>1</v>
      </c>
      <c r="S661">
        <f t="shared" si="97"/>
        <v>0</v>
      </c>
      <c r="T661">
        <f t="shared" si="98"/>
        <v>0</v>
      </c>
    </row>
    <row r="662" spans="1:20">
      <c r="A662" t="s">
        <v>1125</v>
      </c>
      <c r="B662" t="s">
        <v>43</v>
      </c>
      <c r="C662" t="s">
        <v>16</v>
      </c>
      <c r="D662">
        <v>783</v>
      </c>
      <c r="E662" s="4">
        <v>46143</v>
      </c>
      <c r="F662" s="4">
        <v>46151</v>
      </c>
      <c r="G662" s="4">
        <v>46148</v>
      </c>
      <c r="H662">
        <v>778</v>
      </c>
      <c r="I662" t="s">
        <v>164</v>
      </c>
      <c r="J662">
        <v>24</v>
      </c>
      <c r="K662" t="s">
        <v>1563</v>
      </c>
      <c r="L662" t="str">
        <f t="shared" si="90"/>
        <v>Y</v>
      </c>
      <c r="M662" t="str">
        <f t="shared" si="91"/>
        <v>Y</v>
      </c>
      <c r="N662" t="str">
        <f t="shared" si="92"/>
        <v>Y</v>
      </c>
      <c r="O662">
        <f t="shared" si="93"/>
        <v>5</v>
      </c>
      <c r="P662" s="6">
        <f t="shared" si="94"/>
        <v>0.99361430395913153</v>
      </c>
      <c r="Q662" s="6">
        <f t="shared" si="95"/>
        <v>3.0848329048843187E-2</v>
      </c>
      <c r="R662">
        <f t="shared" si="96"/>
        <v>1</v>
      </c>
      <c r="S662">
        <f t="shared" si="97"/>
        <v>0</v>
      </c>
      <c r="T662">
        <f t="shared" si="98"/>
        <v>0</v>
      </c>
    </row>
    <row r="663" spans="1:20">
      <c r="A663" t="s">
        <v>1126</v>
      </c>
      <c r="B663" t="s">
        <v>81</v>
      </c>
      <c r="C663" t="s">
        <v>16</v>
      </c>
      <c r="D663">
        <v>132</v>
      </c>
      <c r="E663" s="4">
        <v>46121</v>
      </c>
      <c r="F663" s="4">
        <v>46134</v>
      </c>
      <c r="G663" s="4">
        <v>46141</v>
      </c>
      <c r="H663">
        <v>116</v>
      </c>
      <c r="I663" t="s">
        <v>1564</v>
      </c>
      <c r="J663">
        <v>0</v>
      </c>
      <c r="K663" t="s">
        <v>1563</v>
      </c>
      <c r="L663" t="str">
        <f t="shared" si="90"/>
        <v>N</v>
      </c>
      <c r="M663" t="str">
        <f t="shared" si="91"/>
        <v>N</v>
      </c>
      <c r="N663" t="str">
        <f t="shared" si="92"/>
        <v>N</v>
      </c>
      <c r="O663">
        <f t="shared" si="93"/>
        <v>20</v>
      </c>
      <c r="P663" s="6">
        <f t="shared" si="94"/>
        <v>0.87878787878787878</v>
      </c>
      <c r="Q663" s="6">
        <f t="shared" si="95"/>
        <v>0</v>
      </c>
      <c r="R663">
        <f t="shared" si="96"/>
        <v>0</v>
      </c>
      <c r="S663">
        <f t="shared" si="97"/>
        <v>7</v>
      </c>
      <c r="T663">
        <f t="shared" si="98"/>
        <v>3500</v>
      </c>
    </row>
    <row r="664" spans="1:20">
      <c r="A664" t="s">
        <v>1127</v>
      </c>
      <c r="B664" t="s">
        <v>120</v>
      </c>
      <c r="C664" t="s">
        <v>12</v>
      </c>
      <c r="D664">
        <v>157</v>
      </c>
      <c r="E664" s="4">
        <v>46109</v>
      </c>
      <c r="F664" s="4">
        <v>46124</v>
      </c>
      <c r="G664" s="4">
        <v>46124</v>
      </c>
      <c r="H664">
        <v>141</v>
      </c>
      <c r="I664" t="s">
        <v>864</v>
      </c>
      <c r="J664">
        <v>6</v>
      </c>
      <c r="K664" t="s">
        <v>1563</v>
      </c>
      <c r="L664" t="str">
        <f t="shared" si="90"/>
        <v>Y</v>
      </c>
      <c r="M664" t="str">
        <f t="shared" si="91"/>
        <v>N</v>
      </c>
      <c r="N664" t="str">
        <f t="shared" si="92"/>
        <v>N</v>
      </c>
      <c r="O664">
        <f t="shared" si="93"/>
        <v>15</v>
      </c>
      <c r="P664" s="6">
        <f t="shared" si="94"/>
        <v>0.89808917197452232</v>
      </c>
      <c r="Q664" s="6">
        <f t="shared" si="95"/>
        <v>4.2553191489361701E-2</v>
      </c>
      <c r="R664">
        <f t="shared" si="96"/>
        <v>0</v>
      </c>
      <c r="S664">
        <f t="shared" si="97"/>
        <v>0</v>
      </c>
      <c r="T664">
        <f t="shared" si="98"/>
        <v>0</v>
      </c>
    </row>
    <row r="665" spans="1:20">
      <c r="A665" t="s">
        <v>1128</v>
      </c>
      <c r="B665" t="s">
        <v>43</v>
      </c>
      <c r="C665" t="s">
        <v>23</v>
      </c>
      <c r="D665">
        <v>222</v>
      </c>
      <c r="E665" s="4">
        <v>46151</v>
      </c>
      <c r="F665" s="4">
        <v>46159</v>
      </c>
      <c r="G665" s="4">
        <v>46156</v>
      </c>
      <c r="H665">
        <v>219</v>
      </c>
      <c r="I665" t="s">
        <v>748</v>
      </c>
      <c r="J665">
        <v>11</v>
      </c>
      <c r="K665" t="s">
        <v>1563</v>
      </c>
      <c r="L665" t="str">
        <f t="shared" si="90"/>
        <v>Y</v>
      </c>
      <c r="M665" t="str">
        <f t="shared" si="91"/>
        <v>Y</v>
      </c>
      <c r="N665" t="str">
        <f t="shared" si="92"/>
        <v>Y</v>
      </c>
      <c r="O665">
        <f t="shared" si="93"/>
        <v>5</v>
      </c>
      <c r="P665" s="6">
        <f t="shared" si="94"/>
        <v>0.98648648648648651</v>
      </c>
      <c r="Q665" s="6">
        <f t="shared" si="95"/>
        <v>5.0228310502283102E-2</v>
      </c>
      <c r="R665">
        <f t="shared" si="96"/>
        <v>1</v>
      </c>
      <c r="S665">
        <f t="shared" si="97"/>
        <v>0</v>
      </c>
      <c r="T665">
        <f t="shared" si="98"/>
        <v>0</v>
      </c>
    </row>
    <row r="666" spans="1:20">
      <c r="A666" t="s">
        <v>1129</v>
      </c>
      <c r="B666" t="s">
        <v>11</v>
      </c>
      <c r="C666" t="s">
        <v>12</v>
      </c>
      <c r="D666">
        <v>568</v>
      </c>
      <c r="E666" s="4">
        <v>46038</v>
      </c>
      <c r="F666" s="4">
        <v>46053</v>
      </c>
      <c r="G666" s="4"/>
      <c r="I666" t="s">
        <v>970</v>
      </c>
      <c r="K666" t="s">
        <v>1565</v>
      </c>
      <c r="L666" t="str">
        <f t="shared" si="90"/>
        <v>N/A</v>
      </c>
      <c r="M666" t="str">
        <f t="shared" si="91"/>
        <v>N/A</v>
      </c>
      <c r="N666" t="str">
        <f t="shared" si="92"/>
        <v>N/A</v>
      </c>
      <c r="O666" t="str">
        <f t="shared" si="93"/>
        <v>N/A</v>
      </c>
      <c r="P666" s="6" t="str">
        <f t="shared" si="94"/>
        <v>N/A</v>
      </c>
      <c r="Q666" s="6" t="str">
        <f t="shared" si="95"/>
        <v>N/A</v>
      </c>
      <c r="R666" t="str">
        <f t="shared" si="96"/>
        <v/>
      </c>
      <c r="S666" t="str">
        <f t="shared" si="97"/>
        <v>N/A</v>
      </c>
      <c r="T666">
        <f t="shared" si="98"/>
        <v>0</v>
      </c>
    </row>
    <row r="667" spans="1:20">
      <c r="A667" t="s">
        <v>1130</v>
      </c>
      <c r="B667" t="s">
        <v>11</v>
      </c>
      <c r="C667" t="s">
        <v>12</v>
      </c>
      <c r="D667">
        <v>759</v>
      </c>
      <c r="E667" s="4">
        <v>46095</v>
      </c>
      <c r="F667" s="4">
        <v>46106</v>
      </c>
      <c r="G667" s="4">
        <v>46104</v>
      </c>
      <c r="H667">
        <v>771</v>
      </c>
      <c r="I667" t="s">
        <v>376</v>
      </c>
      <c r="J667">
        <v>11</v>
      </c>
      <c r="K667" t="s">
        <v>1563</v>
      </c>
      <c r="L667" t="str">
        <f t="shared" si="90"/>
        <v>Y</v>
      </c>
      <c r="M667" t="str">
        <f t="shared" si="91"/>
        <v>Y</v>
      </c>
      <c r="N667" t="str">
        <f t="shared" si="92"/>
        <v>Y</v>
      </c>
      <c r="O667">
        <f t="shared" si="93"/>
        <v>9</v>
      </c>
      <c r="P667" s="6">
        <f t="shared" si="94"/>
        <v>1.0158102766798418</v>
      </c>
      <c r="Q667" s="6">
        <f t="shared" si="95"/>
        <v>1.4267185473411154E-2</v>
      </c>
      <c r="R667">
        <f t="shared" si="96"/>
        <v>1</v>
      </c>
      <c r="S667">
        <f t="shared" si="97"/>
        <v>0</v>
      </c>
      <c r="T667">
        <f t="shared" si="98"/>
        <v>0</v>
      </c>
    </row>
    <row r="668" spans="1:20">
      <c r="A668" t="s">
        <v>1131</v>
      </c>
      <c r="B668" t="s">
        <v>52</v>
      </c>
      <c r="C668" t="s">
        <v>12</v>
      </c>
      <c r="D668">
        <v>130</v>
      </c>
      <c r="E668" s="4">
        <v>46105</v>
      </c>
      <c r="F668" s="4">
        <v>46119</v>
      </c>
      <c r="G668" s="4">
        <v>46117</v>
      </c>
      <c r="H668">
        <v>130</v>
      </c>
      <c r="I668" t="s">
        <v>1058</v>
      </c>
      <c r="J668">
        <v>2</v>
      </c>
      <c r="K668" t="s">
        <v>1563</v>
      </c>
      <c r="L668" t="str">
        <f t="shared" si="90"/>
        <v>Y</v>
      </c>
      <c r="M668" t="str">
        <f t="shared" si="91"/>
        <v>Y</v>
      </c>
      <c r="N668" t="str">
        <f t="shared" si="92"/>
        <v>Y</v>
      </c>
      <c r="O668">
        <f t="shared" si="93"/>
        <v>12</v>
      </c>
      <c r="P668" s="6">
        <f t="shared" si="94"/>
        <v>1</v>
      </c>
      <c r="Q668" s="6">
        <f t="shared" si="95"/>
        <v>1.5384615384615385E-2</v>
      </c>
      <c r="R668">
        <f t="shared" si="96"/>
        <v>1</v>
      </c>
      <c r="S668">
        <f t="shared" si="97"/>
        <v>0</v>
      </c>
      <c r="T668">
        <f t="shared" si="98"/>
        <v>0</v>
      </c>
    </row>
    <row r="669" spans="1:20">
      <c r="A669" t="s">
        <v>1132</v>
      </c>
      <c r="B669" t="s">
        <v>52</v>
      </c>
      <c r="C669" t="s">
        <v>16</v>
      </c>
      <c r="D669">
        <v>216</v>
      </c>
      <c r="E669" s="4">
        <v>46115</v>
      </c>
      <c r="F669" s="4">
        <v>46120</v>
      </c>
      <c r="G669" s="4">
        <v>46118</v>
      </c>
      <c r="H669">
        <v>216</v>
      </c>
      <c r="I669" t="s">
        <v>158</v>
      </c>
      <c r="J669">
        <v>4</v>
      </c>
      <c r="K669" t="s">
        <v>1563</v>
      </c>
      <c r="L669" t="str">
        <f t="shared" si="90"/>
        <v>Y</v>
      </c>
      <c r="M669" t="str">
        <f t="shared" si="91"/>
        <v>Y</v>
      </c>
      <c r="N669" t="str">
        <f t="shared" si="92"/>
        <v>Y</v>
      </c>
      <c r="O669">
        <f t="shared" si="93"/>
        <v>3</v>
      </c>
      <c r="P669" s="6">
        <f t="shared" si="94"/>
        <v>1</v>
      </c>
      <c r="Q669" s="6">
        <f t="shared" si="95"/>
        <v>1.8518518518518517E-2</v>
      </c>
      <c r="R669">
        <f t="shared" si="96"/>
        <v>1</v>
      </c>
      <c r="S669">
        <f t="shared" si="97"/>
        <v>0</v>
      </c>
      <c r="T669">
        <f t="shared" si="98"/>
        <v>0</v>
      </c>
    </row>
    <row r="670" spans="1:20">
      <c r="A670" t="s">
        <v>1133</v>
      </c>
      <c r="B670" t="s">
        <v>40</v>
      </c>
      <c r="C670" t="s">
        <v>23</v>
      </c>
      <c r="D670">
        <v>178</v>
      </c>
      <c r="E670" s="4">
        <v>46138</v>
      </c>
      <c r="F670" s="4">
        <v>46151</v>
      </c>
      <c r="G670" s="4">
        <v>46149</v>
      </c>
      <c r="H670">
        <v>178</v>
      </c>
      <c r="I670" t="s">
        <v>219</v>
      </c>
      <c r="J670">
        <v>12</v>
      </c>
      <c r="K670" t="s">
        <v>1563</v>
      </c>
      <c r="L670" t="str">
        <f t="shared" si="90"/>
        <v>Y</v>
      </c>
      <c r="M670" t="str">
        <f t="shared" si="91"/>
        <v>Y</v>
      </c>
      <c r="N670" t="str">
        <f t="shared" si="92"/>
        <v>Y</v>
      </c>
      <c r="O670">
        <f t="shared" si="93"/>
        <v>11</v>
      </c>
      <c r="P670" s="6">
        <f t="shared" si="94"/>
        <v>1</v>
      </c>
      <c r="Q670" s="6">
        <f t="shared" si="95"/>
        <v>6.741573033707865E-2</v>
      </c>
      <c r="R670">
        <f t="shared" si="96"/>
        <v>1</v>
      </c>
      <c r="S670">
        <f t="shared" si="97"/>
        <v>0</v>
      </c>
      <c r="T670">
        <f t="shared" si="98"/>
        <v>0</v>
      </c>
    </row>
    <row r="671" spans="1:20">
      <c r="A671" t="s">
        <v>1134</v>
      </c>
      <c r="B671" t="s">
        <v>54</v>
      </c>
      <c r="C671" t="s">
        <v>16</v>
      </c>
      <c r="D671">
        <v>235</v>
      </c>
      <c r="E671" s="4">
        <v>46055</v>
      </c>
      <c r="F671" s="4">
        <v>46064</v>
      </c>
      <c r="G671" s="4">
        <v>46071</v>
      </c>
      <c r="H671">
        <v>231</v>
      </c>
      <c r="I671" t="s">
        <v>283</v>
      </c>
      <c r="J671">
        <v>0</v>
      </c>
      <c r="K671" t="s">
        <v>1563</v>
      </c>
      <c r="L671" t="str">
        <f t="shared" si="90"/>
        <v>N</v>
      </c>
      <c r="M671" t="str">
        <f t="shared" si="91"/>
        <v>Y</v>
      </c>
      <c r="N671" t="str">
        <f t="shared" si="92"/>
        <v>N</v>
      </c>
      <c r="O671">
        <f t="shared" si="93"/>
        <v>16</v>
      </c>
      <c r="P671" s="6">
        <f t="shared" si="94"/>
        <v>0.98297872340425529</v>
      </c>
      <c r="Q671" s="6">
        <f t="shared" si="95"/>
        <v>0</v>
      </c>
      <c r="R671">
        <f t="shared" si="96"/>
        <v>0</v>
      </c>
      <c r="S671">
        <f t="shared" si="97"/>
        <v>7</v>
      </c>
      <c r="T671">
        <f t="shared" si="98"/>
        <v>3500</v>
      </c>
    </row>
    <row r="672" spans="1:20">
      <c r="A672" t="s">
        <v>1136</v>
      </c>
      <c r="B672" t="s">
        <v>26</v>
      </c>
      <c r="C672" t="s">
        <v>16</v>
      </c>
      <c r="D672">
        <v>497</v>
      </c>
      <c r="E672" s="4">
        <v>46123</v>
      </c>
      <c r="F672" s="4">
        <v>46135</v>
      </c>
      <c r="G672" s="4">
        <v>46135</v>
      </c>
      <c r="H672">
        <v>504</v>
      </c>
      <c r="I672" t="s">
        <v>810</v>
      </c>
      <c r="J672">
        <v>14</v>
      </c>
      <c r="K672" t="s">
        <v>1563</v>
      </c>
      <c r="L672" t="str">
        <f t="shared" si="90"/>
        <v>Y</v>
      </c>
      <c r="M672" t="str">
        <f t="shared" si="91"/>
        <v>Y</v>
      </c>
      <c r="N672" t="str">
        <f t="shared" si="92"/>
        <v>Y</v>
      </c>
      <c r="O672">
        <f t="shared" si="93"/>
        <v>12</v>
      </c>
      <c r="P672" s="6">
        <f t="shared" si="94"/>
        <v>1.0140845070422535</v>
      </c>
      <c r="Q672" s="6">
        <f t="shared" si="95"/>
        <v>2.7777777777777776E-2</v>
      </c>
      <c r="R672">
        <f t="shared" si="96"/>
        <v>1</v>
      </c>
      <c r="S672">
        <f t="shared" si="97"/>
        <v>0</v>
      </c>
      <c r="T672">
        <f t="shared" si="98"/>
        <v>0</v>
      </c>
    </row>
    <row r="673" spans="1:20">
      <c r="A673" t="s">
        <v>1137</v>
      </c>
      <c r="B673" t="s">
        <v>11</v>
      </c>
      <c r="C673" t="s">
        <v>16</v>
      </c>
      <c r="D673">
        <v>254</v>
      </c>
      <c r="E673" s="4">
        <v>46104</v>
      </c>
      <c r="F673" s="4">
        <v>46111</v>
      </c>
      <c r="G673" s="4">
        <v>46109</v>
      </c>
      <c r="H673">
        <v>253</v>
      </c>
      <c r="I673" t="s">
        <v>813</v>
      </c>
      <c r="J673">
        <v>6</v>
      </c>
      <c r="K673" t="s">
        <v>1563</v>
      </c>
      <c r="L673" t="str">
        <f t="shared" si="90"/>
        <v>Y</v>
      </c>
      <c r="M673" t="str">
        <f t="shared" si="91"/>
        <v>Y</v>
      </c>
      <c r="N673" t="str">
        <f t="shared" si="92"/>
        <v>Y</v>
      </c>
      <c r="O673">
        <f t="shared" si="93"/>
        <v>5</v>
      </c>
      <c r="P673" s="6">
        <f t="shared" si="94"/>
        <v>0.99606299212598426</v>
      </c>
      <c r="Q673" s="6">
        <f t="shared" si="95"/>
        <v>2.3715415019762844E-2</v>
      </c>
      <c r="R673">
        <f t="shared" si="96"/>
        <v>1</v>
      </c>
      <c r="S673">
        <f t="shared" si="97"/>
        <v>0</v>
      </c>
      <c r="T673">
        <f t="shared" si="98"/>
        <v>0</v>
      </c>
    </row>
    <row r="674" spans="1:20">
      <c r="A674" t="s">
        <v>1138</v>
      </c>
      <c r="B674" t="s">
        <v>81</v>
      </c>
      <c r="C674" t="s">
        <v>16</v>
      </c>
      <c r="D674">
        <v>99</v>
      </c>
      <c r="E674" s="4">
        <v>46103</v>
      </c>
      <c r="F674" s="4">
        <v>46116</v>
      </c>
      <c r="G674" s="4">
        <v>46116</v>
      </c>
      <c r="H674">
        <v>89</v>
      </c>
      <c r="I674" t="s">
        <v>90</v>
      </c>
      <c r="J674">
        <v>1</v>
      </c>
      <c r="K674" t="s">
        <v>1563</v>
      </c>
      <c r="L674" t="str">
        <f t="shared" si="90"/>
        <v>Y</v>
      </c>
      <c r="M674" t="str">
        <f t="shared" si="91"/>
        <v>N</v>
      </c>
      <c r="N674" t="str">
        <f t="shared" si="92"/>
        <v>N</v>
      </c>
      <c r="O674">
        <f t="shared" si="93"/>
        <v>13</v>
      </c>
      <c r="P674" s="6">
        <f t="shared" si="94"/>
        <v>0.89898989898989901</v>
      </c>
      <c r="Q674" s="6">
        <f t="shared" si="95"/>
        <v>1.1235955056179775E-2</v>
      </c>
      <c r="R674">
        <f t="shared" si="96"/>
        <v>0</v>
      </c>
      <c r="S674">
        <f t="shared" si="97"/>
        <v>0</v>
      </c>
      <c r="T674">
        <f t="shared" si="98"/>
        <v>0</v>
      </c>
    </row>
    <row r="675" spans="1:20">
      <c r="A675" t="s">
        <v>1139</v>
      </c>
      <c r="B675" t="s">
        <v>120</v>
      </c>
      <c r="C675" t="s">
        <v>23</v>
      </c>
      <c r="D675">
        <v>603</v>
      </c>
      <c r="E675" s="4">
        <v>46128</v>
      </c>
      <c r="F675" s="4">
        <v>46134</v>
      </c>
      <c r="G675" s="4">
        <v>46134</v>
      </c>
      <c r="H675">
        <v>614</v>
      </c>
      <c r="I675" t="s">
        <v>1140</v>
      </c>
      <c r="J675">
        <v>31</v>
      </c>
      <c r="K675" t="s">
        <v>1563</v>
      </c>
      <c r="L675" t="str">
        <f t="shared" si="90"/>
        <v>Y</v>
      </c>
      <c r="M675" t="str">
        <f t="shared" si="91"/>
        <v>Y</v>
      </c>
      <c r="N675" t="str">
        <f t="shared" si="92"/>
        <v>Y</v>
      </c>
      <c r="O675">
        <f t="shared" si="93"/>
        <v>6</v>
      </c>
      <c r="P675" s="6">
        <f t="shared" si="94"/>
        <v>1.0182421227197347</v>
      </c>
      <c r="Q675" s="6">
        <f t="shared" si="95"/>
        <v>5.0488599348534204E-2</v>
      </c>
      <c r="R675">
        <f t="shared" si="96"/>
        <v>1</v>
      </c>
      <c r="S675">
        <f t="shared" si="97"/>
        <v>0</v>
      </c>
      <c r="T675">
        <f t="shared" si="98"/>
        <v>0</v>
      </c>
    </row>
    <row r="676" spans="1:20">
      <c r="A676" t="s">
        <v>1141</v>
      </c>
      <c r="B676" t="s">
        <v>67</v>
      </c>
      <c r="C676" t="s">
        <v>12</v>
      </c>
      <c r="D676">
        <v>858</v>
      </c>
      <c r="E676" s="4">
        <v>46038</v>
      </c>
      <c r="F676" s="4">
        <v>46045</v>
      </c>
      <c r="G676" s="4">
        <v>46043</v>
      </c>
      <c r="H676">
        <v>863</v>
      </c>
      <c r="I676" t="s">
        <v>540</v>
      </c>
      <c r="J676">
        <v>12</v>
      </c>
      <c r="K676" t="s">
        <v>1563</v>
      </c>
      <c r="L676" t="str">
        <f t="shared" si="90"/>
        <v>Y</v>
      </c>
      <c r="M676" t="str">
        <f t="shared" si="91"/>
        <v>Y</v>
      </c>
      <c r="N676" t="str">
        <f t="shared" si="92"/>
        <v>Y</v>
      </c>
      <c r="O676">
        <f t="shared" si="93"/>
        <v>5</v>
      </c>
      <c r="P676" s="6">
        <f t="shared" si="94"/>
        <v>1.0058275058275059</v>
      </c>
      <c r="Q676" s="6">
        <f t="shared" si="95"/>
        <v>1.3904982618771726E-2</v>
      </c>
      <c r="R676">
        <f t="shared" si="96"/>
        <v>1</v>
      </c>
      <c r="S676">
        <f t="shared" si="97"/>
        <v>0</v>
      </c>
      <c r="T676">
        <f t="shared" si="98"/>
        <v>0</v>
      </c>
    </row>
    <row r="677" spans="1:20">
      <c r="A677" t="s">
        <v>1142</v>
      </c>
      <c r="B677" t="s">
        <v>11</v>
      </c>
      <c r="C677" t="s">
        <v>12</v>
      </c>
      <c r="D677">
        <v>779</v>
      </c>
      <c r="E677" s="4">
        <v>46092</v>
      </c>
      <c r="F677" s="4">
        <v>46100</v>
      </c>
      <c r="G677" s="4">
        <v>46097</v>
      </c>
      <c r="H677">
        <v>768</v>
      </c>
      <c r="I677" t="s">
        <v>403</v>
      </c>
      <c r="J677">
        <v>22</v>
      </c>
      <c r="K677" t="s">
        <v>1563</v>
      </c>
      <c r="L677" t="str">
        <f t="shared" si="90"/>
        <v>Y</v>
      </c>
      <c r="M677" t="str">
        <f t="shared" si="91"/>
        <v>Y</v>
      </c>
      <c r="N677" t="str">
        <f t="shared" si="92"/>
        <v>Y</v>
      </c>
      <c r="O677">
        <f t="shared" si="93"/>
        <v>5</v>
      </c>
      <c r="P677" s="6">
        <f t="shared" si="94"/>
        <v>0.98587933247753534</v>
      </c>
      <c r="Q677" s="6">
        <f t="shared" si="95"/>
        <v>2.8645833333333332E-2</v>
      </c>
      <c r="R677">
        <f t="shared" si="96"/>
        <v>1</v>
      </c>
      <c r="S677">
        <f t="shared" si="97"/>
        <v>0</v>
      </c>
      <c r="T677">
        <f t="shared" si="98"/>
        <v>0</v>
      </c>
    </row>
    <row r="678" spans="1:20">
      <c r="A678" t="s">
        <v>1143</v>
      </c>
      <c r="B678" t="s">
        <v>35</v>
      </c>
      <c r="C678" t="s">
        <v>16</v>
      </c>
      <c r="D678">
        <v>412</v>
      </c>
      <c r="E678" s="4">
        <v>46173</v>
      </c>
      <c r="F678" s="4">
        <v>46188</v>
      </c>
      <c r="G678" s="4">
        <v>46185</v>
      </c>
      <c r="H678">
        <v>411</v>
      </c>
      <c r="I678" t="s">
        <v>150</v>
      </c>
      <c r="J678">
        <v>11</v>
      </c>
      <c r="K678" t="s">
        <v>1563</v>
      </c>
      <c r="L678" t="str">
        <f t="shared" si="90"/>
        <v>Y</v>
      </c>
      <c r="M678" t="str">
        <f t="shared" si="91"/>
        <v>Y</v>
      </c>
      <c r="N678" t="str">
        <f t="shared" si="92"/>
        <v>Y</v>
      </c>
      <c r="O678">
        <f t="shared" si="93"/>
        <v>12</v>
      </c>
      <c r="P678" s="6">
        <f t="shared" si="94"/>
        <v>0.99757281553398058</v>
      </c>
      <c r="Q678" s="6">
        <f t="shared" si="95"/>
        <v>2.6763990267639901E-2</v>
      </c>
      <c r="R678">
        <f t="shared" si="96"/>
        <v>1</v>
      </c>
      <c r="S678">
        <f t="shared" si="97"/>
        <v>0</v>
      </c>
      <c r="T678">
        <f t="shared" si="98"/>
        <v>0</v>
      </c>
    </row>
    <row r="679" spans="1:20">
      <c r="A679" t="s">
        <v>1145</v>
      </c>
      <c r="B679" t="s">
        <v>11</v>
      </c>
      <c r="C679" t="s">
        <v>16</v>
      </c>
      <c r="D679">
        <v>685</v>
      </c>
      <c r="E679" s="4">
        <v>46097</v>
      </c>
      <c r="F679" s="4">
        <v>46107</v>
      </c>
      <c r="G679" s="4">
        <v>46106</v>
      </c>
      <c r="H679">
        <v>681</v>
      </c>
      <c r="I679" t="s">
        <v>90</v>
      </c>
      <c r="J679">
        <v>24</v>
      </c>
      <c r="K679" t="s">
        <v>1563</v>
      </c>
      <c r="L679" t="str">
        <f t="shared" si="90"/>
        <v>Y</v>
      </c>
      <c r="M679" t="str">
        <f t="shared" si="91"/>
        <v>Y</v>
      </c>
      <c r="N679" t="str">
        <f t="shared" si="92"/>
        <v>Y</v>
      </c>
      <c r="O679">
        <f t="shared" si="93"/>
        <v>9</v>
      </c>
      <c r="P679" s="6">
        <f t="shared" si="94"/>
        <v>0.99416058394160589</v>
      </c>
      <c r="Q679" s="6">
        <f t="shared" si="95"/>
        <v>3.5242290748898682E-2</v>
      </c>
      <c r="R679">
        <f t="shared" si="96"/>
        <v>1</v>
      </c>
      <c r="S679">
        <f t="shared" si="97"/>
        <v>0</v>
      </c>
      <c r="T679">
        <f t="shared" si="98"/>
        <v>0</v>
      </c>
    </row>
    <row r="680" spans="1:20">
      <c r="A680" t="s">
        <v>1146</v>
      </c>
      <c r="B680" t="s">
        <v>32</v>
      </c>
      <c r="C680" t="s">
        <v>12</v>
      </c>
      <c r="D680">
        <v>346</v>
      </c>
      <c r="E680" s="4">
        <v>46128</v>
      </c>
      <c r="F680" s="4">
        <v>46142</v>
      </c>
      <c r="G680" s="4">
        <v>46140</v>
      </c>
      <c r="H680">
        <v>350</v>
      </c>
      <c r="I680" t="s">
        <v>178</v>
      </c>
      <c r="J680">
        <v>13</v>
      </c>
      <c r="K680" t="s">
        <v>1563</v>
      </c>
      <c r="L680" t="str">
        <f t="shared" si="90"/>
        <v>Y</v>
      </c>
      <c r="M680" t="str">
        <f t="shared" si="91"/>
        <v>Y</v>
      </c>
      <c r="N680" t="str">
        <f t="shared" si="92"/>
        <v>Y</v>
      </c>
      <c r="O680">
        <f t="shared" si="93"/>
        <v>12</v>
      </c>
      <c r="P680" s="6">
        <f t="shared" si="94"/>
        <v>1.0115606936416186</v>
      </c>
      <c r="Q680" s="6">
        <f t="shared" si="95"/>
        <v>3.7142857142857144E-2</v>
      </c>
      <c r="R680">
        <f t="shared" si="96"/>
        <v>1</v>
      </c>
      <c r="S680">
        <f t="shared" si="97"/>
        <v>0</v>
      </c>
      <c r="T680">
        <f t="shared" si="98"/>
        <v>0</v>
      </c>
    </row>
    <row r="681" spans="1:20">
      <c r="A681" t="s">
        <v>1148</v>
      </c>
      <c r="B681" t="s">
        <v>32</v>
      </c>
      <c r="C681" t="s">
        <v>12</v>
      </c>
      <c r="D681">
        <v>954</v>
      </c>
      <c r="E681" s="4">
        <v>46090</v>
      </c>
      <c r="F681" s="4">
        <v>46101</v>
      </c>
      <c r="G681" s="4">
        <v>46099</v>
      </c>
      <c r="H681">
        <v>948</v>
      </c>
      <c r="I681" t="s">
        <v>204</v>
      </c>
      <c r="J681">
        <v>18</v>
      </c>
      <c r="K681" t="s">
        <v>1563</v>
      </c>
      <c r="L681" t="str">
        <f t="shared" si="90"/>
        <v>Y</v>
      </c>
      <c r="M681" t="str">
        <f t="shared" si="91"/>
        <v>Y</v>
      </c>
      <c r="N681" t="str">
        <f t="shared" si="92"/>
        <v>Y</v>
      </c>
      <c r="O681">
        <f t="shared" si="93"/>
        <v>9</v>
      </c>
      <c r="P681" s="6">
        <f t="shared" si="94"/>
        <v>0.99371069182389937</v>
      </c>
      <c r="Q681" s="6">
        <f t="shared" si="95"/>
        <v>1.8987341772151899E-2</v>
      </c>
      <c r="R681">
        <f t="shared" si="96"/>
        <v>1</v>
      </c>
      <c r="S681">
        <f t="shared" si="97"/>
        <v>0</v>
      </c>
      <c r="T681">
        <f t="shared" si="98"/>
        <v>0</v>
      </c>
    </row>
    <row r="682" spans="1:20">
      <c r="A682" t="s">
        <v>1149</v>
      </c>
      <c r="B682" t="s">
        <v>120</v>
      </c>
      <c r="C682" t="s">
        <v>12</v>
      </c>
      <c r="D682">
        <v>468</v>
      </c>
      <c r="E682" s="4">
        <v>46047</v>
      </c>
      <c r="F682" s="4">
        <v>46061</v>
      </c>
      <c r="G682" s="4">
        <v>46058</v>
      </c>
      <c r="H682">
        <v>468</v>
      </c>
      <c r="I682" t="s">
        <v>711</v>
      </c>
      <c r="J682">
        <v>2</v>
      </c>
      <c r="K682" t="s">
        <v>1563</v>
      </c>
      <c r="L682" t="str">
        <f t="shared" si="90"/>
        <v>Y</v>
      </c>
      <c r="M682" t="str">
        <f t="shared" si="91"/>
        <v>Y</v>
      </c>
      <c r="N682" t="str">
        <f t="shared" si="92"/>
        <v>Y</v>
      </c>
      <c r="O682">
        <f t="shared" si="93"/>
        <v>11</v>
      </c>
      <c r="P682" s="6">
        <f t="shared" si="94"/>
        <v>1</v>
      </c>
      <c r="Q682" s="6">
        <f t="shared" si="95"/>
        <v>4.2735042735042739E-3</v>
      </c>
      <c r="R682">
        <f t="shared" si="96"/>
        <v>1</v>
      </c>
      <c r="S682">
        <f t="shared" si="97"/>
        <v>0</v>
      </c>
      <c r="T682">
        <f t="shared" si="98"/>
        <v>0</v>
      </c>
    </row>
    <row r="683" spans="1:20">
      <c r="A683" t="s">
        <v>1150</v>
      </c>
      <c r="B683" t="s">
        <v>70</v>
      </c>
      <c r="C683" t="s">
        <v>12</v>
      </c>
      <c r="D683">
        <v>952</v>
      </c>
      <c r="E683" s="4">
        <v>46103</v>
      </c>
      <c r="F683" s="4">
        <v>46115</v>
      </c>
      <c r="G683" s="4">
        <v>46114</v>
      </c>
      <c r="H683">
        <v>794</v>
      </c>
      <c r="I683" t="s">
        <v>336</v>
      </c>
      <c r="J683">
        <v>0</v>
      </c>
      <c r="K683" t="s">
        <v>1563</v>
      </c>
      <c r="L683" t="str">
        <f t="shared" si="90"/>
        <v>Y</v>
      </c>
      <c r="M683" t="str">
        <f t="shared" si="91"/>
        <v>N</v>
      </c>
      <c r="N683" t="str">
        <f t="shared" si="92"/>
        <v>N</v>
      </c>
      <c r="O683">
        <f t="shared" si="93"/>
        <v>11</v>
      </c>
      <c r="P683" s="6">
        <f t="shared" si="94"/>
        <v>0.83403361344537819</v>
      </c>
      <c r="Q683" s="6">
        <f t="shared" si="95"/>
        <v>0</v>
      </c>
      <c r="R683">
        <f t="shared" si="96"/>
        <v>0</v>
      </c>
      <c r="S683">
        <f t="shared" si="97"/>
        <v>0</v>
      </c>
      <c r="T683">
        <f t="shared" si="98"/>
        <v>0</v>
      </c>
    </row>
    <row r="684" spans="1:20">
      <c r="A684" t="s">
        <v>1152</v>
      </c>
      <c r="B684" t="s">
        <v>46</v>
      </c>
      <c r="C684" t="s">
        <v>16</v>
      </c>
      <c r="D684">
        <v>733</v>
      </c>
      <c r="E684" s="4">
        <v>46093</v>
      </c>
      <c r="F684" s="4">
        <v>46102</v>
      </c>
      <c r="G684" s="4">
        <v>46101</v>
      </c>
      <c r="H684">
        <v>737</v>
      </c>
      <c r="I684" t="s">
        <v>1153</v>
      </c>
      <c r="J684">
        <v>4</v>
      </c>
      <c r="K684" t="s">
        <v>1563</v>
      </c>
      <c r="L684" t="str">
        <f t="shared" si="90"/>
        <v>Y</v>
      </c>
      <c r="M684" t="str">
        <f t="shared" si="91"/>
        <v>Y</v>
      </c>
      <c r="N684" t="str">
        <f t="shared" si="92"/>
        <v>Y</v>
      </c>
      <c r="O684">
        <f t="shared" si="93"/>
        <v>8</v>
      </c>
      <c r="P684" s="6">
        <f t="shared" si="94"/>
        <v>1.005457025920873</v>
      </c>
      <c r="Q684" s="6">
        <f t="shared" si="95"/>
        <v>5.4274084124830389E-3</v>
      </c>
      <c r="R684">
        <f t="shared" si="96"/>
        <v>1</v>
      </c>
      <c r="S684">
        <f t="shared" si="97"/>
        <v>0</v>
      </c>
      <c r="T684">
        <f t="shared" si="98"/>
        <v>0</v>
      </c>
    </row>
    <row r="685" spans="1:20">
      <c r="A685" t="s">
        <v>1154</v>
      </c>
      <c r="B685" t="s">
        <v>32</v>
      </c>
      <c r="C685" t="s">
        <v>16</v>
      </c>
      <c r="D685">
        <v>454</v>
      </c>
      <c r="E685" s="4">
        <v>46141</v>
      </c>
      <c r="F685" s="4">
        <v>46151</v>
      </c>
      <c r="G685" s="4">
        <v>46149</v>
      </c>
      <c r="H685">
        <v>452</v>
      </c>
      <c r="I685" t="s">
        <v>1155</v>
      </c>
      <c r="J685">
        <v>31</v>
      </c>
      <c r="K685" t="s">
        <v>1563</v>
      </c>
      <c r="L685" t="str">
        <f t="shared" si="90"/>
        <v>Y</v>
      </c>
      <c r="M685" t="str">
        <f t="shared" si="91"/>
        <v>Y</v>
      </c>
      <c r="N685" t="str">
        <f t="shared" si="92"/>
        <v>Y</v>
      </c>
      <c r="O685">
        <f t="shared" si="93"/>
        <v>8</v>
      </c>
      <c r="P685" s="6">
        <f t="shared" si="94"/>
        <v>0.99559471365638763</v>
      </c>
      <c r="Q685" s="6">
        <f t="shared" si="95"/>
        <v>6.8584070796460173E-2</v>
      </c>
      <c r="R685">
        <f t="shared" si="96"/>
        <v>1</v>
      </c>
      <c r="S685">
        <f t="shared" si="97"/>
        <v>0</v>
      </c>
      <c r="T685">
        <f t="shared" si="98"/>
        <v>0</v>
      </c>
    </row>
    <row r="686" spans="1:20">
      <c r="A686" t="s">
        <v>1156</v>
      </c>
      <c r="B686" t="s">
        <v>11</v>
      </c>
      <c r="C686" t="s">
        <v>16</v>
      </c>
      <c r="D686">
        <v>158</v>
      </c>
      <c r="E686" s="4">
        <v>46123</v>
      </c>
      <c r="F686" s="4">
        <v>46129</v>
      </c>
      <c r="G686" s="4">
        <v>46127</v>
      </c>
      <c r="H686">
        <v>157</v>
      </c>
      <c r="I686" t="s">
        <v>597</v>
      </c>
      <c r="J686">
        <v>3</v>
      </c>
      <c r="K686" t="s">
        <v>1563</v>
      </c>
      <c r="L686" t="str">
        <f t="shared" si="90"/>
        <v>Y</v>
      </c>
      <c r="M686" t="str">
        <f t="shared" si="91"/>
        <v>Y</v>
      </c>
      <c r="N686" t="str">
        <f t="shared" si="92"/>
        <v>Y</v>
      </c>
      <c r="O686">
        <f t="shared" si="93"/>
        <v>4</v>
      </c>
      <c r="P686" s="6">
        <f t="shared" si="94"/>
        <v>0.99367088607594933</v>
      </c>
      <c r="Q686" s="6">
        <f t="shared" si="95"/>
        <v>1.9108280254777069E-2</v>
      </c>
      <c r="R686">
        <f t="shared" si="96"/>
        <v>1</v>
      </c>
      <c r="S686">
        <f t="shared" si="97"/>
        <v>0</v>
      </c>
      <c r="T686">
        <f t="shared" si="98"/>
        <v>0</v>
      </c>
    </row>
    <row r="687" spans="1:20">
      <c r="A687" t="s">
        <v>1157</v>
      </c>
      <c r="B687" t="s">
        <v>46</v>
      </c>
      <c r="C687" t="s">
        <v>16</v>
      </c>
      <c r="D687">
        <v>444</v>
      </c>
      <c r="E687" s="4">
        <v>46124</v>
      </c>
      <c r="F687" s="4">
        <v>46136</v>
      </c>
      <c r="G687" s="4">
        <v>46134</v>
      </c>
      <c r="H687">
        <v>435</v>
      </c>
      <c r="I687" t="s">
        <v>71</v>
      </c>
      <c r="J687">
        <v>18</v>
      </c>
      <c r="K687" t="s">
        <v>1563</v>
      </c>
      <c r="L687" t="str">
        <f t="shared" si="90"/>
        <v>Y</v>
      </c>
      <c r="M687" t="str">
        <f t="shared" si="91"/>
        <v>N</v>
      </c>
      <c r="N687" t="str">
        <f t="shared" si="92"/>
        <v>N</v>
      </c>
      <c r="O687">
        <f t="shared" si="93"/>
        <v>10</v>
      </c>
      <c r="P687" s="6">
        <f t="shared" si="94"/>
        <v>0.97972972972972971</v>
      </c>
      <c r="Q687" s="6">
        <f t="shared" si="95"/>
        <v>4.1379310344827586E-2</v>
      </c>
      <c r="R687">
        <f t="shared" si="96"/>
        <v>0</v>
      </c>
      <c r="S687">
        <f t="shared" si="97"/>
        <v>0</v>
      </c>
      <c r="T687">
        <f t="shared" si="98"/>
        <v>0</v>
      </c>
    </row>
    <row r="688" spans="1:20">
      <c r="A688" t="s">
        <v>1159</v>
      </c>
      <c r="B688" t="s">
        <v>35</v>
      </c>
      <c r="C688" t="s">
        <v>16</v>
      </c>
      <c r="D688">
        <v>578</v>
      </c>
      <c r="E688" s="4">
        <v>46176</v>
      </c>
      <c r="F688" s="4">
        <v>46187</v>
      </c>
      <c r="G688" s="4">
        <v>46194</v>
      </c>
      <c r="H688">
        <v>583</v>
      </c>
      <c r="I688" t="s">
        <v>1160</v>
      </c>
      <c r="J688">
        <v>9</v>
      </c>
      <c r="K688" t="s">
        <v>1563</v>
      </c>
      <c r="L688" t="str">
        <f t="shared" si="90"/>
        <v>N</v>
      </c>
      <c r="M688" t="str">
        <f t="shared" si="91"/>
        <v>Y</v>
      </c>
      <c r="N688" t="str">
        <f t="shared" si="92"/>
        <v>N</v>
      </c>
      <c r="O688">
        <f t="shared" si="93"/>
        <v>18</v>
      </c>
      <c r="P688" s="6">
        <f t="shared" si="94"/>
        <v>1.0086505190311419</v>
      </c>
      <c r="Q688" s="6">
        <f t="shared" si="95"/>
        <v>1.5437392795883362E-2</v>
      </c>
      <c r="R688">
        <f t="shared" si="96"/>
        <v>0</v>
      </c>
      <c r="S688">
        <f t="shared" si="97"/>
        <v>7</v>
      </c>
      <c r="T688">
        <f t="shared" si="98"/>
        <v>3500</v>
      </c>
    </row>
    <row r="689" spans="1:20">
      <c r="A689" t="s">
        <v>1161</v>
      </c>
      <c r="B689" t="s">
        <v>43</v>
      </c>
      <c r="C689" t="s">
        <v>16</v>
      </c>
      <c r="D689">
        <v>307</v>
      </c>
      <c r="E689" s="4">
        <v>46040</v>
      </c>
      <c r="F689" s="4">
        <v>46052</v>
      </c>
      <c r="G689" s="4">
        <v>46050</v>
      </c>
      <c r="H689">
        <v>312</v>
      </c>
      <c r="I689" t="s">
        <v>298</v>
      </c>
      <c r="J689">
        <v>6</v>
      </c>
      <c r="K689" t="s">
        <v>1563</v>
      </c>
      <c r="L689" t="str">
        <f t="shared" si="90"/>
        <v>Y</v>
      </c>
      <c r="M689" t="str">
        <f t="shared" si="91"/>
        <v>Y</v>
      </c>
      <c r="N689" t="str">
        <f t="shared" si="92"/>
        <v>Y</v>
      </c>
      <c r="O689">
        <f t="shared" si="93"/>
        <v>10</v>
      </c>
      <c r="P689" s="6">
        <f t="shared" si="94"/>
        <v>1.0162866449511401</v>
      </c>
      <c r="Q689" s="6">
        <f t="shared" si="95"/>
        <v>1.9230769230769232E-2</v>
      </c>
      <c r="R689">
        <f t="shared" si="96"/>
        <v>1</v>
      </c>
      <c r="S689">
        <f t="shared" si="97"/>
        <v>0</v>
      </c>
      <c r="T689">
        <f t="shared" si="98"/>
        <v>0</v>
      </c>
    </row>
    <row r="690" spans="1:20">
      <c r="A690" t="s">
        <v>1162</v>
      </c>
      <c r="B690" t="s">
        <v>11</v>
      </c>
      <c r="C690" t="s">
        <v>12</v>
      </c>
      <c r="D690">
        <v>106</v>
      </c>
      <c r="E690" s="4">
        <v>46152</v>
      </c>
      <c r="F690" s="4">
        <v>46163</v>
      </c>
      <c r="G690" s="4">
        <v>46170</v>
      </c>
      <c r="H690">
        <v>105</v>
      </c>
      <c r="I690" t="s">
        <v>1163</v>
      </c>
      <c r="J690">
        <v>3</v>
      </c>
      <c r="K690" t="s">
        <v>1563</v>
      </c>
      <c r="L690" t="str">
        <f t="shared" si="90"/>
        <v>N</v>
      </c>
      <c r="M690" t="str">
        <f t="shared" si="91"/>
        <v>Y</v>
      </c>
      <c r="N690" t="str">
        <f t="shared" si="92"/>
        <v>N</v>
      </c>
      <c r="O690">
        <f t="shared" si="93"/>
        <v>18</v>
      </c>
      <c r="P690" s="6">
        <f t="shared" si="94"/>
        <v>0.99056603773584906</v>
      </c>
      <c r="Q690" s="6">
        <f t="shared" si="95"/>
        <v>2.8571428571428571E-2</v>
      </c>
      <c r="R690">
        <f t="shared" si="96"/>
        <v>0</v>
      </c>
      <c r="S690">
        <f t="shared" si="97"/>
        <v>7</v>
      </c>
      <c r="T690">
        <f t="shared" si="98"/>
        <v>3500</v>
      </c>
    </row>
    <row r="691" spans="1:20">
      <c r="A691" t="s">
        <v>1164</v>
      </c>
      <c r="B691" t="s">
        <v>32</v>
      </c>
      <c r="C691" t="s">
        <v>12</v>
      </c>
      <c r="D691">
        <v>489</v>
      </c>
      <c r="E691" s="4">
        <v>46030</v>
      </c>
      <c r="F691" s="4">
        <v>46041</v>
      </c>
      <c r="G691" s="4"/>
      <c r="I691" t="s">
        <v>352</v>
      </c>
      <c r="K691" t="s">
        <v>1565</v>
      </c>
      <c r="L691" t="str">
        <f t="shared" si="90"/>
        <v>N/A</v>
      </c>
      <c r="M691" t="str">
        <f t="shared" si="91"/>
        <v>N/A</v>
      </c>
      <c r="N691" t="str">
        <f t="shared" si="92"/>
        <v>N/A</v>
      </c>
      <c r="O691" t="str">
        <f t="shared" si="93"/>
        <v>N/A</v>
      </c>
      <c r="P691" s="6" t="str">
        <f t="shared" si="94"/>
        <v>N/A</v>
      </c>
      <c r="Q691" s="6" t="str">
        <f t="shared" si="95"/>
        <v>N/A</v>
      </c>
      <c r="R691" t="str">
        <f t="shared" si="96"/>
        <v/>
      </c>
      <c r="S691" t="str">
        <f t="shared" si="97"/>
        <v>N/A</v>
      </c>
      <c r="T691">
        <f t="shared" si="98"/>
        <v>0</v>
      </c>
    </row>
    <row r="692" spans="1:20">
      <c r="A692" t="s">
        <v>1165</v>
      </c>
      <c r="B692" t="s">
        <v>29</v>
      </c>
      <c r="C692" t="s">
        <v>16</v>
      </c>
      <c r="D692">
        <v>538</v>
      </c>
      <c r="E692" s="4">
        <v>46098</v>
      </c>
      <c r="F692" s="4">
        <v>46110</v>
      </c>
      <c r="G692" s="4">
        <v>46107</v>
      </c>
      <c r="H692">
        <v>545</v>
      </c>
      <c r="I692" t="s">
        <v>162</v>
      </c>
      <c r="J692">
        <v>4</v>
      </c>
      <c r="K692" t="s">
        <v>1563</v>
      </c>
      <c r="L692" t="str">
        <f t="shared" si="90"/>
        <v>Y</v>
      </c>
      <c r="M692" t="str">
        <f t="shared" si="91"/>
        <v>Y</v>
      </c>
      <c r="N692" t="str">
        <f t="shared" si="92"/>
        <v>Y</v>
      </c>
      <c r="O692">
        <f t="shared" si="93"/>
        <v>9</v>
      </c>
      <c r="P692" s="6">
        <f t="shared" si="94"/>
        <v>1.013011152416357</v>
      </c>
      <c r="Q692" s="6">
        <f t="shared" si="95"/>
        <v>7.3394495412844041E-3</v>
      </c>
      <c r="R692">
        <f t="shared" si="96"/>
        <v>1</v>
      </c>
      <c r="S692">
        <f t="shared" si="97"/>
        <v>0</v>
      </c>
      <c r="T692">
        <f t="shared" si="98"/>
        <v>0</v>
      </c>
    </row>
    <row r="693" spans="1:20">
      <c r="A693" t="s">
        <v>1166</v>
      </c>
      <c r="B693" t="s">
        <v>120</v>
      </c>
      <c r="C693" t="s">
        <v>23</v>
      </c>
      <c r="D693">
        <v>923</v>
      </c>
      <c r="E693" s="4">
        <v>46073</v>
      </c>
      <c r="F693" s="4">
        <v>46081</v>
      </c>
      <c r="G693" s="4">
        <v>46080</v>
      </c>
      <c r="H693">
        <v>920</v>
      </c>
      <c r="I693" t="s">
        <v>763</v>
      </c>
      <c r="J693">
        <v>45</v>
      </c>
      <c r="K693" t="s">
        <v>1563</v>
      </c>
      <c r="L693" t="str">
        <f t="shared" si="90"/>
        <v>Y</v>
      </c>
      <c r="M693" t="str">
        <f t="shared" si="91"/>
        <v>Y</v>
      </c>
      <c r="N693" t="str">
        <f t="shared" si="92"/>
        <v>Y</v>
      </c>
      <c r="O693">
        <f t="shared" si="93"/>
        <v>7</v>
      </c>
      <c r="P693" s="6">
        <f t="shared" si="94"/>
        <v>0.99674972914409532</v>
      </c>
      <c r="Q693" s="6">
        <f t="shared" si="95"/>
        <v>4.8913043478260872E-2</v>
      </c>
      <c r="R693">
        <f t="shared" si="96"/>
        <v>1</v>
      </c>
      <c r="S693">
        <f t="shared" si="97"/>
        <v>0</v>
      </c>
      <c r="T693">
        <f t="shared" si="98"/>
        <v>0</v>
      </c>
    </row>
    <row r="694" spans="1:20">
      <c r="A694" t="s">
        <v>1167</v>
      </c>
      <c r="B694" t="s">
        <v>32</v>
      </c>
      <c r="C694" t="s">
        <v>23</v>
      </c>
      <c r="D694">
        <v>726</v>
      </c>
      <c r="E694" s="4">
        <v>46043</v>
      </c>
      <c r="F694" s="4">
        <v>46055</v>
      </c>
      <c r="G694" s="4">
        <v>46055</v>
      </c>
      <c r="H694">
        <v>642</v>
      </c>
      <c r="I694" t="s">
        <v>1168</v>
      </c>
      <c r="J694">
        <v>23</v>
      </c>
      <c r="K694" t="s">
        <v>1563</v>
      </c>
      <c r="L694" t="str">
        <f t="shared" si="90"/>
        <v>Y</v>
      </c>
      <c r="M694" t="str">
        <f t="shared" si="91"/>
        <v>N</v>
      </c>
      <c r="N694" t="str">
        <f t="shared" si="92"/>
        <v>N</v>
      </c>
      <c r="O694">
        <f t="shared" si="93"/>
        <v>12</v>
      </c>
      <c r="P694" s="6">
        <f t="shared" si="94"/>
        <v>0.88429752066115708</v>
      </c>
      <c r="Q694" s="6">
        <f t="shared" si="95"/>
        <v>3.5825545171339561E-2</v>
      </c>
      <c r="R694">
        <f t="shared" si="96"/>
        <v>0</v>
      </c>
      <c r="S694">
        <f t="shared" si="97"/>
        <v>0</v>
      </c>
      <c r="T694">
        <f t="shared" si="98"/>
        <v>0</v>
      </c>
    </row>
    <row r="695" spans="1:20">
      <c r="A695" t="s">
        <v>1169</v>
      </c>
      <c r="B695" t="s">
        <v>19</v>
      </c>
      <c r="C695" t="s">
        <v>12</v>
      </c>
      <c r="D695">
        <v>149</v>
      </c>
      <c r="E695" s="4">
        <v>46115</v>
      </c>
      <c r="F695" s="4">
        <v>46121</v>
      </c>
      <c r="G695" s="4">
        <v>46121</v>
      </c>
      <c r="H695">
        <v>147</v>
      </c>
      <c r="I695" t="s">
        <v>307</v>
      </c>
      <c r="J695">
        <v>3</v>
      </c>
      <c r="K695" t="s">
        <v>1563</v>
      </c>
      <c r="L695" t="str">
        <f t="shared" si="90"/>
        <v>Y</v>
      </c>
      <c r="M695" t="str">
        <f t="shared" si="91"/>
        <v>Y</v>
      </c>
      <c r="N695" t="str">
        <f t="shared" si="92"/>
        <v>Y</v>
      </c>
      <c r="O695">
        <f t="shared" si="93"/>
        <v>6</v>
      </c>
      <c r="P695" s="6">
        <f t="shared" si="94"/>
        <v>0.98657718120805371</v>
      </c>
      <c r="Q695" s="6">
        <f t="shared" si="95"/>
        <v>2.0408163265306121E-2</v>
      </c>
      <c r="R695">
        <f t="shared" si="96"/>
        <v>1</v>
      </c>
      <c r="S695">
        <f t="shared" si="97"/>
        <v>0</v>
      </c>
      <c r="T695">
        <f t="shared" si="98"/>
        <v>0</v>
      </c>
    </row>
    <row r="696" spans="1:20">
      <c r="A696" t="s">
        <v>1171</v>
      </c>
      <c r="B696" t="s">
        <v>32</v>
      </c>
      <c r="C696" t="s">
        <v>12</v>
      </c>
      <c r="D696">
        <v>431</v>
      </c>
      <c r="E696" s="4">
        <v>46083</v>
      </c>
      <c r="F696" s="4">
        <v>46091</v>
      </c>
      <c r="G696" s="4">
        <v>46089</v>
      </c>
      <c r="H696">
        <v>382</v>
      </c>
      <c r="I696" t="s">
        <v>38</v>
      </c>
      <c r="J696">
        <v>22</v>
      </c>
      <c r="K696" t="s">
        <v>1563</v>
      </c>
      <c r="L696" t="str">
        <f t="shared" si="90"/>
        <v>Y</v>
      </c>
      <c r="M696" t="str">
        <f t="shared" si="91"/>
        <v>N</v>
      </c>
      <c r="N696" t="str">
        <f t="shared" si="92"/>
        <v>N</v>
      </c>
      <c r="O696">
        <f t="shared" si="93"/>
        <v>6</v>
      </c>
      <c r="P696" s="6">
        <f t="shared" si="94"/>
        <v>0.88631090487238984</v>
      </c>
      <c r="Q696" s="6">
        <f t="shared" si="95"/>
        <v>5.7591623036649213E-2</v>
      </c>
      <c r="R696">
        <f t="shared" si="96"/>
        <v>0</v>
      </c>
      <c r="S696">
        <f t="shared" si="97"/>
        <v>0</v>
      </c>
      <c r="T696">
        <f t="shared" si="98"/>
        <v>0</v>
      </c>
    </row>
    <row r="697" spans="1:20">
      <c r="A697" t="s">
        <v>1172</v>
      </c>
      <c r="B697" t="s">
        <v>81</v>
      </c>
      <c r="C697" t="s">
        <v>12</v>
      </c>
      <c r="D697">
        <v>721</v>
      </c>
      <c r="E697" s="4">
        <v>46036</v>
      </c>
      <c r="F697" s="4">
        <v>46049</v>
      </c>
      <c r="G697" s="4">
        <v>46047</v>
      </c>
      <c r="H697">
        <v>662</v>
      </c>
      <c r="I697" t="s">
        <v>864</v>
      </c>
      <c r="J697">
        <v>12</v>
      </c>
      <c r="K697" t="s">
        <v>1563</v>
      </c>
      <c r="L697" t="str">
        <f t="shared" si="90"/>
        <v>Y</v>
      </c>
      <c r="M697" t="str">
        <f t="shared" si="91"/>
        <v>N</v>
      </c>
      <c r="N697" t="str">
        <f t="shared" si="92"/>
        <v>N</v>
      </c>
      <c r="O697">
        <f t="shared" si="93"/>
        <v>11</v>
      </c>
      <c r="P697" s="6">
        <f t="shared" si="94"/>
        <v>0.91816920943134539</v>
      </c>
      <c r="Q697" s="6">
        <f t="shared" si="95"/>
        <v>1.812688821752266E-2</v>
      </c>
      <c r="R697">
        <f t="shared" si="96"/>
        <v>0</v>
      </c>
      <c r="S697">
        <f t="shared" si="97"/>
        <v>0</v>
      </c>
      <c r="T697">
        <f t="shared" si="98"/>
        <v>0</v>
      </c>
    </row>
    <row r="698" spans="1:20">
      <c r="A698" t="s">
        <v>1173</v>
      </c>
      <c r="B698" t="s">
        <v>120</v>
      </c>
      <c r="C698" t="s">
        <v>12</v>
      </c>
      <c r="D698">
        <v>820</v>
      </c>
      <c r="E698" s="4">
        <v>46040</v>
      </c>
      <c r="F698" s="4">
        <v>46051</v>
      </c>
      <c r="G698" s="4">
        <v>46048</v>
      </c>
      <c r="H698">
        <v>714</v>
      </c>
      <c r="I698" t="s">
        <v>1174</v>
      </c>
      <c r="J698">
        <v>22</v>
      </c>
      <c r="K698" t="s">
        <v>1563</v>
      </c>
      <c r="L698" t="str">
        <f t="shared" si="90"/>
        <v>Y</v>
      </c>
      <c r="M698" t="str">
        <f t="shared" si="91"/>
        <v>N</v>
      </c>
      <c r="N698" t="str">
        <f t="shared" si="92"/>
        <v>N</v>
      </c>
      <c r="O698">
        <f t="shared" si="93"/>
        <v>8</v>
      </c>
      <c r="P698" s="6">
        <f t="shared" si="94"/>
        <v>0.87073170731707317</v>
      </c>
      <c r="Q698" s="6">
        <f t="shared" si="95"/>
        <v>3.081232492997199E-2</v>
      </c>
      <c r="R698">
        <f t="shared" si="96"/>
        <v>0</v>
      </c>
      <c r="S698">
        <f t="shared" si="97"/>
        <v>0</v>
      </c>
      <c r="T698">
        <f t="shared" si="98"/>
        <v>0</v>
      </c>
    </row>
    <row r="699" spans="1:20">
      <c r="A699" t="s">
        <v>1175</v>
      </c>
      <c r="B699" t="s">
        <v>70</v>
      </c>
      <c r="C699" t="s">
        <v>12</v>
      </c>
      <c r="D699">
        <v>109</v>
      </c>
      <c r="E699" s="4">
        <v>46130</v>
      </c>
      <c r="F699" s="4">
        <v>46137</v>
      </c>
      <c r="G699" s="4">
        <v>46137</v>
      </c>
      <c r="H699">
        <v>90</v>
      </c>
      <c r="I699" t="s">
        <v>1176</v>
      </c>
      <c r="J699">
        <v>1</v>
      </c>
      <c r="K699" t="s">
        <v>1563</v>
      </c>
      <c r="L699" t="str">
        <f t="shared" si="90"/>
        <v>Y</v>
      </c>
      <c r="M699" t="str">
        <f t="shared" si="91"/>
        <v>N</v>
      </c>
      <c r="N699" t="str">
        <f t="shared" si="92"/>
        <v>N</v>
      </c>
      <c r="O699">
        <f t="shared" si="93"/>
        <v>7</v>
      </c>
      <c r="P699" s="6">
        <f t="shared" si="94"/>
        <v>0.82568807339449546</v>
      </c>
      <c r="Q699" s="6">
        <f t="shared" si="95"/>
        <v>1.1111111111111112E-2</v>
      </c>
      <c r="R699">
        <f t="shared" si="96"/>
        <v>0</v>
      </c>
      <c r="S699">
        <f t="shared" si="97"/>
        <v>0</v>
      </c>
      <c r="T699">
        <f t="shared" si="98"/>
        <v>0</v>
      </c>
    </row>
    <row r="700" spans="1:20">
      <c r="A700" t="s">
        <v>1177</v>
      </c>
      <c r="B700" t="s">
        <v>67</v>
      </c>
      <c r="C700" t="s">
        <v>23</v>
      </c>
      <c r="D700">
        <v>421</v>
      </c>
      <c r="E700" s="4">
        <v>46144</v>
      </c>
      <c r="F700" s="4">
        <v>46153</v>
      </c>
      <c r="G700" s="4">
        <v>46150</v>
      </c>
      <c r="H700">
        <v>413</v>
      </c>
      <c r="I700" t="s">
        <v>512</v>
      </c>
      <c r="J700">
        <v>1</v>
      </c>
      <c r="K700" t="s">
        <v>1563</v>
      </c>
      <c r="L700" t="str">
        <f t="shared" si="90"/>
        <v>Y</v>
      </c>
      <c r="M700" t="str">
        <f t="shared" si="91"/>
        <v>Y</v>
      </c>
      <c r="N700" t="str">
        <f t="shared" si="92"/>
        <v>Y</v>
      </c>
      <c r="O700">
        <f t="shared" si="93"/>
        <v>6</v>
      </c>
      <c r="P700" s="6">
        <f t="shared" si="94"/>
        <v>0.98099762470308793</v>
      </c>
      <c r="Q700" s="6">
        <f t="shared" si="95"/>
        <v>2.4213075060532689E-3</v>
      </c>
      <c r="R700">
        <f t="shared" si="96"/>
        <v>1</v>
      </c>
      <c r="S700">
        <f t="shared" si="97"/>
        <v>0</v>
      </c>
      <c r="T700">
        <f t="shared" si="98"/>
        <v>0</v>
      </c>
    </row>
    <row r="701" spans="1:20">
      <c r="A701" t="s">
        <v>1178</v>
      </c>
      <c r="B701" t="s">
        <v>64</v>
      </c>
      <c r="C701" t="s">
        <v>16</v>
      </c>
      <c r="D701">
        <v>289</v>
      </c>
      <c r="E701" s="4">
        <v>46088</v>
      </c>
      <c r="F701" s="4">
        <v>46097</v>
      </c>
      <c r="G701" s="4">
        <v>46106</v>
      </c>
      <c r="H701">
        <v>260</v>
      </c>
      <c r="I701" t="s">
        <v>17</v>
      </c>
      <c r="J701">
        <v>16</v>
      </c>
      <c r="K701" t="s">
        <v>1563</v>
      </c>
      <c r="L701" t="str">
        <f t="shared" si="90"/>
        <v>N</v>
      </c>
      <c r="M701" t="str">
        <f t="shared" si="91"/>
        <v>N</v>
      </c>
      <c r="N701" t="str">
        <f t="shared" si="92"/>
        <v>N</v>
      </c>
      <c r="O701">
        <f t="shared" si="93"/>
        <v>18</v>
      </c>
      <c r="P701" s="6">
        <f t="shared" si="94"/>
        <v>0.89965397923875434</v>
      </c>
      <c r="Q701" s="6">
        <f t="shared" si="95"/>
        <v>6.1538461538461542E-2</v>
      </c>
      <c r="R701">
        <f t="shared" si="96"/>
        <v>0</v>
      </c>
      <c r="S701">
        <f t="shared" si="97"/>
        <v>9</v>
      </c>
      <c r="T701">
        <f t="shared" si="98"/>
        <v>4500</v>
      </c>
    </row>
    <row r="702" spans="1:20">
      <c r="A702" t="s">
        <v>1179</v>
      </c>
      <c r="B702" t="s">
        <v>26</v>
      </c>
      <c r="C702" t="s">
        <v>23</v>
      </c>
      <c r="D702">
        <v>700</v>
      </c>
      <c r="E702" s="4">
        <v>46123</v>
      </c>
      <c r="F702" s="4">
        <v>46131</v>
      </c>
      <c r="G702" s="4">
        <v>46130</v>
      </c>
      <c r="H702">
        <v>690</v>
      </c>
      <c r="I702" t="s">
        <v>631</v>
      </c>
      <c r="J702">
        <v>18</v>
      </c>
      <c r="K702" t="s">
        <v>1563</v>
      </c>
      <c r="L702" t="str">
        <f t="shared" si="90"/>
        <v>Y</v>
      </c>
      <c r="M702" t="str">
        <f t="shared" si="91"/>
        <v>Y</v>
      </c>
      <c r="N702" t="str">
        <f t="shared" si="92"/>
        <v>Y</v>
      </c>
      <c r="O702">
        <f t="shared" si="93"/>
        <v>7</v>
      </c>
      <c r="P702" s="6">
        <f t="shared" si="94"/>
        <v>0.98571428571428577</v>
      </c>
      <c r="Q702" s="6">
        <f t="shared" si="95"/>
        <v>2.6086956521739129E-2</v>
      </c>
      <c r="R702">
        <f t="shared" si="96"/>
        <v>1</v>
      </c>
      <c r="S702">
        <f t="shared" si="97"/>
        <v>0</v>
      </c>
      <c r="T702">
        <f t="shared" si="98"/>
        <v>0</v>
      </c>
    </row>
    <row r="703" spans="1:20">
      <c r="A703" t="s">
        <v>1180</v>
      </c>
      <c r="B703" t="s">
        <v>54</v>
      </c>
      <c r="C703" t="s">
        <v>23</v>
      </c>
      <c r="D703">
        <v>271</v>
      </c>
      <c r="E703" s="4">
        <v>46072</v>
      </c>
      <c r="F703" s="4">
        <v>46081</v>
      </c>
      <c r="G703" s="4">
        <v>46081</v>
      </c>
      <c r="H703">
        <v>269</v>
      </c>
      <c r="I703" t="s">
        <v>1181</v>
      </c>
      <c r="J703">
        <v>0</v>
      </c>
      <c r="K703" t="s">
        <v>1563</v>
      </c>
      <c r="L703" t="str">
        <f t="shared" si="90"/>
        <v>Y</v>
      </c>
      <c r="M703" t="str">
        <f t="shared" si="91"/>
        <v>Y</v>
      </c>
      <c r="N703" t="str">
        <f t="shared" si="92"/>
        <v>Y</v>
      </c>
      <c r="O703">
        <f t="shared" si="93"/>
        <v>9</v>
      </c>
      <c r="P703" s="6">
        <f t="shared" si="94"/>
        <v>0.99261992619926198</v>
      </c>
      <c r="Q703" s="6">
        <f t="shared" si="95"/>
        <v>0</v>
      </c>
      <c r="R703">
        <f t="shared" si="96"/>
        <v>1</v>
      </c>
      <c r="S703">
        <f t="shared" si="97"/>
        <v>0</v>
      </c>
      <c r="T703">
        <f t="shared" si="98"/>
        <v>0</v>
      </c>
    </row>
    <row r="704" spans="1:20">
      <c r="A704" t="s">
        <v>1182</v>
      </c>
      <c r="B704" t="s">
        <v>43</v>
      </c>
      <c r="C704" t="s">
        <v>16</v>
      </c>
      <c r="D704">
        <v>788</v>
      </c>
      <c r="E704" s="4">
        <v>46086</v>
      </c>
      <c r="F704" s="4">
        <v>46096</v>
      </c>
      <c r="G704" s="4">
        <v>46093</v>
      </c>
      <c r="H704">
        <v>791</v>
      </c>
      <c r="I704" t="s">
        <v>17</v>
      </c>
      <c r="J704">
        <v>53</v>
      </c>
      <c r="K704" t="s">
        <v>1563</v>
      </c>
      <c r="L704" t="str">
        <f t="shared" si="90"/>
        <v>Y</v>
      </c>
      <c r="M704" t="str">
        <f t="shared" si="91"/>
        <v>Y</v>
      </c>
      <c r="N704" t="str">
        <f t="shared" si="92"/>
        <v>Y</v>
      </c>
      <c r="O704">
        <f t="shared" si="93"/>
        <v>7</v>
      </c>
      <c r="P704" s="6">
        <f t="shared" si="94"/>
        <v>1.0038071065989849</v>
      </c>
      <c r="Q704" s="6">
        <f t="shared" si="95"/>
        <v>6.7003792667509485E-2</v>
      </c>
      <c r="R704">
        <f t="shared" si="96"/>
        <v>1</v>
      </c>
      <c r="S704">
        <f t="shared" si="97"/>
        <v>0</v>
      </c>
      <c r="T704">
        <f t="shared" si="98"/>
        <v>0</v>
      </c>
    </row>
    <row r="705" spans="1:20">
      <c r="A705" t="s">
        <v>1183</v>
      </c>
      <c r="B705" t="s">
        <v>67</v>
      </c>
      <c r="C705" t="s">
        <v>16</v>
      </c>
      <c r="D705">
        <v>725</v>
      </c>
      <c r="E705" s="4">
        <v>46156</v>
      </c>
      <c r="F705" s="4">
        <v>46161</v>
      </c>
      <c r="G705" s="4">
        <v>46159</v>
      </c>
      <c r="H705">
        <v>653</v>
      </c>
      <c r="I705" t="s">
        <v>432</v>
      </c>
      <c r="J705">
        <v>27</v>
      </c>
      <c r="K705" t="s">
        <v>1563</v>
      </c>
      <c r="L705" t="str">
        <f t="shared" si="90"/>
        <v>Y</v>
      </c>
      <c r="M705" t="str">
        <f t="shared" si="91"/>
        <v>N</v>
      </c>
      <c r="N705" t="str">
        <f t="shared" si="92"/>
        <v>N</v>
      </c>
      <c r="O705">
        <f t="shared" si="93"/>
        <v>3</v>
      </c>
      <c r="P705" s="6">
        <f t="shared" si="94"/>
        <v>0.90068965517241384</v>
      </c>
      <c r="Q705" s="6">
        <f t="shared" si="95"/>
        <v>4.1347626339969371E-2</v>
      </c>
      <c r="R705">
        <f t="shared" si="96"/>
        <v>0</v>
      </c>
      <c r="S705">
        <f t="shared" si="97"/>
        <v>0</v>
      </c>
      <c r="T705">
        <f t="shared" si="98"/>
        <v>0</v>
      </c>
    </row>
    <row r="706" spans="1:20">
      <c r="A706" t="s">
        <v>1184</v>
      </c>
      <c r="B706" t="s">
        <v>29</v>
      </c>
      <c r="C706" t="s">
        <v>16</v>
      </c>
      <c r="D706">
        <v>367</v>
      </c>
      <c r="E706" s="4">
        <v>46040</v>
      </c>
      <c r="F706" s="4">
        <v>46055</v>
      </c>
      <c r="G706" s="4">
        <v>46053</v>
      </c>
      <c r="H706">
        <v>372</v>
      </c>
      <c r="I706" t="s">
        <v>207</v>
      </c>
      <c r="J706">
        <v>1</v>
      </c>
      <c r="K706" t="s">
        <v>1563</v>
      </c>
      <c r="L706" t="str">
        <f t="shared" ref="L706:L769" si="99">IF(G706="","N/A",IF(G706&lt;=F706,"Y","N"))</f>
        <v>Y</v>
      </c>
      <c r="M706" t="str">
        <f t="shared" ref="M706:M769" si="100">IF(H706="","N/A",IF(H706&gt;=D706*0.98,"Y","N"))</f>
        <v>Y</v>
      </c>
      <c r="N706" t="str">
        <f t="shared" ref="N706:N769" si="101">IF(OR(L706="N/A",M706="N/A"),"N/A",IF(AND(L706="Y",M706="Y"),"Y","N"))</f>
        <v>Y</v>
      </c>
      <c r="O706">
        <f t="shared" ref="O706:O769" si="102">IF(G706="","N/A",G706-E706)</f>
        <v>13</v>
      </c>
      <c r="P706" s="6">
        <f t="shared" ref="P706:P769" si="103">IF(H706="","N/A",H706/D706)</f>
        <v>1.013623978201635</v>
      </c>
      <c r="Q706" s="6">
        <f t="shared" ref="Q706:Q769" si="104">IF(H706="","N/A",IF(H706=0,0,J706/H706))</f>
        <v>2.6881720430107529E-3</v>
      </c>
      <c r="R706">
        <f t="shared" ref="R706:R769" si="105">IF(N706="Y",1,IF(N706="N",0,""))</f>
        <v>1</v>
      </c>
      <c r="S706">
        <f t="shared" ref="S706:S769" si="106">IF(G706="","N/A",MAX(G706-F706,0))</f>
        <v>0</v>
      </c>
      <c r="T706">
        <f t="shared" ref="T706:T769" si="107">IF(S706="N/A",0,S706*500)</f>
        <v>0</v>
      </c>
    </row>
    <row r="707" spans="1:20">
      <c r="A707" t="s">
        <v>1185</v>
      </c>
      <c r="B707" t="s">
        <v>32</v>
      </c>
      <c r="C707" t="s">
        <v>12</v>
      </c>
      <c r="D707">
        <v>703</v>
      </c>
      <c r="E707" s="4">
        <v>46156</v>
      </c>
      <c r="F707" s="4">
        <v>46167</v>
      </c>
      <c r="G707" s="4">
        <v>46170</v>
      </c>
      <c r="H707">
        <v>693</v>
      </c>
      <c r="I707" t="s">
        <v>96</v>
      </c>
      <c r="J707">
        <v>24</v>
      </c>
      <c r="K707" t="s">
        <v>1563</v>
      </c>
      <c r="L707" t="str">
        <f t="shared" si="99"/>
        <v>N</v>
      </c>
      <c r="M707" t="str">
        <f t="shared" si="100"/>
        <v>Y</v>
      </c>
      <c r="N707" t="str">
        <f t="shared" si="101"/>
        <v>N</v>
      </c>
      <c r="O707">
        <f t="shared" si="102"/>
        <v>14</v>
      </c>
      <c r="P707" s="6">
        <f t="shared" si="103"/>
        <v>0.98577524893314372</v>
      </c>
      <c r="Q707" s="6">
        <f t="shared" si="104"/>
        <v>3.4632034632034632E-2</v>
      </c>
      <c r="R707">
        <f t="shared" si="105"/>
        <v>0</v>
      </c>
      <c r="S707">
        <f t="shared" si="106"/>
        <v>3</v>
      </c>
      <c r="T707">
        <f t="shared" si="107"/>
        <v>1500</v>
      </c>
    </row>
    <row r="708" spans="1:20">
      <c r="A708" t="s">
        <v>1186</v>
      </c>
      <c r="B708" t="s">
        <v>54</v>
      </c>
      <c r="C708" t="s">
        <v>12</v>
      </c>
      <c r="D708">
        <v>482</v>
      </c>
      <c r="E708" s="4">
        <v>46116</v>
      </c>
      <c r="F708" s="4">
        <v>46131</v>
      </c>
      <c r="G708" s="4">
        <v>46129</v>
      </c>
      <c r="H708">
        <v>485</v>
      </c>
      <c r="I708" t="s">
        <v>105</v>
      </c>
      <c r="J708">
        <v>2</v>
      </c>
      <c r="K708" t="s">
        <v>1563</v>
      </c>
      <c r="L708" t="str">
        <f t="shared" si="99"/>
        <v>Y</v>
      </c>
      <c r="M708" t="str">
        <f t="shared" si="100"/>
        <v>Y</v>
      </c>
      <c r="N708" t="str">
        <f t="shared" si="101"/>
        <v>Y</v>
      </c>
      <c r="O708">
        <f t="shared" si="102"/>
        <v>13</v>
      </c>
      <c r="P708" s="6">
        <f t="shared" si="103"/>
        <v>1.0062240663900415</v>
      </c>
      <c r="Q708" s="6">
        <f t="shared" si="104"/>
        <v>4.1237113402061857E-3</v>
      </c>
      <c r="R708">
        <f t="shared" si="105"/>
        <v>1</v>
      </c>
      <c r="S708">
        <f t="shared" si="106"/>
        <v>0</v>
      </c>
      <c r="T708">
        <f t="shared" si="107"/>
        <v>0</v>
      </c>
    </row>
    <row r="709" spans="1:20">
      <c r="A709" t="s">
        <v>1187</v>
      </c>
      <c r="B709" t="s">
        <v>54</v>
      </c>
      <c r="C709" t="s">
        <v>16</v>
      </c>
      <c r="D709">
        <v>898</v>
      </c>
      <c r="E709" s="4">
        <v>46035</v>
      </c>
      <c r="F709" s="4">
        <v>46050</v>
      </c>
      <c r="G709" s="4">
        <v>46047</v>
      </c>
      <c r="H709">
        <v>909</v>
      </c>
      <c r="I709" t="s">
        <v>79</v>
      </c>
      <c r="J709">
        <v>21</v>
      </c>
      <c r="K709" t="s">
        <v>1563</v>
      </c>
      <c r="L709" t="str">
        <f t="shared" si="99"/>
        <v>Y</v>
      </c>
      <c r="M709" t="str">
        <f t="shared" si="100"/>
        <v>Y</v>
      </c>
      <c r="N709" t="str">
        <f t="shared" si="101"/>
        <v>Y</v>
      </c>
      <c r="O709">
        <f t="shared" si="102"/>
        <v>12</v>
      </c>
      <c r="P709" s="6">
        <f t="shared" si="103"/>
        <v>1.012249443207127</v>
      </c>
      <c r="Q709" s="6">
        <f t="shared" si="104"/>
        <v>2.3102310231023101E-2</v>
      </c>
      <c r="R709">
        <f t="shared" si="105"/>
        <v>1</v>
      </c>
      <c r="S709">
        <f t="shared" si="106"/>
        <v>0</v>
      </c>
      <c r="T709">
        <f t="shared" si="107"/>
        <v>0</v>
      </c>
    </row>
    <row r="710" spans="1:20">
      <c r="A710" t="s">
        <v>1188</v>
      </c>
      <c r="B710" t="s">
        <v>43</v>
      </c>
      <c r="C710" t="s">
        <v>12</v>
      </c>
      <c r="D710">
        <v>340</v>
      </c>
      <c r="E710" s="4">
        <v>46041</v>
      </c>
      <c r="F710" s="4">
        <v>46053</v>
      </c>
      <c r="G710" s="4">
        <v>46053</v>
      </c>
      <c r="H710">
        <v>343</v>
      </c>
      <c r="I710" t="s">
        <v>38</v>
      </c>
      <c r="J710">
        <v>16</v>
      </c>
      <c r="K710" t="s">
        <v>1563</v>
      </c>
      <c r="L710" t="str">
        <f t="shared" si="99"/>
        <v>Y</v>
      </c>
      <c r="M710" t="str">
        <f t="shared" si="100"/>
        <v>Y</v>
      </c>
      <c r="N710" t="str">
        <f t="shared" si="101"/>
        <v>Y</v>
      </c>
      <c r="O710">
        <f t="shared" si="102"/>
        <v>12</v>
      </c>
      <c r="P710" s="6">
        <f t="shared" si="103"/>
        <v>1.0088235294117647</v>
      </c>
      <c r="Q710" s="6">
        <f t="shared" si="104"/>
        <v>4.6647230320699708E-2</v>
      </c>
      <c r="R710">
        <f t="shared" si="105"/>
        <v>1</v>
      </c>
      <c r="S710">
        <f t="shared" si="106"/>
        <v>0</v>
      </c>
      <c r="T710">
        <f t="shared" si="107"/>
        <v>0</v>
      </c>
    </row>
    <row r="711" spans="1:20">
      <c r="A711" t="s">
        <v>1189</v>
      </c>
      <c r="B711" t="s">
        <v>100</v>
      </c>
      <c r="C711" t="s">
        <v>12</v>
      </c>
      <c r="D711">
        <v>263</v>
      </c>
      <c r="E711" s="4">
        <v>46124</v>
      </c>
      <c r="F711" s="4">
        <v>46133</v>
      </c>
      <c r="G711" s="4">
        <v>46132</v>
      </c>
      <c r="H711">
        <v>260</v>
      </c>
      <c r="I711" t="s">
        <v>734</v>
      </c>
      <c r="J711">
        <v>4</v>
      </c>
      <c r="K711" t="s">
        <v>1563</v>
      </c>
      <c r="L711" t="str">
        <f t="shared" si="99"/>
        <v>Y</v>
      </c>
      <c r="M711" t="str">
        <f t="shared" si="100"/>
        <v>Y</v>
      </c>
      <c r="N711" t="str">
        <f t="shared" si="101"/>
        <v>Y</v>
      </c>
      <c r="O711">
        <f t="shared" si="102"/>
        <v>8</v>
      </c>
      <c r="P711" s="6">
        <f t="shared" si="103"/>
        <v>0.98859315589353614</v>
      </c>
      <c r="Q711" s="6">
        <f t="shared" si="104"/>
        <v>1.5384615384615385E-2</v>
      </c>
      <c r="R711">
        <f t="shared" si="105"/>
        <v>1</v>
      </c>
      <c r="S711">
        <f t="shared" si="106"/>
        <v>0</v>
      </c>
      <c r="T711">
        <f t="shared" si="107"/>
        <v>0</v>
      </c>
    </row>
    <row r="712" spans="1:20">
      <c r="A712" t="s">
        <v>1190</v>
      </c>
      <c r="B712" t="s">
        <v>43</v>
      </c>
      <c r="C712" t="s">
        <v>23</v>
      </c>
      <c r="D712">
        <v>821</v>
      </c>
      <c r="E712" s="4">
        <v>46060</v>
      </c>
      <c r="F712" s="4">
        <v>46067</v>
      </c>
      <c r="G712" s="4">
        <v>46065</v>
      </c>
      <c r="H712">
        <v>826</v>
      </c>
      <c r="I712" t="s">
        <v>1191</v>
      </c>
      <c r="J712">
        <v>17</v>
      </c>
      <c r="K712" t="s">
        <v>1563</v>
      </c>
      <c r="L712" t="str">
        <f t="shared" si="99"/>
        <v>Y</v>
      </c>
      <c r="M712" t="str">
        <f t="shared" si="100"/>
        <v>Y</v>
      </c>
      <c r="N712" t="str">
        <f t="shared" si="101"/>
        <v>Y</v>
      </c>
      <c r="O712">
        <f t="shared" si="102"/>
        <v>5</v>
      </c>
      <c r="P712" s="6">
        <f t="shared" si="103"/>
        <v>1.0060901339829476</v>
      </c>
      <c r="Q712" s="6">
        <f t="shared" si="104"/>
        <v>2.0581113801452784E-2</v>
      </c>
      <c r="R712">
        <f t="shared" si="105"/>
        <v>1</v>
      </c>
      <c r="S712">
        <f t="shared" si="106"/>
        <v>0</v>
      </c>
      <c r="T712">
        <f t="shared" si="107"/>
        <v>0</v>
      </c>
    </row>
    <row r="713" spans="1:20">
      <c r="A713" t="s">
        <v>1192</v>
      </c>
      <c r="B713" t="s">
        <v>19</v>
      </c>
      <c r="C713" t="s">
        <v>12</v>
      </c>
      <c r="D713">
        <v>590</v>
      </c>
      <c r="E713" s="4">
        <v>46099</v>
      </c>
      <c r="F713" s="4">
        <v>46112</v>
      </c>
      <c r="G713" s="4">
        <v>46109</v>
      </c>
      <c r="H713">
        <v>546</v>
      </c>
      <c r="I713" t="s">
        <v>1193</v>
      </c>
      <c r="J713">
        <v>20</v>
      </c>
      <c r="K713" t="s">
        <v>1563</v>
      </c>
      <c r="L713" t="str">
        <f t="shared" si="99"/>
        <v>Y</v>
      </c>
      <c r="M713" t="str">
        <f t="shared" si="100"/>
        <v>N</v>
      </c>
      <c r="N713" t="str">
        <f t="shared" si="101"/>
        <v>N</v>
      </c>
      <c r="O713">
        <f t="shared" si="102"/>
        <v>10</v>
      </c>
      <c r="P713" s="6">
        <f t="shared" si="103"/>
        <v>0.92542372881355928</v>
      </c>
      <c r="Q713" s="6">
        <f t="shared" si="104"/>
        <v>3.6630036630036632E-2</v>
      </c>
      <c r="R713">
        <f t="shared" si="105"/>
        <v>0</v>
      </c>
      <c r="S713">
        <f t="shared" si="106"/>
        <v>0</v>
      </c>
      <c r="T713">
        <f t="shared" si="107"/>
        <v>0</v>
      </c>
    </row>
    <row r="714" spans="1:20">
      <c r="A714" t="s">
        <v>1194</v>
      </c>
      <c r="B714" t="s">
        <v>35</v>
      </c>
      <c r="C714" t="s">
        <v>12</v>
      </c>
      <c r="D714">
        <v>929</v>
      </c>
      <c r="E714" s="4">
        <v>46130</v>
      </c>
      <c r="F714" s="4">
        <v>46140</v>
      </c>
      <c r="G714" s="4">
        <v>46138</v>
      </c>
      <c r="H714">
        <v>923</v>
      </c>
      <c r="I714" t="s">
        <v>154</v>
      </c>
      <c r="J714">
        <v>6</v>
      </c>
      <c r="K714" t="s">
        <v>1563</v>
      </c>
      <c r="L714" t="str">
        <f t="shared" si="99"/>
        <v>Y</v>
      </c>
      <c r="M714" t="str">
        <f t="shared" si="100"/>
        <v>Y</v>
      </c>
      <c r="N714" t="str">
        <f t="shared" si="101"/>
        <v>Y</v>
      </c>
      <c r="O714">
        <f t="shared" si="102"/>
        <v>8</v>
      </c>
      <c r="P714" s="6">
        <f t="shared" si="103"/>
        <v>0.9935414424111948</v>
      </c>
      <c r="Q714" s="6">
        <f t="shared" si="104"/>
        <v>6.5005417118093175E-3</v>
      </c>
      <c r="R714">
        <f t="shared" si="105"/>
        <v>1</v>
      </c>
      <c r="S714">
        <f t="shared" si="106"/>
        <v>0</v>
      </c>
      <c r="T714">
        <f t="shared" si="107"/>
        <v>0</v>
      </c>
    </row>
    <row r="715" spans="1:20">
      <c r="A715" t="s">
        <v>1195</v>
      </c>
      <c r="B715" t="s">
        <v>32</v>
      </c>
      <c r="C715" t="s">
        <v>12</v>
      </c>
      <c r="D715">
        <v>859</v>
      </c>
      <c r="E715" s="4">
        <v>46173</v>
      </c>
      <c r="F715" s="4">
        <v>46188</v>
      </c>
      <c r="G715" s="4">
        <v>46188</v>
      </c>
      <c r="H715">
        <v>795</v>
      </c>
      <c r="I715" t="s">
        <v>156</v>
      </c>
      <c r="J715">
        <v>29</v>
      </c>
      <c r="K715" t="s">
        <v>1563</v>
      </c>
      <c r="L715" t="str">
        <f t="shared" si="99"/>
        <v>Y</v>
      </c>
      <c r="M715" t="str">
        <f t="shared" si="100"/>
        <v>N</v>
      </c>
      <c r="N715" t="str">
        <f t="shared" si="101"/>
        <v>N</v>
      </c>
      <c r="O715">
        <f t="shared" si="102"/>
        <v>15</v>
      </c>
      <c r="P715" s="6">
        <f t="shared" si="103"/>
        <v>0.92549476135040742</v>
      </c>
      <c r="Q715" s="6">
        <f t="shared" si="104"/>
        <v>3.6477987421383647E-2</v>
      </c>
      <c r="R715">
        <f t="shared" si="105"/>
        <v>0</v>
      </c>
      <c r="S715">
        <f t="shared" si="106"/>
        <v>0</v>
      </c>
      <c r="T715">
        <f t="shared" si="107"/>
        <v>0</v>
      </c>
    </row>
    <row r="716" spans="1:20">
      <c r="A716" t="s">
        <v>1197</v>
      </c>
      <c r="B716" t="s">
        <v>100</v>
      </c>
      <c r="C716" t="s">
        <v>16</v>
      </c>
      <c r="D716">
        <v>237</v>
      </c>
      <c r="E716" s="4">
        <v>46125</v>
      </c>
      <c r="F716" s="4">
        <v>46131</v>
      </c>
      <c r="G716" s="4">
        <v>46130</v>
      </c>
      <c r="H716">
        <v>238</v>
      </c>
      <c r="I716" t="s">
        <v>767</v>
      </c>
      <c r="J716">
        <v>4</v>
      </c>
      <c r="K716" t="s">
        <v>1563</v>
      </c>
      <c r="L716" t="str">
        <f t="shared" si="99"/>
        <v>Y</v>
      </c>
      <c r="M716" t="str">
        <f t="shared" si="100"/>
        <v>Y</v>
      </c>
      <c r="N716" t="str">
        <f t="shared" si="101"/>
        <v>Y</v>
      </c>
      <c r="O716">
        <f t="shared" si="102"/>
        <v>5</v>
      </c>
      <c r="P716" s="6">
        <f t="shared" si="103"/>
        <v>1.0042194092827004</v>
      </c>
      <c r="Q716" s="6">
        <f t="shared" si="104"/>
        <v>1.680672268907563E-2</v>
      </c>
      <c r="R716">
        <f t="shared" si="105"/>
        <v>1</v>
      </c>
      <c r="S716">
        <f t="shared" si="106"/>
        <v>0</v>
      </c>
      <c r="T716">
        <f t="shared" si="107"/>
        <v>0</v>
      </c>
    </row>
    <row r="717" spans="1:20">
      <c r="A717" t="s">
        <v>1198</v>
      </c>
      <c r="B717" t="s">
        <v>120</v>
      </c>
      <c r="C717" t="s">
        <v>23</v>
      </c>
      <c r="D717">
        <v>935</v>
      </c>
      <c r="E717" s="4">
        <v>46128</v>
      </c>
      <c r="F717" s="4">
        <v>46136</v>
      </c>
      <c r="G717" s="4"/>
      <c r="I717" t="s">
        <v>1199</v>
      </c>
      <c r="K717" t="s">
        <v>1565</v>
      </c>
      <c r="L717" t="str">
        <f t="shared" si="99"/>
        <v>N/A</v>
      </c>
      <c r="M717" t="str">
        <f t="shared" si="100"/>
        <v>N/A</v>
      </c>
      <c r="N717" t="str">
        <f t="shared" si="101"/>
        <v>N/A</v>
      </c>
      <c r="O717" t="str">
        <f t="shared" si="102"/>
        <v>N/A</v>
      </c>
      <c r="P717" s="6" t="str">
        <f t="shared" si="103"/>
        <v>N/A</v>
      </c>
      <c r="Q717" s="6" t="str">
        <f t="shared" si="104"/>
        <v>N/A</v>
      </c>
      <c r="R717" t="str">
        <f t="shared" si="105"/>
        <v/>
      </c>
      <c r="S717" t="str">
        <f t="shared" si="106"/>
        <v>N/A</v>
      </c>
      <c r="T717">
        <f t="shared" si="107"/>
        <v>0</v>
      </c>
    </row>
    <row r="718" spans="1:20">
      <c r="A718" t="s">
        <v>1200</v>
      </c>
      <c r="B718" t="s">
        <v>29</v>
      </c>
      <c r="C718" t="s">
        <v>12</v>
      </c>
      <c r="D718">
        <v>651</v>
      </c>
      <c r="E718" s="4">
        <v>46143</v>
      </c>
      <c r="F718" s="4">
        <v>46154</v>
      </c>
      <c r="G718" s="4">
        <v>46152</v>
      </c>
      <c r="H718">
        <v>613</v>
      </c>
      <c r="I718" t="s">
        <v>444</v>
      </c>
      <c r="J718">
        <v>5</v>
      </c>
      <c r="K718" t="s">
        <v>1563</v>
      </c>
      <c r="L718" t="str">
        <f t="shared" si="99"/>
        <v>Y</v>
      </c>
      <c r="M718" t="str">
        <f t="shared" si="100"/>
        <v>N</v>
      </c>
      <c r="N718" t="str">
        <f t="shared" si="101"/>
        <v>N</v>
      </c>
      <c r="O718">
        <f t="shared" si="102"/>
        <v>9</v>
      </c>
      <c r="P718" s="6">
        <f t="shared" si="103"/>
        <v>0.94162826420890933</v>
      </c>
      <c r="Q718" s="6">
        <f t="shared" si="104"/>
        <v>8.1566068515497546E-3</v>
      </c>
      <c r="R718">
        <f t="shared" si="105"/>
        <v>0</v>
      </c>
      <c r="S718">
        <f t="shared" si="106"/>
        <v>0</v>
      </c>
      <c r="T718">
        <f t="shared" si="107"/>
        <v>0</v>
      </c>
    </row>
    <row r="719" spans="1:20">
      <c r="A719" t="s">
        <v>1201</v>
      </c>
      <c r="B719" t="s">
        <v>49</v>
      </c>
      <c r="C719" t="s">
        <v>23</v>
      </c>
      <c r="D719">
        <v>727</v>
      </c>
      <c r="E719" s="4">
        <v>46136</v>
      </c>
      <c r="F719" s="4">
        <v>46151</v>
      </c>
      <c r="G719" s="4">
        <v>46151</v>
      </c>
      <c r="H719">
        <v>724</v>
      </c>
      <c r="I719" t="s">
        <v>118</v>
      </c>
      <c r="J719">
        <v>11</v>
      </c>
      <c r="K719" t="s">
        <v>1563</v>
      </c>
      <c r="L719" t="str">
        <f t="shared" si="99"/>
        <v>Y</v>
      </c>
      <c r="M719" t="str">
        <f t="shared" si="100"/>
        <v>Y</v>
      </c>
      <c r="N719" t="str">
        <f t="shared" si="101"/>
        <v>Y</v>
      </c>
      <c r="O719">
        <f t="shared" si="102"/>
        <v>15</v>
      </c>
      <c r="P719" s="6">
        <f t="shared" si="103"/>
        <v>0.99587345254470427</v>
      </c>
      <c r="Q719" s="6">
        <f t="shared" si="104"/>
        <v>1.5193370165745856E-2</v>
      </c>
      <c r="R719">
        <f t="shared" si="105"/>
        <v>1</v>
      </c>
      <c r="S719">
        <f t="shared" si="106"/>
        <v>0</v>
      </c>
      <c r="T719">
        <f t="shared" si="107"/>
        <v>0</v>
      </c>
    </row>
    <row r="720" spans="1:20">
      <c r="A720" t="s">
        <v>1202</v>
      </c>
      <c r="B720" t="s">
        <v>40</v>
      </c>
      <c r="C720" t="s">
        <v>16</v>
      </c>
      <c r="D720">
        <v>415</v>
      </c>
      <c r="E720" s="4">
        <v>46054</v>
      </c>
      <c r="F720" s="4">
        <v>46068</v>
      </c>
      <c r="G720" s="4">
        <v>46073</v>
      </c>
      <c r="H720">
        <v>413</v>
      </c>
      <c r="I720" t="s">
        <v>1203</v>
      </c>
      <c r="J720">
        <v>27</v>
      </c>
      <c r="K720" t="s">
        <v>1563</v>
      </c>
      <c r="L720" t="str">
        <f t="shared" si="99"/>
        <v>N</v>
      </c>
      <c r="M720" t="str">
        <f t="shared" si="100"/>
        <v>Y</v>
      </c>
      <c r="N720" t="str">
        <f t="shared" si="101"/>
        <v>N</v>
      </c>
      <c r="O720">
        <f t="shared" si="102"/>
        <v>19</v>
      </c>
      <c r="P720" s="6">
        <f t="shared" si="103"/>
        <v>0.99518072289156623</v>
      </c>
      <c r="Q720" s="6">
        <f t="shared" si="104"/>
        <v>6.5375302663438259E-2</v>
      </c>
      <c r="R720">
        <f t="shared" si="105"/>
        <v>0</v>
      </c>
      <c r="S720">
        <f t="shared" si="106"/>
        <v>5</v>
      </c>
      <c r="T720">
        <f t="shared" si="107"/>
        <v>2500</v>
      </c>
    </row>
    <row r="721" spans="1:20">
      <c r="A721" t="s">
        <v>1204</v>
      </c>
      <c r="B721" t="s">
        <v>19</v>
      </c>
      <c r="C721" t="s">
        <v>12</v>
      </c>
      <c r="D721">
        <v>197</v>
      </c>
      <c r="E721" s="4">
        <v>46030</v>
      </c>
      <c r="F721" s="4">
        <v>46040</v>
      </c>
      <c r="G721" s="4">
        <v>46040</v>
      </c>
      <c r="H721">
        <v>200</v>
      </c>
      <c r="I721" t="s">
        <v>1205</v>
      </c>
      <c r="J721">
        <v>8</v>
      </c>
      <c r="K721" t="s">
        <v>1563</v>
      </c>
      <c r="L721" t="str">
        <f t="shared" si="99"/>
        <v>Y</v>
      </c>
      <c r="M721" t="str">
        <f t="shared" si="100"/>
        <v>Y</v>
      </c>
      <c r="N721" t="str">
        <f t="shared" si="101"/>
        <v>Y</v>
      </c>
      <c r="O721">
        <f t="shared" si="102"/>
        <v>10</v>
      </c>
      <c r="P721" s="6">
        <f t="shared" si="103"/>
        <v>1.015228426395939</v>
      </c>
      <c r="Q721" s="6">
        <f t="shared" si="104"/>
        <v>0.04</v>
      </c>
      <c r="R721">
        <f t="shared" si="105"/>
        <v>1</v>
      </c>
      <c r="S721">
        <f t="shared" si="106"/>
        <v>0</v>
      </c>
      <c r="T721">
        <f t="shared" si="107"/>
        <v>0</v>
      </c>
    </row>
    <row r="722" spans="1:20">
      <c r="A722" t="s">
        <v>1206</v>
      </c>
      <c r="B722" t="s">
        <v>64</v>
      </c>
      <c r="C722" t="s">
        <v>16</v>
      </c>
      <c r="D722">
        <v>753</v>
      </c>
      <c r="E722" s="4">
        <v>46104</v>
      </c>
      <c r="F722" s="4">
        <v>46111</v>
      </c>
      <c r="G722" s="4">
        <v>46109</v>
      </c>
      <c r="H722">
        <v>717</v>
      </c>
      <c r="I722" t="s">
        <v>1207</v>
      </c>
      <c r="J722">
        <v>7</v>
      </c>
      <c r="K722" t="s">
        <v>1563</v>
      </c>
      <c r="L722" t="str">
        <f t="shared" si="99"/>
        <v>Y</v>
      </c>
      <c r="M722" t="str">
        <f t="shared" si="100"/>
        <v>N</v>
      </c>
      <c r="N722" t="str">
        <f t="shared" si="101"/>
        <v>N</v>
      </c>
      <c r="O722">
        <f t="shared" si="102"/>
        <v>5</v>
      </c>
      <c r="P722" s="6">
        <f t="shared" si="103"/>
        <v>0.952191235059761</v>
      </c>
      <c r="Q722" s="6">
        <f t="shared" si="104"/>
        <v>9.7629009762900971E-3</v>
      </c>
      <c r="R722">
        <f t="shared" si="105"/>
        <v>0</v>
      </c>
      <c r="S722">
        <f t="shared" si="106"/>
        <v>0</v>
      </c>
      <c r="T722">
        <f t="shared" si="107"/>
        <v>0</v>
      </c>
    </row>
    <row r="723" spans="1:20">
      <c r="A723" t="s">
        <v>1208</v>
      </c>
      <c r="B723" t="s">
        <v>32</v>
      </c>
      <c r="C723" t="s">
        <v>12</v>
      </c>
      <c r="D723">
        <v>596</v>
      </c>
      <c r="E723" s="4">
        <v>46092</v>
      </c>
      <c r="F723" s="4">
        <v>46106</v>
      </c>
      <c r="G723" s="4">
        <v>46103</v>
      </c>
      <c r="H723">
        <v>531</v>
      </c>
      <c r="I723" t="s">
        <v>690</v>
      </c>
      <c r="J723">
        <v>15</v>
      </c>
      <c r="K723" t="s">
        <v>1563</v>
      </c>
      <c r="L723" t="str">
        <f t="shared" si="99"/>
        <v>Y</v>
      </c>
      <c r="M723" t="str">
        <f t="shared" si="100"/>
        <v>N</v>
      </c>
      <c r="N723" t="str">
        <f t="shared" si="101"/>
        <v>N</v>
      </c>
      <c r="O723">
        <f t="shared" si="102"/>
        <v>11</v>
      </c>
      <c r="P723" s="6">
        <f t="shared" si="103"/>
        <v>0.89093959731543626</v>
      </c>
      <c r="Q723" s="6">
        <f t="shared" si="104"/>
        <v>2.8248587570621469E-2</v>
      </c>
      <c r="R723">
        <f t="shared" si="105"/>
        <v>0</v>
      </c>
      <c r="S723">
        <f t="shared" si="106"/>
        <v>0</v>
      </c>
      <c r="T723">
        <f t="shared" si="107"/>
        <v>0</v>
      </c>
    </row>
    <row r="724" spans="1:20">
      <c r="A724" t="s">
        <v>1209</v>
      </c>
      <c r="B724" t="s">
        <v>35</v>
      </c>
      <c r="C724" t="s">
        <v>12</v>
      </c>
      <c r="D724">
        <v>962</v>
      </c>
      <c r="E724" s="4">
        <v>46033</v>
      </c>
      <c r="F724" s="4">
        <v>46046</v>
      </c>
      <c r="G724" s="4">
        <v>46044</v>
      </c>
      <c r="H724">
        <v>973</v>
      </c>
      <c r="I724" t="s">
        <v>1193</v>
      </c>
      <c r="J724">
        <v>47</v>
      </c>
      <c r="K724" t="s">
        <v>1563</v>
      </c>
      <c r="L724" t="str">
        <f t="shared" si="99"/>
        <v>Y</v>
      </c>
      <c r="M724" t="str">
        <f t="shared" si="100"/>
        <v>Y</v>
      </c>
      <c r="N724" t="str">
        <f t="shared" si="101"/>
        <v>Y</v>
      </c>
      <c r="O724">
        <f t="shared" si="102"/>
        <v>11</v>
      </c>
      <c r="P724" s="6">
        <f t="shared" si="103"/>
        <v>1.0114345114345114</v>
      </c>
      <c r="Q724" s="6">
        <f t="shared" si="104"/>
        <v>4.8304213771839674E-2</v>
      </c>
      <c r="R724">
        <f t="shared" si="105"/>
        <v>1</v>
      </c>
      <c r="S724">
        <f t="shared" si="106"/>
        <v>0</v>
      </c>
      <c r="T724">
        <f t="shared" si="107"/>
        <v>0</v>
      </c>
    </row>
    <row r="725" spans="1:20">
      <c r="A725" t="s">
        <v>1210</v>
      </c>
      <c r="B725" t="s">
        <v>100</v>
      </c>
      <c r="C725" t="s">
        <v>12</v>
      </c>
      <c r="D725">
        <v>636</v>
      </c>
      <c r="E725" s="4">
        <v>46053</v>
      </c>
      <c r="F725" s="4">
        <v>46062</v>
      </c>
      <c r="G725" s="4">
        <v>46059</v>
      </c>
      <c r="H725">
        <v>638</v>
      </c>
      <c r="I725" t="s">
        <v>160</v>
      </c>
      <c r="J725">
        <v>7</v>
      </c>
      <c r="K725" t="s">
        <v>1563</v>
      </c>
      <c r="L725" t="str">
        <f t="shared" si="99"/>
        <v>Y</v>
      </c>
      <c r="M725" t="str">
        <f t="shared" si="100"/>
        <v>Y</v>
      </c>
      <c r="N725" t="str">
        <f t="shared" si="101"/>
        <v>Y</v>
      </c>
      <c r="O725">
        <f t="shared" si="102"/>
        <v>6</v>
      </c>
      <c r="P725" s="6">
        <f t="shared" si="103"/>
        <v>1.0031446540880504</v>
      </c>
      <c r="Q725" s="6">
        <f t="shared" si="104"/>
        <v>1.0971786833855799E-2</v>
      </c>
      <c r="R725">
        <f t="shared" si="105"/>
        <v>1</v>
      </c>
      <c r="S725">
        <f t="shared" si="106"/>
        <v>0</v>
      </c>
      <c r="T725">
        <f t="shared" si="107"/>
        <v>0</v>
      </c>
    </row>
    <row r="726" spans="1:20">
      <c r="A726" t="s">
        <v>1211</v>
      </c>
      <c r="B726" t="s">
        <v>46</v>
      </c>
      <c r="C726" t="s">
        <v>16</v>
      </c>
      <c r="D726">
        <v>539</v>
      </c>
      <c r="E726" s="4">
        <v>46099</v>
      </c>
      <c r="F726" s="4">
        <v>46107</v>
      </c>
      <c r="G726" s="4">
        <v>46106</v>
      </c>
      <c r="H726">
        <v>539</v>
      </c>
      <c r="I726" t="s">
        <v>775</v>
      </c>
      <c r="J726">
        <v>51</v>
      </c>
      <c r="K726" t="s">
        <v>1563</v>
      </c>
      <c r="L726" t="str">
        <f t="shared" si="99"/>
        <v>Y</v>
      </c>
      <c r="M726" t="str">
        <f t="shared" si="100"/>
        <v>Y</v>
      </c>
      <c r="N726" t="str">
        <f t="shared" si="101"/>
        <v>Y</v>
      </c>
      <c r="O726">
        <f t="shared" si="102"/>
        <v>7</v>
      </c>
      <c r="P726" s="6">
        <f t="shared" si="103"/>
        <v>1</v>
      </c>
      <c r="Q726" s="6">
        <f t="shared" si="104"/>
        <v>9.4619666048237475E-2</v>
      </c>
      <c r="R726">
        <f t="shared" si="105"/>
        <v>1</v>
      </c>
      <c r="S726">
        <f t="shared" si="106"/>
        <v>0</v>
      </c>
      <c r="T726">
        <f t="shared" si="107"/>
        <v>0</v>
      </c>
    </row>
    <row r="727" spans="1:20">
      <c r="A727" t="s">
        <v>1212</v>
      </c>
      <c r="B727" t="s">
        <v>26</v>
      </c>
      <c r="C727" t="s">
        <v>16</v>
      </c>
      <c r="D727">
        <v>386</v>
      </c>
      <c r="E727" s="4">
        <v>46109</v>
      </c>
      <c r="F727" s="4">
        <v>46119</v>
      </c>
      <c r="G727" s="4">
        <v>46117</v>
      </c>
      <c r="H727">
        <v>388</v>
      </c>
      <c r="I727" t="s">
        <v>666</v>
      </c>
      <c r="J727">
        <v>9</v>
      </c>
      <c r="K727" t="s">
        <v>1563</v>
      </c>
      <c r="L727" t="str">
        <f t="shared" si="99"/>
        <v>Y</v>
      </c>
      <c r="M727" t="str">
        <f t="shared" si="100"/>
        <v>Y</v>
      </c>
      <c r="N727" t="str">
        <f t="shared" si="101"/>
        <v>Y</v>
      </c>
      <c r="O727">
        <f t="shared" si="102"/>
        <v>8</v>
      </c>
      <c r="P727" s="6">
        <f t="shared" si="103"/>
        <v>1.0051813471502591</v>
      </c>
      <c r="Q727" s="6">
        <f t="shared" si="104"/>
        <v>2.3195876288659795E-2</v>
      </c>
      <c r="R727">
        <f t="shared" si="105"/>
        <v>1</v>
      </c>
      <c r="S727">
        <f t="shared" si="106"/>
        <v>0</v>
      </c>
      <c r="T727">
        <f t="shared" si="107"/>
        <v>0</v>
      </c>
    </row>
    <row r="728" spans="1:20">
      <c r="A728" t="s">
        <v>1213</v>
      </c>
      <c r="B728" t="s">
        <v>22</v>
      </c>
      <c r="C728" t="s">
        <v>12</v>
      </c>
      <c r="D728">
        <v>300</v>
      </c>
      <c r="E728" s="4">
        <v>46132</v>
      </c>
      <c r="F728" s="4">
        <v>46147</v>
      </c>
      <c r="G728" s="4">
        <v>46147</v>
      </c>
      <c r="H728">
        <v>298</v>
      </c>
      <c r="I728" t="s">
        <v>73</v>
      </c>
      <c r="J728">
        <v>20</v>
      </c>
      <c r="K728" t="s">
        <v>1563</v>
      </c>
      <c r="L728" t="str">
        <f t="shared" si="99"/>
        <v>Y</v>
      </c>
      <c r="M728" t="str">
        <f t="shared" si="100"/>
        <v>Y</v>
      </c>
      <c r="N728" t="str">
        <f t="shared" si="101"/>
        <v>Y</v>
      </c>
      <c r="O728">
        <f t="shared" si="102"/>
        <v>15</v>
      </c>
      <c r="P728" s="6">
        <f t="shared" si="103"/>
        <v>0.99333333333333329</v>
      </c>
      <c r="Q728" s="6">
        <f t="shared" si="104"/>
        <v>6.7114093959731544E-2</v>
      </c>
      <c r="R728">
        <f t="shared" si="105"/>
        <v>1</v>
      </c>
      <c r="S728">
        <f t="shared" si="106"/>
        <v>0</v>
      </c>
      <c r="T728">
        <f t="shared" si="107"/>
        <v>0</v>
      </c>
    </row>
    <row r="729" spans="1:20">
      <c r="A729" t="s">
        <v>1214</v>
      </c>
      <c r="B729" t="s">
        <v>22</v>
      </c>
      <c r="C729" t="s">
        <v>23</v>
      </c>
      <c r="D729">
        <v>583</v>
      </c>
      <c r="E729" s="4">
        <v>46045</v>
      </c>
      <c r="F729" s="4">
        <v>46057</v>
      </c>
      <c r="G729" s="4">
        <v>46063</v>
      </c>
      <c r="H729">
        <v>593</v>
      </c>
      <c r="I729" t="s">
        <v>248</v>
      </c>
      <c r="J729">
        <v>3</v>
      </c>
      <c r="K729" t="s">
        <v>1563</v>
      </c>
      <c r="L729" t="str">
        <f t="shared" si="99"/>
        <v>N</v>
      </c>
      <c r="M729" t="str">
        <f t="shared" si="100"/>
        <v>Y</v>
      </c>
      <c r="N729" t="str">
        <f t="shared" si="101"/>
        <v>N</v>
      </c>
      <c r="O729">
        <f t="shared" si="102"/>
        <v>18</v>
      </c>
      <c r="P729" s="6">
        <f t="shared" si="103"/>
        <v>1.0171526586620927</v>
      </c>
      <c r="Q729" s="6">
        <f t="shared" si="104"/>
        <v>5.0590219224283303E-3</v>
      </c>
      <c r="R729">
        <f t="shared" si="105"/>
        <v>0</v>
      </c>
      <c r="S729">
        <f t="shared" si="106"/>
        <v>6</v>
      </c>
      <c r="T729">
        <f t="shared" si="107"/>
        <v>3000</v>
      </c>
    </row>
    <row r="730" spans="1:20">
      <c r="A730" t="s">
        <v>1215</v>
      </c>
      <c r="B730" t="s">
        <v>54</v>
      </c>
      <c r="C730" t="s">
        <v>12</v>
      </c>
      <c r="D730">
        <v>716</v>
      </c>
      <c r="E730" s="4">
        <v>46052</v>
      </c>
      <c r="F730" s="4">
        <v>46058</v>
      </c>
      <c r="G730" s="4">
        <v>46067</v>
      </c>
      <c r="H730">
        <v>719</v>
      </c>
      <c r="I730" t="s">
        <v>403</v>
      </c>
      <c r="J730">
        <v>10</v>
      </c>
      <c r="K730" t="s">
        <v>1563</v>
      </c>
      <c r="L730" t="str">
        <f t="shared" si="99"/>
        <v>N</v>
      </c>
      <c r="M730" t="str">
        <f t="shared" si="100"/>
        <v>Y</v>
      </c>
      <c r="N730" t="str">
        <f t="shared" si="101"/>
        <v>N</v>
      </c>
      <c r="O730">
        <f t="shared" si="102"/>
        <v>15</v>
      </c>
      <c r="P730" s="6">
        <f t="shared" si="103"/>
        <v>1.0041899441340782</v>
      </c>
      <c r="Q730" s="6">
        <f t="shared" si="104"/>
        <v>1.3908205841446454E-2</v>
      </c>
      <c r="R730">
        <f t="shared" si="105"/>
        <v>0</v>
      </c>
      <c r="S730">
        <f t="shared" si="106"/>
        <v>9</v>
      </c>
      <c r="T730">
        <f t="shared" si="107"/>
        <v>4500</v>
      </c>
    </row>
    <row r="731" spans="1:20">
      <c r="A731" t="s">
        <v>1217</v>
      </c>
      <c r="B731" t="s">
        <v>52</v>
      </c>
      <c r="C731" t="s">
        <v>12</v>
      </c>
      <c r="D731">
        <v>390</v>
      </c>
      <c r="E731" s="4">
        <v>46113</v>
      </c>
      <c r="F731" s="4">
        <v>46122</v>
      </c>
      <c r="G731" s="4">
        <v>46120</v>
      </c>
      <c r="H731">
        <v>394</v>
      </c>
      <c r="I731" t="s">
        <v>403</v>
      </c>
      <c r="J731">
        <v>8</v>
      </c>
      <c r="K731" t="s">
        <v>1563</v>
      </c>
      <c r="L731" t="str">
        <f t="shared" si="99"/>
        <v>Y</v>
      </c>
      <c r="M731" t="str">
        <f t="shared" si="100"/>
        <v>Y</v>
      </c>
      <c r="N731" t="str">
        <f t="shared" si="101"/>
        <v>Y</v>
      </c>
      <c r="O731">
        <f t="shared" si="102"/>
        <v>7</v>
      </c>
      <c r="P731" s="6">
        <f t="shared" si="103"/>
        <v>1.0102564102564102</v>
      </c>
      <c r="Q731" s="6">
        <f t="shared" si="104"/>
        <v>2.030456852791878E-2</v>
      </c>
      <c r="R731">
        <f t="shared" si="105"/>
        <v>1</v>
      </c>
      <c r="S731">
        <f t="shared" si="106"/>
        <v>0</v>
      </c>
      <c r="T731">
        <f t="shared" si="107"/>
        <v>0</v>
      </c>
    </row>
    <row r="732" spans="1:20">
      <c r="A732" t="s">
        <v>1218</v>
      </c>
      <c r="B732" t="s">
        <v>19</v>
      </c>
      <c r="C732" t="s">
        <v>12</v>
      </c>
      <c r="D732">
        <v>845</v>
      </c>
      <c r="E732" s="4">
        <v>46176</v>
      </c>
      <c r="F732" s="4">
        <v>46184</v>
      </c>
      <c r="G732" s="4">
        <v>46182</v>
      </c>
      <c r="H732">
        <v>859</v>
      </c>
      <c r="I732" t="s">
        <v>183</v>
      </c>
      <c r="J732">
        <v>4</v>
      </c>
      <c r="K732" t="s">
        <v>1563</v>
      </c>
      <c r="L732" t="str">
        <f t="shared" si="99"/>
        <v>Y</v>
      </c>
      <c r="M732" t="str">
        <f t="shared" si="100"/>
        <v>Y</v>
      </c>
      <c r="N732" t="str">
        <f t="shared" si="101"/>
        <v>Y</v>
      </c>
      <c r="O732">
        <f t="shared" si="102"/>
        <v>6</v>
      </c>
      <c r="P732" s="6">
        <f t="shared" si="103"/>
        <v>1.016568047337278</v>
      </c>
      <c r="Q732" s="6">
        <f t="shared" si="104"/>
        <v>4.6565774155995342E-3</v>
      </c>
      <c r="R732">
        <f t="shared" si="105"/>
        <v>1</v>
      </c>
      <c r="S732">
        <f t="shared" si="106"/>
        <v>0</v>
      </c>
      <c r="T732">
        <f t="shared" si="107"/>
        <v>0</v>
      </c>
    </row>
    <row r="733" spans="1:20">
      <c r="A733" t="s">
        <v>1219</v>
      </c>
      <c r="B733" t="s">
        <v>32</v>
      </c>
      <c r="C733" t="s">
        <v>12</v>
      </c>
      <c r="D733">
        <v>466</v>
      </c>
      <c r="E733" s="4">
        <v>46148</v>
      </c>
      <c r="F733" s="4">
        <v>46161</v>
      </c>
      <c r="G733" s="4">
        <v>46160</v>
      </c>
      <c r="H733">
        <v>474</v>
      </c>
      <c r="I733" t="s">
        <v>154</v>
      </c>
      <c r="J733">
        <v>28</v>
      </c>
      <c r="K733" t="s">
        <v>1563</v>
      </c>
      <c r="L733" t="str">
        <f t="shared" si="99"/>
        <v>Y</v>
      </c>
      <c r="M733" t="str">
        <f t="shared" si="100"/>
        <v>Y</v>
      </c>
      <c r="N733" t="str">
        <f t="shared" si="101"/>
        <v>Y</v>
      </c>
      <c r="O733">
        <f t="shared" si="102"/>
        <v>12</v>
      </c>
      <c r="P733" s="6">
        <f t="shared" si="103"/>
        <v>1.0171673819742488</v>
      </c>
      <c r="Q733" s="6">
        <f t="shared" si="104"/>
        <v>5.9071729957805907E-2</v>
      </c>
      <c r="R733">
        <f t="shared" si="105"/>
        <v>1</v>
      </c>
      <c r="S733">
        <f t="shared" si="106"/>
        <v>0</v>
      </c>
      <c r="T733">
        <f t="shared" si="107"/>
        <v>0</v>
      </c>
    </row>
    <row r="734" spans="1:20">
      <c r="A734" t="s">
        <v>1220</v>
      </c>
      <c r="B734" t="s">
        <v>120</v>
      </c>
      <c r="C734" t="s">
        <v>16</v>
      </c>
      <c r="D734">
        <v>615</v>
      </c>
      <c r="E734" s="4">
        <v>46169</v>
      </c>
      <c r="F734" s="4">
        <v>46175</v>
      </c>
      <c r="G734" s="4">
        <v>46175</v>
      </c>
      <c r="H734">
        <v>548</v>
      </c>
      <c r="I734" t="s">
        <v>173</v>
      </c>
      <c r="J734">
        <v>10</v>
      </c>
      <c r="K734" t="s">
        <v>1563</v>
      </c>
      <c r="L734" t="str">
        <f t="shared" si="99"/>
        <v>Y</v>
      </c>
      <c r="M734" t="str">
        <f t="shared" si="100"/>
        <v>N</v>
      </c>
      <c r="N734" t="str">
        <f t="shared" si="101"/>
        <v>N</v>
      </c>
      <c r="O734">
        <f t="shared" si="102"/>
        <v>6</v>
      </c>
      <c r="P734" s="6">
        <f t="shared" si="103"/>
        <v>0.89105691056910574</v>
      </c>
      <c r="Q734" s="6">
        <f t="shared" si="104"/>
        <v>1.824817518248175E-2</v>
      </c>
      <c r="R734">
        <f t="shared" si="105"/>
        <v>0</v>
      </c>
      <c r="S734">
        <f t="shared" si="106"/>
        <v>0</v>
      </c>
      <c r="T734">
        <f t="shared" si="107"/>
        <v>0</v>
      </c>
    </row>
    <row r="735" spans="1:20">
      <c r="A735" t="s">
        <v>1221</v>
      </c>
      <c r="B735" t="s">
        <v>70</v>
      </c>
      <c r="C735" t="s">
        <v>12</v>
      </c>
      <c r="D735">
        <v>209</v>
      </c>
      <c r="E735" s="4">
        <v>46078</v>
      </c>
      <c r="F735" s="4">
        <v>46089</v>
      </c>
      <c r="G735" s="4">
        <v>46089</v>
      </c>
      <c r="H735">
        <v>213</v>
      </c>
      <c r="I735" t="s">
        <v>421</v>
      </c>
      <c r="J735">
        <v>4</v>
      </c>
      <c r="K735" t="s">
        <v>1563</v>
      </c>
      <c r="L735" t="str">
        <f t="shared" si="99"/>
        <v>Y</v>
      </c>
      <c r="M735" t="str">
        <f t="shared" si="100"/>
        <v>Y</v>
      </c>
      <c r="N735" t="str">
        <f t="shared" si="101"/>
        <v>Y</v>
      </c>
      <c r="O735">
        <f t="shared" si="102"/>
        <v>11</v>
      </c>
      <c r="P735" s="6">
        <f t="shared" si="103"/>
        <v>1.0191387559808613</v>
      </c>
      <c r="Q735" s="6">
        <f t="shared" si="104"/>
        <v>1.8779342723004695E-2</v>
      </c>
      <c r="R735">
        <f t="shared" si="105"/>
        <v>1</v>
      </c>
      <c r="S735">
        <f t="shared" si="106"/>
        <v>0</v>
      </c>
      <c r="T735">
        <f t="shared" si="107"/>
        <v>0</v>
      </c>
    </row>
    <row r="736" spans="1:20">
      <c r="A736" t="s">
        <v>1222</v>
      </c>
      <c r="B736" t="s">
        <v>46</v>
      </c>
      <c r="C736" t="s">
        <v>16</v>
      </c>
      <c r="D736">
        <v>329</v>
      </c>
      <c r="E736" s="4">
        <v>46088</v>
      </c>
      <c r="F736" s="4">
        <v>46095</v>
      </c>
      <c r="G736" s="4">
        <v>46094</v>
      </c>
      <c r="H736">
        <v>333</v>
      </c>
      <c r="I736" t="s">
        <v>1223</v>
      </c>
      <c r="J736">
        <v>20</v>
      </c>
      <c r="K736" t="s">
        <v>1563</v>
      </c>
      <c r="L736" t="str">
        <f t="shared" si="99"/>
        <v>Y</v>
      </c>
      <c r="M736" t="str">
        <f t="shared" si="100"/>
        <v>Y</v>
      </c>
      <c r="N736" t="str">
        <f t="shared" si="101"/>
        <v>Y</v>
      </c>
      <c r="O736">
        <f t="shared" si="102"/>
        <v>6</v>
      </c>
      <c r="P736" s="6">
        <f t="shared" si="103"/>
        <v>1.0121580547112461</v>
      </c>
      <c r="Q736" s="6">
        <f t="shared" si="104"/>
        <v>6.006006006006006E-2</v>
      </c>
      <c r="R736">
        <f t="shared" si="105"/>
        <v>1</v>
      </c>
      <c r="S736">
        <f t="shared" si="106"/>
        <v>0</v>
      </c>
      <c r="T736">
        <f t="shared" si="107"/>
        <v>0</v>
      </c>
    </row>
    <row r="737" spans="1:20">
      <c r="A737" t="s">
        <v>1224</v>
      </c>
      <c r="B737" t="s">
        <v>100</v>
      </c>
      <c r="C737" t="s">
        <v>16</v>
      </c>
      <c r="D737">
        <v>328</v>
      </c>
      <c r="E737" s="4">
        <v>46057</v>
      </c>
      <c r="F737" s="4">
        <v>46063</v>
      </c>
      <c r="G737" s="4">
        <v>46060</v>
      </c>
      <c r="H737">
        <v>331</v>
      </c>
      <c r="I737" t="s">
        <v>1153</v>
      </c>
      <c r="J737">
        <v>8</v>
      </c>
      <c r="K737" t="s">
        <v>1563</v>
      </c>
      <c r="L737" t="str">
        <f t="shared" si="99"/>
        <v>Y</v>
      </c>
      <c r="M737" t="str">
        <f t="shared" si="100"/>
        <v>Y</v>
      </c>
      <c r="N737" t="str">
        <f t="shared" si="101"/>
        <v>Y</v>
      </c>
      <c r="O737">
        <f t="shared" si="102"/>
        <v>3</v>
      </c>
      <c r="P737" s="6">
        <f t="shared" si="103"/>
        <v>1.0091463414634145</v>
      </c>
      <c r="Q737" s="6">
        <f t="shared" si="104"/>
        <v>2.4169184290030211E-2</v>
      </c>
      <c r="R737">
        <f t="shared" si="105"/>
        <v>1</v>
      </c>
      <c r="S737">
        <f t="shared" si="106"/>
        <v>0</v>
      </c>
      <c r="T737">
        <f t="shared" si="107"/>
        <v>0</v>
      </c>
    </row>
    <row r="738" spans="1:20">
      <c r="A738" t="s">
        <v>1225</v>
      </c>
      <c r="B738" t="s">
        <v>70</v>
      </c>
      <c r="C738" t="s">
        <v>16</v>
      </c>
      <c r="D738">
        <v>135</v>
      </c>
      <c r="E738" s="4">
        <v>46160</v>
      </c>
      <c r="F738" s="4">
        <v>46173</v>
      </c>
      <c r="G738" s="4">
        <v>46181</v>
      </c>
      <c r="H738">
        <v>137</v>
      </c>
      <c r="I738" t="s">
        <v>1153</v>
      </c>
      <c r="J738">
        <v>4</v>
      </c>
      <c r="K738" t="s">
        <v>1563</v>
      </c>
      <c r="L738" t="str">
        <f t="shared" si="99"/>
        <v>N</v>
      </c>
      <c r="M738" t="str">
        <f t="shared" si="100"/>
        <v>Y</v>
      </c>
      <c r="N738" t="str">
        <f t="shared" si="101"/>
        <v>N</v>
      </c>
      <c r="O738">
        <f t="shared" si="102"/>
        <v>21</v>
      </c>
      <c r="P738" s="6">
        <f t="shared" si="103"/>
        <v>1.0148148148148148</v>
      </c>
      <c r="Q738" s="6">
        <f t="shared" si="104"/>
        <v>2.9197080291970802E-2</v>
      </c>
      <c r="R738">
        <f t="shared" si="105"/>
        <v>0</v>
      </c>
      <c r="S738">
        <f t="shared" si="106"/>
        <v>8</v>
      </c>
      <c r="T738">
        <f t="shared" si="107"/>
        <v>4000</v>
      </c>
    </row>
    <row r="739" spans="1:20">
      <c r="A739" t="s">
        <v>1226</v>
      </c>
      <c r="B739" t="s">
        <v>26</v>
      </c>
      <c r="C739" t="s">
        <v>16</v>
      </c>
      <c r="D739">
        <v>884</v>
      </c>
      <c r="E739" s="4">
        <v>46090</v>
      </c>
      <c r="F739" s="4">
        <v>46100</v>
      </c>
      <c r="G739" s="4">
        <v>46099</v>
      </c>
      <c r="H739">
        <v>885</v>
      </c>
      <c r="I739" t="s">
        <v>1227</v>
      </c>
      <c r="J739">
        <v>2</v>
      </c>
      <c r="K739" t="s">
        <v>1563</v>
      </c>
      <c r="L739" t="str">
        <f t="shared" si="99"/>
        <v>Y</v>
      </c>
      <c r="M739" t="str">
        <f t="shared" si="100"/>
        <v>Y</v>
      </c>
      <c r="N739" t="str">
        <f t="shared" si="101"/>
        <v>Y</v>
      </c>
      <c r="O739">
        <f t="shared" si="102"/>
        <v>9</v>
      </c>
      <c r="P739" s="6">
        <f t="shared" si="103"/>
        <v>1.001131221719457</v>
      </c>
      <c r="Q739" s="6">
        <f t="shared" si="104"/>
        <v>2.2598870056497176E-3</v>
      </c>
      <c r="R739">
        <f t="shared" si="105"/>
        <v>1</v>
      </c>
      <c r="S739">
        <f t="shared" si="106"/>
        <v>0</v>
      </c>
      <c r="T739">
        <f t="shared" si="107"/>
        <v>0</v>
      </c>
    </row>
    <row r="740" spans="1:20">
      <c r="A740" t="s">
        <v>1228</v>
      </c>
      <c r="B740" t="s">
        <v>54</v>
      </c>
      <c r="C740" t="s">
        <v>12</v>
      </c>
      <c r="D740">
        <v>514</v>
      </c>
      <c r="E740" s="4">
        <v>46110</v>
      </c>
      <c r="F740" s="4">
        <v>46117</v>
      </c>
      <c r="G740" s="4">
        <v>46115</v>
      </c>
      <c r="H740">
        <v>511</v>
      </c>
      <c r="I740" t="s">
        <v>403</v>
      </c>
      <c r="J740">
        <v>8</v>
      </c>
      <c r="K740" t="s">
        <v>1563</v>
      </c>
      <c r="L740" t="str">
        <f t="shared" si="99"/>
        <v>Y</v>
      </c>
      <c r="M740" t="str">
        <f t="shared" si="100"/>
        <v>Y</v>
      </c>
      <c r="N740" t="str">
        <f t="shared" si="101"/>
        <v>Y</v>
      </c>
      <c r="O740">
        <f t="shared" si="102"/>
        <v>5</v>
      </c>
      <c r="P740" s="6">
        <f t="shared" si="103"/>
        <v>0.99416342412451364</v>
      </c>
      <c r="Q740" s="6">
        <f t="shared" si="104"/>
        <v>1.5655577299412915E-2</v>
      </c>
      <c r="R740">
        <f t="shared" si="105"/>
        <v>1</v>
      </c>
      <c r="S740">
        <f t="shared" si="106"/>
        <v>0</v>
      </c>
      <c r="T740">
        <f t="shared" si="107"/>
        <v>0</v>
      </c>
    </row>
    <row r="741" spans="1:20">
      <c r="A741" t="s">
        <v>1229</v>
      </c>
      <c r="B741" t="s">
        <v>26</v>
      </c>
      <c r="C741" t="s">
        <v>12</v>
      </c>
      <c r="D741">
        <v>868</v>
      </c>
      <c r="E741" s="4">
        <v>46041</v>
      </c>
      <c r="F741" s="4">
        <v>46049</v>
      </c>
      <c r="G741" s="4">
        <v>46048</v>
      </c>
      <c r="H741">
        <v>766</v>
      </c>
      <c r="I741" t="s">
        <v>538</v>
      </c>
      <c r="J741">
        <v>7</v>
      </c>
      <c r="K741" t="s">
        <v>1563</v>
      </c>
      <c r="L741" t="str">
        <f t="shared" si="99"/>
        <v>Y</v>
      </c>
      <c r="M741" t="str">
        <f t="shared" si="100"/>
        <v>N</v>
      </c>
      <c r="N741" t="str">
        <f t="shared" si="101"/>
        <v>N</v>
      </c>
      <c r="O741">
        <f t="shared" si="102"/>
        <v>7</v>
      </c>
      <c r="P741" s="6">
        <f t="shared" si="103"/>
        <v>0.88248847926267282</v>
      </c>
      <c r="Q741" s="6">
        <f t="shared" si="104"/>
        <v>9.138381201044387E-3</v>
      </c>
      <c r="R741">
        <f t="shared" si="105"/>
        <v>0</v>
      </c>
      <c r="S741">
        <f t="shared" si="106"/>
        <v>0</v>
      </c>
      <c r="T741">
        <f t="shared" si="107"/>
        <v>0</v>
      </c>
    </row>
    <row r="742" spans="1:20">
      <c r="A742" t="s">
        <v>1230</v>
      </c>
      <c r="B742" t="s">
        <v>46</v>
      </c>
      <c r="C742" t="s">
        <v>16</v>
      </c>
      <c r="D742">
        <v>689</v>
      </c>
      <c r="E742" s="4">
        <v>46095</v>
      </c>
      <c r="F742" s="4">
        <v>46103</v>
      </c>
      <c r="G742" s="4">
        <v>46102</v>
      </c>
      <c r="H742">
        <v>697</v>
      </c>
      <c r="I742" t="s">
        <v>301</v>
      </c>
      <c r="J742">
        <v>10</v>
      </c>
      <c r="K742" t="s">
        <v>1563</v>
      </c>
      <c r="L742" t="str">
        <f t="shared" si="99"/>
        <v>Y</v>
      </c>
      <c r="M742" t="str">
        <f t="shared" si="100"/>
        <v>Y</v>
      </c>
      <c r="N742" t="str">
        <f t="shared" si="101"/>
        <v>Y</v>
      </c>
      <c r="O742">
        <f t="shared" si="102"/>
        <v>7</v>
      </c>
      <c r="P742" s="6">
        <f t="shared" si="103"/>
        <v>1.011611030478955</v>
      </c>
      <c r="Q742" s="6">
        <f t="shared" si="104"/>
        <v>1.4347202295552367E-2</v>
      </c>
      <c r="R742">
        <f t="shared" si="105"/>
        <v>1</v>
      </c>
      <c r="S742">
        <f t="shared" si="106"/>
        <v>0</v>
      </c>
      <c r="T742">
        <f t="shared" si="107"/>
        <v>0</v>
      </c>
    </row>
    <row r="743" spans="1:20">
      <c r="A743" t="s">
        <v>1231</v>
      </c>
      <c r="B743" t="s">
        <v>70</v>
      </c>
      <c r="C743" t="s">
        <v>12</v>
      </c>
      <c r="D743">
        <v>907</v>
      </c>
      <c r="E743" s="4">
        <v>46088</v>
      </c>
      <c r="F743" s="4">
        <v>46098</v>
      </c>
      <c r="G743" s="4">
        <v>46106</v>
      </c>
      <c r="H743">
        <v>913</v>
      </c>
      <c r="I743" t="s">
        <v>469</v>
      </c>
      <c r="J743">
        <v>2</v>
      </c>
      <c r="K743" t="s">
        <v>1563</v>
      </c>
      <c r="L743" t="str">
        <f t="shared" si="99"/>
        <v>N</v>
      </c>
      <c r="M743" t="str">
        <f t="shared" si="100"/>
        <v>Y</v>
      </c>
      <c r="N743" t="str">
        <f t="shared" si="101"/>
        <v>N</v>
      </c>
      <c r="O743">
        <f t="shared" si="102"/>
        <v>18</v>
      </c>
      <c r="P743" s="6">
        <f t="shared" si="103"/>
        <v>1.0066152149944874</v>
      </c>
      <c r="Q743" s="6">
        <f t="shared" si="104"/>
        <v>2.1905805038335158E-3</v>
      </c>
      <c r="R743">
        <f t="shared" si="105"/>
        <v>0</v>
      </c>
      <c r="S743">
        <f t="shared" si="106"/>
        <v>8</v>
      </c>
      <c r="T743">
        <f t="shared" si="107"/>
        <v>4000</v>
      </c>
    </row>
    <row r="744" spans="1:20">
      <c r="A744" t="s">
        <v>1232</v>
      </c>
      <c r="B744" t="s">
        <v>32</v>
      </c>
      <c r="C744" t="s">
        <v>23</v>
      </c>
      <c r="D744">
        <v>778</v>
      </c>
      <c r="E744" s="4">
        <v>46043</v>
      </c>
      <c r="F744" s="4">
        <v>46056</v>
      </c>
      <c r="G744" s="4">
        <v>46056</v>
      </c>
      <c r="H744">
        <v>778</v>
      </c>
      <c r="I744" t="s">
        <v>296</v>
      </c>
      <c r="J744">
        <v>52</v>
      </c>
      <c r="K744" t="s">
        <v>1563</v>
      </c>
      <c r="L744" t="str">
        <f t="shared" si="99"/>
        <v>Y</v>
      </c>
      <c r="M744" t="str">
        <f t="shared" si="100"/>
        <v>Y</v>
      </c>
      <c r="N744" t="str">
        <f t="shared" si="101"/>
        <v>Y</v>
      </c>
      <c r="O744">
        <f t="shared" si="102"/>
        <v>13</v>
      </c>
      <c r="P744" s="6">
        <f t="shared" si="103"/>
        <v>1</v>
      </c>
      <c r="Q744" s="6">
        <f t="shared" si="104"/>
        <v>6.6838046272493568E-2</v>
      </c>
      <c r="R744">
        <f t="shared" si="105"/>
        <v>1</v>
      </c>
      <c r="S744">
        <f t="shared" si="106"/>
        <v>0</v>
      </c>
      <c r="T744">
        <f t="shared" si="107"/>
        <v>0</v>
      </c>
    </row>
    <row r="745" spans="1:20">
      <c r="A745" t="s">
        <v>1233</v>
      </c>
      <c r="B745" t="s">
        <v>70</v>
      </c>
      <c r="C745" t="s">
        <v>16</v>
      </c>
      <c r="D745">
        <v>917</v>
      </c>
      <c r="E745" s="4">
        <v>46174</v>
      </c>
      <c r="F745" s="4">
        <v>46187</v>
      </c>
      <c r="G745" s="4">
        <v>46189</v>
      </c>
      <c r="H745">
        <v>924</v>
      </c>
      <c r="I745" t="s">
        <v>428</v>
      </c>
      <c r="J745">
        <v>1</v>
      </c>
      <c r="K745" t="s">
        <v>1563</v>
      </c>
      <c r="L745" t="str">
        <f t="shared" si="99"/>
        <v>N</v>
      </c>
      <c r="M745" t="str">
        <f t="shared" si="100"/>
        <v>Y</v>
      </c>
      <c r="N745" t="str">
        <f t="shared" si="101"/>
        <v>N</v>
      </c>
      <c r="O745">
        <f t="shared" si="102"/>
        <v>15</v>
      </c>
      <c r="P745" s="6">
        <f t="shared" si="103"/>
        <v>1.0076335877862594</v>
      </c>
      <c r="Q745" s="6">
        <f t="shared" si="104"/>
        <v>1.0822510822510823E-3</v>
      </c>
      <c r="R745">
        <f t="shared" si="105"/>
        <v>0</v>
      </c>
      <c r="S745">
        <f t="shared" si="106"/>
        <v>2</v>
      </c>
      <c r="T745">
        <f t="shared" si="107"/>
        <v>1000</v>
      </c>
    </row>
    <row r="746" spans="1:20">
      <c r="A746" t="s">
        <v>1234</v>
      </c>
      <c r="B746" t="s">
        <v>22</v>
      </c>
      <c r="C746" t="s">
        <v>12</v>
      </c>
      <c r="D746">
        <v>252</v>
      </c>
      <c r="E746" s="4">
        <v>46156</v>
      </c>
      <c r="F746" s="4">
        <v>46165</v>
      </c>
      <c r="G746" s="4">
        <v>46173</v>
      </c>
      <c r="H746">
        <v>233</v>
      </c>
      <c r="I746" t="s">
        <v>469</v>
      </c>
      <c r="J746">
        <v>14</v>
      </c>
      <c r="K746" t="s">
        <v>1563</v>
      </c>
      <c r="L746" t="str">
        <f t="shared" si="99"/>
        <v>N</v>
      </c>
      <c r="M746" t="str">
        <f t="shared" si="100"/>
        <v>N</v>
      </c>
      <c r="N746" t="str">
        <f t="shared" si="101"/>
        <v>N</v>
      </c>
      <c r="O746">
        <f t="shared" si="102"/>
        <v>17</v>
      </c>
      <c r="P746" s="6">
        <f t="shared" si="103"/>
        <v>0.92460317460317465</v>
      </c>
      <c r="Q746" s="6">
        <f t="shared" si="104"/>
        <v>6.0085836909871244E-2</v>
      </c>
      <c r="R746">
        <f t="shared" si="105"/>
        <v>0</v>
      </c>
      <c r="S746">
        <f t="shared" si="106"/>
        <v>8</v>
      </c>
      <c r="T746">
        <f t="shared" si="107"/>
        <v>4000</v>
      </c>
    </row>
    <row r="747" spans="1:20">
      <c r="A747" t="s">
        <v>1236</v>
      </c>
      <c r="B747" t="s">
        <v>22</v>
      </c>
      <c r="C747" t="s">
        <v>16</v>
      </c>
      <c r="D747">
        <v>222</v>
      </c>
      <c r="E747" s="4">
        <v>46176</v>
      </c>
      <c r="F747" s="4">
        <v>46191</v>
      </c>
      <c r="G747" s="4">
        <v>46188</v>
      </c>
      <c r="H747">
        <v>197</v>
      </c>
      <c r="I747" t="s">
        <v>17</v>
      </c>
      <c r="J747">
        <v>7</v>
      </c>
      <c r="K747" t="s">
        <v>1563</v>
      </c>
      <c r="L747" t="str">
        <f t="shared" si="99"/>
        <v>Y</v>
      </c>
      <c r="M747" t="str">
        <f t="shared" si="100"/>
        <v>N</v>
      </c>
      <c r="N747" t="str">
        <f t="shared" si="101"/>
        <v>N</v>
      </c>
      <c r="O747">
        <f t="shared" si="102"/>
        <v>12</v>
      </c>
      <c r="P747" s="6">
        <f t="shared" si="103"/>
        <v>0.88738738738738743</v>
      </c>
      <c r="Q747" s="6">
        <f t="shared" si="104"/>
        <v>3.553299492385787E-2</v>
      </c>
      <c r="R747">
        <f t="shared" si="105"/>
        <v>0</v>
      </c>
      <c r="S747">
        <f t="shared" si="106"/>
        <v>0</v>
      </c>
      <c r="T747">
        <f t="shared" si="107"/>
        <v>0</v>
      </c>
    </row>
    <row r="748" spans="1:20">
      <c r="A748" t="s">
        <v>1237</v>
      </c>
      <c r="B748" t="s">
        <v>22</v>
      </c>
      <c r="C748" t="s">
        <v>12</v>
      </c>
      <c r="D748">
        <v>411</v>
      </c>
      <c r="E748" s="4">
        <v>46154</v>
      </c>
      <c r="F748" s="4">
        <v>46168</v>
      </c>
      <c r="G748" s="4">
        <v>46174</v>
      </c>
      <c r="H748">
        <v>408</v>
      </c>
      <c r="I748" t="s">
        <v>968</v>
      </c>
      <c r="J748">
        <v>19</v>
      </c>
      <c r="K748" t="s">
        <v>1563</v>
      </c>
      <c r="L748" t="str">
        <f t="shared" si="99"/>
        <v>N</v>
      </c>
      <c r="M748" t="str">
        <f t="shared" si="100"/>
        <v>Y</v>
      </c>
      <c r="N748" t="str">
        <f t="shared" si="101"/>
        <v>N</v>
      </c>
      <c r="O748">
        <f t="shared" si="102"/>
        <v>20</v>
      </c>
      <c r="P748" s="6">
        <f t="shared" si="103"/>
        <v>0.99270072992700731</v>
      </c>
      <c r="Q748" s="6">
        <f t="shared" si="104"/>
        <v>4.6568627450980393E-2</v>
      </c>
      <c r="R748">
        <f t="shared" si="105"/>
        <v>0</v>
      </c>
      <c r="S748">
        <f t="shared" si="106"/>
        <v>6</v>
      </c>
      <c r="T748">
        <f t="shared" si="107"/>
        <v>3000</v>
      </c>
    </row>
    <row r="749" spans="1:20">
      <c r="A749" t="s">
        <v>1238</v>
      </c>
      <c r="B749" t="s">
        <v>32</v>
      </c>
      <c r="C749" t="s">
        <v>16</v>
      </c>
      <c r="D749">
        <v>626</v>
      </c>
      <c r="E749" s="4">
        <v>46145</v>
      </c>
      <c r="F749" s="4">
        <v>46159</v>
      </c>
      <c r="G749" s="4">
        <v>46158</v>
      </c>
      <c r="H749">
        <v>625</v>
      </c>
      <c r="I749" t="s">
        <v>272</v>
      </c>
      <c r="J749">
        <v>25</v>
      </c>
      <c r="K749" t="s">
        <v>1563</v>
      </c>
      <c r="L749" t="str">
        <f t="shared" si="99"/>
        <v>Y</v>
      </c>
      <c r="M749" t="str">
        <f t="shared" si="100"/>
        <v>Y</v>
      </c>
      <c r="N749" t="str">
        <f t="shared" si="101"/>
        <v>Y</v>
      </c>
      <c r="O749">
        <f t="shared" si="102"/>
        <v>13</v>
      </c>
      <c r="P749" s="6">
        <f t="shared" si="103"/>
        <v>0.99840255591054317</v>
      </c>
      <c r="Q749" s="6">
        <f t="shared" si="104"/>
        <v>0.04</v>
      </c>
      <c r="R749">
        <f t="shared" si="105"/>
        <v>1</v>
      </c>
      <c r="S749">
        <f t="shared" si="106"/>
        <v>0</v>
      </c>
      <c r="T749">
        <f t="shared" si="107"/>
        <v>0</v>
      </c>
    </row>
    <row r="750" spans="1:20">
      <c r="A750" t="s">
        <v>1239</v>
      </c>
      <c r="B750" t="s">
        <v>32</v>
      </c>
      <c r="C750" t="s">
        <v>12</v>
      </c>
      <c r="D750">
        <v>663</v>
      </c>
      <c r="E750" s="4">
        <v>46168</v>
      </c>
      <c r="F750" s="4">
        <v>46181</v>
      </c>
      <c r="G750" s="4">
        <v>46181</v>
      </c>
      <c r="H750">
        <v>655</v>
      </c>
      <c r="I750" t="s">
        <v>647</v>
      </c>
      <c r="J750">
        <v>25</v>
      </c>
      <c r="K750" t="s">
        <v>1563</v>
      </c>
      <c r="L750" t="str">
        <f t="shared" si="99"/>
        <v>Y</v>
      </c>
      <c r="M750" t="str">
        <f t="shared" si="100"/>
        <v>Y</v>
      </c>
      <c r="N750" t="str">
        <f t="shared" si="101"/>
        <v>Y</v>
      </c>
      <c r="O750">
        <f t="shared" si="102"/>
        <v>13</v>
      </c>
      <c r="P750" s="6">
        <f t="shared" si="103"/>
        <v>0.98793363499245856</v>
      </c>
      <c r="Q750" s="6">
        <f t="shared" si="104"/>
        <v>3.8167938931297711E-2</v>
      </c>
      <c r="R750">
        <f t="shared" si="105"/>
        <v>1</v>
      </c>
      <c r="S750">
        <f t="shared" si="106"/>
        <v>0</v>
      </c>
      <c r="T750">
        <f t="shared" si="107"/>
        <v>0</v>
      </c>
    </row>
    <row r="751" spans="1:20">
      <c r="A751" t="s">
        <v>1240</v>
      </c>
      <c r="B751" t="s">
        <v>35</v>
      </c>
      <c r="C751" t="s">
        <v>12</v>
      </c>
      <c r="D751">
        <v>963</v>
      </c>
      <c r="E751" s="4">
        <v>46118</v>
      </c>
      <c r="F751" s="4">
        <v>46131</v>
      </c>
      <c r="G751" s="4">
        <v>46137</v>
      </c>
      <c r="H751">
        <v>775</v>
      </c>
      <c r="I751" t="s">
        <v>705</v>
      </c>
      <c r="J751">
        <v>13</v>
      </c>
      <c r="K751" t="s">
        <v>1563</v>
      </c>
      <c r="L751" t="str">
        <f t="shared" si="99"/>
        <v>N</v>
      </c>
      <c r="M751" t="str">
        <f t="shared" si="100"/>
        <v>N</v>
      </c>
      <c r="N751" t="str">
        <f t="shared" si="101"/>
        <v>N</v>
      </c>
      <c r="O751">
        <f t="shared" si="102"/>
        <v>19</v>
      </c>
      <c r="P751" s="6">
        <f t="shared" si="103"/>
        <v>0.80477673935617866</v>
      </c>
      <c r="Q751" s="6">
        <f t="shared" si="104"/>
        <v>1.6774193548387096E-2</v>
      </c>
      <c r="R751">
        <f t="shared" si="105"/>
        <v>0</v>
      </c>
      <c r="S751">
        <f t="shared" si="106"/>
        <v>6</v>
      </c>
      <c r="T751">
        <f t="shared" si="107"/>
        <v>3000</v>
      </c>
    </row>
    <row r="752" spans="1:20">
      <c r="A752" t="s">
        <v>1241</v>
      </c>
      <c r="B752" t="s">
        <v>120</v>
      </c>
      <c r="C752" t="s">
        <v>23</v>
      </c>
      <c r="D752">
        <v>628</v>
      </c>
      <c r="E752" s="4">
        <v>46093</v>
      </c>
      <c r="F752" s="4">
        <v>46104</v>
      </c>
      <c r="G752" s="4">
        <v>46102</v>
      </c>
      <c r="H752">
        <v>547</v>
      </c>
      <c r="I752" t="s">
        <v>1242</v>
      </c>
      <c r="J752">
        <v>26</v>
      </c>
      <c r="K752" t="s">
        <v>1563</v>
      </c>
      <c r="L752" t="str">
        <f t="shared" si="99"/>
        <v>Y</v>
      </c>
      <c r="M752" t="str">
        <f t="shared" si="100"/>
        <v>N</v>
      </c>
      <c r="N752" t="str">
        <f t="shared" si="101"/>
        <v>N</v>
      </c>
      <c r="O752">
        <f t="shared" si="102"/>
        <v>9</v>
      </c>
      <c r="P752" s="6">
        <f t="shared" si="103"/>
        <v>0.87101910828025475</v>
      </c>
      <c r="Q752" s="6">
        <f t="shared" si="104"/>
        <v>4.7531992687385741E-2</v>
      </c>
      <c r="R752">
        <f t="shared" si="105"/>
        <v>0</v>
      </c>
      <c r="S752">
        <f t="shared" si="106"/>
        <v>0</v>
      </c>
      <c r="T752">
        <f t="shared" si="107"/>
        <v>0</v>
      </c>
    </row>
    <row r="753" spans="1:20">
      <c r="A753" t="s">
        <v>1243</v>
      </c>
      <c r="B753" t="s">
        <v>35</v>
      </c>
      <c r="C753" t="s">
        <v>12</v>
      </c>
      <c r="D753">
        <v>838</v>
      </c>
      <c r="E753" s="4">
        <v>46150</v>
      </c>
      <c r="F753" s="4">
        <v>46155</v>
      </c>
      <c r="G753" s="4">
        <v>46154</v>
      </c>
      <c r="H753">
        <v>850</v>
      </c>
      <c r="I753" t="s">
        <v>1244</v>
      </c>
      <c r="J753">
        <v>12</v>
      </c>
      <c r="K753" t="s">
        <v>1563</v>
      </c>
      <c r="L753" t="str">
        <f t="shared" si="99"/>
        <v>Y</v>
      </c>
      <c r="M753" t="str">
        <f t="shared" si="100"/>
        <v>Y</v>
      </c>
      <c r="N753" t="str">
        <f t="shared" si="101"/>
        <v>Y</v>
      </c>
      <c r="O753">
        <f t="shared" si="102"/>
        <v>4</v>
      </c>
      <c r="P753" s="6">
        <f t="shared" si="103"/>
        <v>1.0143198090692125</v>
      </c>
      <c r="Q753" s="6">
        <f t="shared" si="104"/>
        <v>1.411764705882353E-2</v>
      </c>
      <c r="R753">
        <f t="shared" si="105"/>
        <v>1</v>
      </c>
      <c r="S753">
        <f t="shared" si="106"/>
        <v>0</v>
      </c>
      <c r="T753">
        <f t="shared" si="107"/>
        <v>0</v>
      </c>
    </row>
    <row r="754" spans="1:20">
      <c r="A754" t="s">
        <v>1245</v>
      </c>
      <c r="B754" t="s">
        <v>81</v>
      </c>
      <c r="C754" t="s">
        <v>12</v>
      </c>
      <c r="D754">
        <v>153</v>
      </c>
      <c r="E754" s="4">
        <v>46075</v>
      </c>
      <c r="F754" s="4">
        <v>46084</v>
      </c>
      <c r="G754" s="4">
        <v>46084</v>
      </c>
      <c r="H754">
        <v>124</v>
      </c>
      <c r="I754" t="s">
        <v>872</v>
      </c>
      <c r="J754">
        <v>2</v>
      </c>
      <c r="K754" t="s">
        <v>1563</v>
      </c>
      <c r="L754" t="str">
        <f t="shared" si="99"/>
        <v>Y</v>
      </c>
      <c r="M754" t="str">
        <f t="shared" si="100"/>
        <v>N</v>
      </c>
      <c r="N754" t="str">
        <f t="shared" si="101"/>
        <v>N</v>
      </c>
      <c r="O754">
        <f t="shared" si="102"/>
        <v>9</v>
      </c>
      <c r="P754" s="6">
        <f t="shared" si="103"/>
        <v>0.81045751633986929</v>
      </c>
      <c r="Q754" s="6">
        <f t="shared" si="104"/>
        <v>1.6129032258064516E-2</v>
      </c>
      <c r="R754">
        <f t="shared" si="105"/>
        <v>0</v>
      </c>
      <c r="S754">
        <f t="shared" si="106"/>
        <v>0</v>
      </c>
      <c r="T754">
        <f t="shared" si="107"/>
        <v>0</v>
      </c>
    </row>
    <row r="755" spans="1:20">
      <c r="A755" t="s">
        <v>1246</v>
      </c>
      <c r="B755" t="s">
        <v>177</v>
      </c>
      <c r="C755" t="s">
        <v>23</v>
      </c>
      <c r="D755">
        <v>378</v>
      </c>
      <c r="E755" s="4">
        <v>46086</v>
      </c>
      <c r="F755" s="4">
        <v>46100</v>
      </c>
      <c r="G755" s="4">
        <v>46097</v>
      </c>
      <c r="H755">
        <v>376</v>
      </c>
      <c r="I755" t="s">
        <v>745</v>
      </c>
      <c r="J755">
        <v>7</v>
      </c>
      <c r="K755" t="s">
        <v>1563</v>
      </c>
      <c r="L755" t="str">
        <f t="shared" si="99"/>
        <v>Y</v>
      </c>
      <c r="M755" t="str">
        <f t="shared" si="100"/>
        <v>Y</v>
      </c>
      <c r="N755" t="str">
        <f t="shared" si="101"/>
        <v>Y</v>
      </c>
      <c r="O755">
        <f t="shared" si="102"/>
        <v>11</v>
      </c>
      <c r="P755" s="6">
        <f t="shared" si="103"/>
        <v>0.99470899470899465</v>
      </c>
      <c r="Q755" s="6">
        <f t="shared" si="104"/>
        <v>1.8617021276595744E-2</v>
      </c>
      <c r="R755">
        <f t="shared" si="105"/>
        <v>1</v>
      </c>
      <c r="S755">
        <f t="shared" si="106"/>
        <v>0</v>
      </c>
      <c r="T755">
        <f t="shared" si="107"/>
        <v>0</v>
      </c>
    </row>
    <row r="756" spans="1:20">
      <c r="A756" t="s">
        <v>1247</v>
      </c>
      <c r="B756" t="s">
        <v>26</v>
      </c>
      <c r="C756" t="s">
        <v>12</v>
      </c>
      <c r="D756">
        <v>831</v>
      </c>
      <c r="E756" s="4">
        <v>46034</v>
      </c>
      <c r="F756" s="4">
        <v>46042</v>
      </c>
      <c r="G756" s="4">
        <v>46040</v>
      </c>
      <c r="H756">
        <v>802</v>
      </c>
      <c r="I756" t="s">
        <v>98</v>
      </c>
      <c r="J756">
        <v>5</v>
      </c>
      <c r="K756" t="s">
        <v>1563</v>
      </c>
      <c r="L756" t="str">
        <f t="shared" si="99"/>
        <v>Y</v>
      </c>
      <c r="M756" t="str">
        <f t="shared" si="100"/>
        <v>N</v>
      </c>
      <c r="N756" t="str">
        <f t="shared" si="101"/>
        <v>N</v>
      </c>
      <c r="O756">
        <f t="shared" si="102"/>
        <v>6</v>
      </c>
      <c r="P756" s="6">
        <f t="shared" si="103"/>
        <v>0.96510228640192541</v>
      </c>
      <c r="Q756" s="6">
        <f t="shared" si="104"/>
        <v>6.2344139650872821E-3</v>
      </c>
      <c r="R756">
        <f t="shared" si="105"/>
        <v>0</v>
      </c>
      <c r="S756">
        <f t="shared" si="106"/>
        <v>0</v>
      </c>
      <c r="T756">
        <f t="shared" si="107"/>
        <v>0</v>
      </c>
    </row>
    <row r="757" spans="1:20">
      <c r="A757" t="s">
        <v>1248</v>
      </c>
      <c r="B757" t="s">
        <v>100</v>
      </c>
      <c r="C757" t="s">
        <v>16</v>
      </c>
      <c r="D757">
        <v>741</v>
      </c>
      <c r="E757" s="4">
        <v>46109</v>
      </c>
      <c r="F757" s="4">
        <v>46115</v>
      </c>
      <c r="G757" s="4">
        <v>46115</v>
      </c>
      <c r="H757">
        <v>736</v>
      </c>
      <c r="I757" t="s">
        <v>383</v>
      </c>
      <c r="J757">
        <v>14</v>
      </c>
      <c r="K757" t="s">
        <v>1563</v>
      </c>
      <c r="L757" t="str">
        <f t="shared" si="99"/>
        <v>Y</v>
      </c>
      <c r="M757" t="str">
        <f t="shared" si="100"/>
        <v>Y</v>
      </c>
      <c r="N757" t="str">
        <f t="shared" si="101"/>
        <v>Y</v>
      </c>
      <c r="O757">
        <f t="shared" si="102"/>
        <v>6</v>
      </c>
      <c r="P757" s="6">
        <f t="shared" si="103"/>
        <v>0.99325236167341435</v>
      </c>
      <c r="Q757" s="6">
        <f t="shared" si="104"/>
        <v>1.9021739130434784E-2</v>
      </c>
      <c r="R757">
        <f t="shared" si="105"/>
        <v>1</v>
      </c>
      <c r="S757">
        <f t="shared" si="106"/>
        <v>0</v>
      </c>
      <c r="T757">
        <f t="shared" si="107"/>
        <v>0</v>
      </c>
    </row>
    <row r="758" spans="1:20">
      <c r="A758" t="s">
        <v>1249</v>
      </c>
      <c r="B758" t="s">
        <v>52</v>
      </c>
      <c r="C758" t="s">
        <v>16</v>
      </c>
      <c r="D758">
        <v>290</v>
      </c>
      <c r="E758" s="4">
        <v>46084</v>
      </c>
      <c r="F758" s="4">
        <v>46094</v>
      </c>
      <c r="G758" s="4">
        <v>46091</v>
      </c>
      <c r="H758">
        <v>279</v>
      </c>
      <c r="I758" t="s">
        <v>1250</v>
      </c>
      <c r="J758">
        <v>2</v>
      </c>
      <c r="K758" t="s">
        <v>1563</v>
      </c>
      <c r="L758" t="str">
        <f t="shared" si="99"/>
        <v>Y</v>
      </c>
      <c r="M758" t="str">
        <f t="shared" si="100"/>
        <v>N</v>
      </c>
      <c r="N758" t="str">
        <f t="shared" si="101"/>
        <v>N</v>
      </c>
      <c r="O758">
        <f t="shared" si="102"/>
        <v>7</v>
      </c>
      <c r="P758" s="6">
        <f t="shared" si="103"/>
        <v>0.96206896551724141</v>
      </c>
      <c r="Q758" s="6">
        <f t="shared" si="104"/>
        <v>7.1684587813620072E-3</v>
      </c>
      <c r="R758">
        <f t="shared" si="105"/>
        <v>0</v>
      </c>
      <c r="S758">
        <f t="shared" si="106"/>
        <v>0</v>
      </c>
      <c r="T758">
        <f t="shared" si="107"/>
        <v>0</v>
      </c>
    </row>
    <row r="759" spans="1:20">
      <c r="A759" t="s">
        <v>1251</v>
      </c>
      <c r="B759" t="s">
        <v>32</v>
      </c>
      <c r="C759" t="s">
        <v>12</v>
      </c>
      <c r="D759">
        <v>86</v>
      </c>
      <c r="E759" s="4">
        <v>46137</v>
      </c>
      <c r="F759" s="4">
        <v>46145</v>
      </c>
      <c r="G759" s="4">
        <v>46144</v>
      </c>
      <c r="H759">
        <v>78</v>
      </c>
      <c r="I759" t="s">
        <v>1072</v>
      </c>
      <c r="J759">
        <v>2</v>
      </c>
      <c r="K759" t="s">
        <v>1563</v>
      </c>
      <c r="L759" t="str">
        <f t="shared" si="99"/>
        <v>Y</v>
      </c>
      <c r="M759" t="str">
        <f t="shared" si="100"/>
        <v>N</v>
      </c>
      <c r="N759" t="str">
        <f t="shared" si="101"/>
        <v>N</v>
      </c>
      <c r="O759">
        <f t="shared" si="102"/>
        <v>7</v>
      </c>
      <c r="P759" s="6">
        <f t="shared" si="103"/>
        <v>0.90697674418604646</v>
      </c>
      <c r="Q759" s="6">
        <f t="shared" si="104"/>
        <v>2.564102564102564E-2</v>
      </c>
      <c r="R759">
        <f t="shared" si="105"/>
        <v>0</v>
      </c>
      <c r="S759">
        <f t="shared" si="106"/>
        <v>0</v>
      </c>
      <c r="T759">
        <f t="shared" si="107"/>
        <v>0</v>
      </c>
    </row>
    <row r="760" spans="1:20">
      <c r="A760" t="s">
        <v>1252</v>
      </c>
      <c r="B760" t="s">
        <v>70</v>
      </c>
      <c r="C760" t="s">
        <v>12</v>
      </c>
      <c r="D760">
        <v>965</v>
      </c>
      <c r="E760" s="4">
        <v>46081</v>
      </c>
      <c r="F760" s="4">
        <v>46091</v>
      </c>
      <c r="G760" s="4">
        <v>46097</v>
      </c>
      <c r="H760">
        <v>976</v>
      </c>
      <c r="I760" t="s">
        <v>714</v>
      </c>
      <c r="J760">
        <v>23</v>
      </c>
      <c r="K760" t="s">
        <v>1563</v>
      </c>
      <c r="L760" t="str">
        <f t="shared" si="99"/>
        <v>N</v>
      </c>
      <c r="M760" t="str">
        <f t="shared" si="100"/>
        <v>Y</v>
      </c>
      <c r="N760" t="str">
        <f t="shared" si="101"/>
        <v>N</v>
      </c>
      <c r="O760">
        <f t="shared" si="102"/>
        <v>16</v>
      </c>
      <c r="P760" s="6">
        <f t="shared" si="103"/>
        <v>1.01139896373057</v>
      </c>
      <c r="Q760" s="6">
        <f t="shared" si="104"/>
        <v>2.3565573770491802E-2</v>
      </c>
      <c r="R760">
        <f t="shared" si="105"/>
        <v>0</v>
      </c>
      <c r="S760">
        <f t="shared" si="106"/>
        <v>6</v>
      </c>
      <c r="T760">
        <f t="shared" si="107"/>
        <v>3000</v>
      </c>
    </row>
    <row r="761" spans="1:20">
      <c r="A761" t="s">
        <v>1253</v>
      </c>
      <c r="B761" t="s">
        <v>52</v>
      </c>
      <c r="C761" t="s">
        <v>23</v>
      </c>
      <c r="D761">
        <v>430</v>
      </c>
      <c r="E761" s="4">
        <v>46091</v>
      </c>
      <c r="F761" s="4">
        <v>46096</v>
      </c>
      <c r="G761" s="4">
        <v>46095</v>
      </c>
      <c r="H761">
        <v>405</v>
      </c>
      <c r="I761" t="s">
        <v>619</v>
      </c>
      <c r="J761">
        <v>7</v>
      </c>
      <c r="K761" t="s">
        <v>1563</v>
      </c>
      <c r="L761" t="str">
        <f t="shared" si="99"/>
        <v>Y</v>
      </c>
      <c r="M761" t="str">
        <f t="shared" si="100"/>
        <v>N</v>
      </c>
      <c r="N761" t="str">
        <f t="shared" si="101"/>
        <v>N</v>
      </c>
      <c r="O761">
        <f t="shared" si="102"/>
        <v>4</v>
      </c>
      <c r="P761" s="6">
        <f t="shared" si="103"/>
        <v>0.94186046511627908</v>
      </c>
      <c r="Q761" s="6">
        <f t="shared" si="104"/>
        <v>1.7283950617283949E-2</v>
      </c>
      <c r="R761">
        <f t="shared" si="105"/>
        <v>0</v>
      </c>
      <c r="S761">
        <f t="shared" si="106"/>
        <v>0</v>
      </c>
      <c r="T761">
        <f t="shared" si="107"/>
        <v>0</v>
      </c>
    </row>
    <row r="762" spans="1:20">
      <c r="A762" t="s">
        <v>1254</v>
      </c>
      <c r="B762" t="s">
        <v>40</v>
      </c>
      <c r="C762" t="s">
        <v>16</v>
      </c>
      <c r="D762">
        <v>909</v>
      </c>
      <c r="E762" s="4">
        <v>46060</v>
      </c>
      <c r="F762" s="4">
        <v>46075</v>
      </c>
      <c r="G762" s="4">
        <v>46075</v>
      </c>
      <c r="H762">
        <v>923</v>
      </c>
      <c r="I762" t="s">
        <v>597</v>
      </c>
      <c r="J762">
        <v>27</v>
      </c>
      <c r="K762" t="s">
        <v>1563</v>
      </c>
      <c r="L762" t="str">
        <f t="shared" si="99"/>
        <v>Y</v>
      </c>
      <c r="M762" t="str">
        <f t="shared" si="100"/>
        <v>Y</v>
      </c>
      <c r="N762" t="str">
        <f t="shared" si="101"/>
        <v>Y</v>
      </c>
      <c r="O762">
        <f t="shared" si="102"/>
        <v>15</v>
      </c>
      <c r="P762" s="6">
        <f t="shared" si="103"/>
        <v>1.0154015401540153</v>
      </c>
      <c r="Q762" s="6">
        <f t="shared" si="104"/>
        <v>2.9252437703141929E-2</v>
      </c>
      <c r="R762">
        <f t="shared" si="105"/>
        <v>1</v>
      </c>
      <c r="S762">
        <f t="shared" si="106"/>
        <v>0</v>
      </c>
      <c r="T762">
        <f t="shared" si="107"/>
        <v>0</v>
      </c>
    </row>
    <row r="763" spans="1:20">
      <c r="A763" t="s">
        <v>1255</v>
      </c>
      <c r="B763" t="s">
        <v>29</v>
      </c>
      <c r="C763" t="s">
        <v>16</v>
      </c>
      <c r="D763">
        <v>322</v>
      </c>
      <c r="E763" s="4">
        <v>46042</v>
      </c>
      <c r="F763" s="4">
        <v>46057</v>
      </c>
      <c r="G763" s="4">
        <v>46066</v>
      </c>
      <c r="H763">
        <v>326</v>
      </c>
      <c r="I763" t="s">
        <v>1256</v>
      </c>
      <c r="J763">
        <v>2</v>
      </c>
      <c r="K763" t="s">
        <v>1563</v>
      </c>
      <c r="L763" t="str">
        <f t="shared" si="99"/>
        <v>N</v>
      </c>
      <c r="M763" t="str">
        <f t="shared" si="100"/>
        <v>Y</v>
      </c>
      <c r="N763" t="str">
        <f t="shared" si="101"/>
        <v>N</v>
      </c>
      <c r="O763">
        <f t="shared" si="102"/>
        <v>24</v>
      </c>
      <c r="P763" s="6">
        <f t="shared" si="103"/>
        <v>1.0124223602484472</v>
      </c>
      <c r="Q763" s="6">
        <f t="shared" si="104"/>
        <v>6.1349693251533744E-3</v>
      </c>
      <c r="R763">
        <f t="shared" si="105"/>
        <v>0</v>
      </c>
      <c r="S763">
        <f t="shared" si="106"/>
        <v>9</v>
      </c>
      <c r="T763">
        <f t="shared" si="107"/>
        <v>4500</v>
      </c>
    </row>
    <row r="764" spans="1:20">
      <c r="A764" t="s">
        <v>1257</v>
      </c>
      <c r="B764" t="s">
        <v>43</v>
      </c>
      <c r="C764" t="s">
        <v>12</v>
      </c>
      <c r="D764">
        <v>930</v>
      </c>
      <c r="E764" s="4">
        <v>46154</v>
      </c>
      <c r="F764" s="4">
        <v>46161</v>
      </c>
      <c r="G764" s="4">
        <v>46160</v>
      </c>
      <c r="H764">
        <v>925</v>
      </c>
      <c r="I764" t="s">
        <v>191</v>
      </c>
      <c r="J764">
        <v>25</v>
      </c>
      <c r="K764" t="s">
        <v>1563</v>
      </c>
      <c r="L764" t="str">
        <f t="shared" si="99"/>
        <v>Y</v>
      </c>
      <c r="M764" t="str">
        <f t="shared" si="100"/>
        <v>Y</v>
      </c>
      <c r="N764" t="str">
        <f t="shared" si="101"/>
        <v>Y</v>
      </c>
      <c r="O764">
        <f t="shared" si="102"/>
        <v>6</v>
      </c>
      <c r="P764" s="6">
        <f t="shared" si="103"/>
        <v>0.9946236559139785</v>
      </c>
      <c r="Q764" s="6">
        <f t="shared" si="104"/>
        <v>2.7027027027027029E-2</v>
      </c>
      <c r="R764">
        <f t="shared" si="105"/>
        <v>1</v>
      </c>
      <c r="S764">
        <f t="shared" si="106"/>
        <v>0</v>
      </c>
      <c r="T764">
        <f t="shared" si="107"/>
        <v>0</v>
      </c>
    </row>
    <row r="765" spans="1:20">
      <c r="A765" t="s">
        <v>1258</v>
      </c>
      <c r="B765" t="s">
        <v>120</v>
      </c>
      <c r="C765" t="s">
        <v>23</v>
      </c>
      <c r="D765">
        <v>447</v>
      </c>
      <c r="E765" s="4">
        <v>46059</v>
      </c>
      <c r="F765" s="4">
        <v>46068</v>
      </c>
      <c r="G765" s="4">
        <v>46065</v>
      </c>
      <c r="H765">
        <v>451</v>
      </c>
      <c r="I765" t="s">
        <v>765</v>
      </c>
      <c r="J765">
        <v>21</v>
      </c>
      <c r="K765" t="s">
        <v>1563</v>
      </c>
      <c r="L765" t="str">
        <f t="shared" si="99"/>
        <v>Y</v>
      </c>
      <c r="M765" t="str">
        <f t="shared" si="100"/>
        <v>Y</v>
      </c>
      <c r="N765" t="str">
        <f t="shared" si="101"/>
        <v>Y</v>
      </c>
      <c r="O765">
        <f t="shared" si="102"/>
        <v>6</v>
      </c>
      <c r="P765" s="6">
        <f t="shared" si="103"/>
        <v>1.0089485458612975</v>
      </c>
      <c r="Q765" s="6">
        <f t="shared" si="104"/>
        <v>4.6563192904656318E-2</v>
      </c>
      <c r="R765">
        <f t="shared" si="105"/>
        <v>1</v>
      </c>
      <c r="S765">
        <f t="shared" si="106"/>
        <v>0</v>
      </c>
      <c r="T765">
        <f t="shared" si="107"/>
        <v>0</v>
      </c>
    </row>
    <row r="766" spans="1:20">
      <c r="A766" t="s">
        <v>1259</v>
      </c>
      <c r="B766" t="s">
        <v>81</v>
      </c>
      <c r="C766" t="s">
        <v>12</v>
      </c>
      <c r="D766">
        <v>751</v>
      </c>
      <c r="E766" s="4">
        <v>46085</v>
      </c>
      <c r="F766" s="4">
        <v>46095</v>
      </c>
      <c r="G766" s="4">
        <v>46092</v>
      </c>
      <c r="H766">
        <v>609</v>
      </c>
      <c r="I766" t="s">
        <v>520</v>
      </c>
      <c r="J766">
        <v>3</v>
      </c>
      <c r="K766" t="s">
        <v>1563</v>
      </c>
      <c r="L766" t="str">
        <f t="shared" si="99"/>
        <v>Y</v>
      </c>
      <c r="M766" t="str">
        <f t="shared" si="100"/>
        <v>N</v>
      </c>
      <c r="N766" t="str">
        <f t="shared" si="101"/>
        <v>N</v>
      </c>
      <c r="O766">
        <f t="shared" si="102"/>
        <v>7</v>
      </c>
      <c r="P766" s="6">
        <f t="shared" si="103"/>
        <v>0.81091877496671105</v>
      </c>
      <c r="Q766" s="6">
        <f t="shared" si="104"/>
        <v>4.9261083743842365E-3</v>
      </c>
      <c r="R766">
        <f t="shared" si="105"/>
        <v>0</v>
      </c>
      <c r="S766">
        <f t="shared" si="106"/>
        <v>0</v>
      </c>
      <c r="T766">
        <f t="shared" si="107"/>
        <v>0</v>
      </c>
    </row>
    <row r="767" spans="1:20">
      <c r="A767" t="s">
        <v>1260</v>
      </c>
      <c r="B767" t="s">
        <v>49</v>
      </c>
      <c r="C767" t="s">
        <v>12</v>
      </c>
      <c r="D767">
        <v>734</v>
      </c>
      <c r="E767" s="4">
        <v>46115</v>
      </c>
      <c r="F767" s="4">
        <v>46124</v>
      </c>
      <c r="G767" s="4">
        <v>46122</v>
      </c>
      <c r="H767">
        <v>740</v>
      </c>
      <c r="I767" t="s">
        <v>154</v>
      </c>
      <c r="J767">
        <v>5</v>
      </c>
      <c r="K767" t="s">
        <v>1563</v>
      </c>
      <c r="L767" t="str">
        <f t="shared" si="99"/>
        <v>Y</v>
      </c>
      <c r="M767" t="str">
        <f t="shared" si="100"/>
        <v>Y</v>
      </c>
      <c r="N767" t="str">
        <f t="shared" si="101"/>
        <v>Y</v>
      </c>
      <c r="O767">
        <f t="shared" si="102"/>
        <v>7</v>
      </c>
      <c r="P767" s="6">
        <f t="shared" si="103"/>
        <v>1.0081743869209809</v>
      </c>
      <c r="Q767" s="6">
        <f t="shared" si="104"/>
        <v>6.7567567567567571E-3</v>
      </c>
      <c r="R767">
        <f t="shared" si="105"/>
        <v>1</v>
      </c>
      <c r="S767">
        <f t="shared" si="106"/>
        <v>0</v>
      </c>
      <c r="T767">
        <f t="shared" si="107"/>
        <v>0</v>
      </c>
    </row>
    <row r="768" spans="1:20">
      <c r="A768" t="s">
        <v>1261</v>
      </c>
      <c r="B768" t="s">
        <v>46</v>
      </c>
      <c r="C768" t="s">
        <v>16</v>
      </c>
      <c r="D768">
        <v>346</v>
      </c>
      <c r="E768" s="4">
        <v>46175</v>
      </c>
      <c r="F768" s="4">
        <v>46188</v>
      </c>
      <c r="G768" s="4">
        <v>46186</v>
      </c>
      <c r="H768">
        <v>345</v>
      </c>
      <c r="I768" t="s">
        <v>277</v>
      </c>
      <c r="J768">
        <v>32</v>
      </c>
      <c r="K768" t="s">
        <v>1563</v>
      </c>
      <c r="L768" t="str">
        <f t="shared" si="99"/>
        <v>Y</v>
      </c>
      <c r="M768" t="str">
        <f t="shared" si="100"/>
        <v>Y</v>
      </c>
      <c r="N768" t="str">
        <f t="shared" si="101"/>
        <v>Y</v>
      </c>
      <c r="O768">
        <f t="shared" si="102"/>
        <v>11</v>
      </c>
      <c r="P768" s="6">
        <f t="shared" si="103"/>
        <v>0.99710982658959535</v>
      </c>
      <c r="Q768" s="6">
        <f t="shared" si="104"/>
        <v>9.2753623188405798E-2</v>
      </c>
      <c r="R768">
        <f t="shared" si="105"/>
        <v>1</v>
      </c>
      <c r="S768">
        <f t="shared" si="106"/>
        <v>0</v>
      </c>
      <c r="T768">
        <f t="shared" si="107"/>
        <v>0</v>
      </c>
    </row>
    <row r="769" spans="1:20">
      <c r="A769" t="s">
        <v>1262</v>
      </c>
      <c r="B769" t="s">
        <v>19</v>
      </c>
      <c r="C769" t="s">
        <v>12</v>
      </c>
      <c r="D769">
        <v>527</v>
      </c>
      <c r="E769" s="4">
        <v>46095</v>
      </c>
      <c r="F769" s="4">
        <v>46103</v>
      </c>
      <c r="G769" s="4">
        <v>46100</v>
      </c>
      <c r="H769">
        <v>527</v>
      </c>
      <c r="I769" t="s">
        <v>731</v>
      </c>
      <c r="J769">
        <v>26</v>
      </c>
      <c r="K769" t="s">
        <v>1563</v>
      </c>
      <c r="L769" t="str">
        <f t="shared" si="99"/>
        <v>Y</v>
      </c>
      <c r="M769" t="str">
        <f t="shared" si="100"/>
        <v>Y</v>
      </c>
      <c r="N769" t="str">
        <f t="shared" si="101"/>
        <v>Y</v>
      </c>
      <c r="O769">
        <f t="shared" si="102"/>
        <v>5</v>
      </c>
      <c r="P769" s="6">
        <f t="shared" si="103"/>
        <v>1</v>
      </c>
      <c r="Q769" s="6">
        <f t="shared" si="104"/>
        <v>4.9335863377609111E-2</v>
      </c>
      <c r="R769">
        <f t="shared" si="105"/>
        <v>1</v>
      </c>
      <c r="S769">
        <f t="shared" si="106"/>
        <v>0</v>
      </c>
      <c r="T769">
        <f t="shared" si="107"/>
        <v>0</v>
      </c>
    </row>
    <row r="770" spans="1:20">
      <c r="A770" t="s">
        <v>1263</v>
      </c>
      <c r="B770" t="s">
        <v>100</v>
      </c>
      <c r="C770" t="s">
        <v>12</v>
      </c>
      <c r="D770">
        <v>523</v>
      </c>
      <c r="E770" s="4">
        <v>46122</v>
      </c>
      <c r="F770" s="4">
        <v>46136</v>
      </c>
      <c r="G770" s="4">
        <v>46133</v>
      </c>
      <c r="H770">
        <v>528</v>
      </c>
      <c r="I770" t="s">
        <v>376</v>
      </c>
      <c r="J770">
        <v>5</v>
      </c>
      <c r="K770" t="s">
        <v>1563</v>
      </c>
      <c r="L770" t="str">
        <f t="shared" ref="L770:L833" si="108">IF(G770="","N/A",IF(G770&lt;=F770,"Y","N"))</f>
        <v>Y</v>
      </c>
      <c r="M770" t="str">
        <f t="shared" ref="M770:M833" si="109">IF(H770="","N/A",IF(H770&gt;=D770*0.98,"Y","N"))</f>
        <v>Y</v>
      </c>
      <c r="N770" t="str">
        <f t="shared" ref="N770:N833" si="110">IF(OR(L770="N/A",M770="N/A"),"N/A",IF(AND(L770="Y",M770="Y"),"Y","N"))</f>
        <v>Y</v>
      </c>
      <c r="O770">
        <f t="shared" ref="O770:O833" si="111">IF(G770="","N/A",G770-E770)</f>
        <v>11</v>
      </c>
      <c r="P770" s="6">
        <f t="shared" ref="P770:P833" si="112">IF(H770="","N/A",H770/D770)</f>
        <v>1.0095602294455066</v>
      </c>
      <c r="Q770" s="6">
        <f t="shared" ref="Q770:Q833" si="113">IF(H770="","N/A",IF(H770=0,0,J770/H770))</f>
        <v>9.46969696969697E-3</v>
      </c>
      <c r="R770">
        <f t="shared" ref="R770:R833" si="114">IF(N770="Y",1,IF(N770="N",0,""))</f>
        <v>1</v>
      </c>
      <c r="S770">
        <f t="shared" ref="S770:S833" si="115">IF(G770="","N/A",MAX(G770-F770,0))</f>
        <v>0</v>
      </c>
      <c r="T770">
        <f t="shared" ref="T770:T833" si="116">IF(S770="N/A",0,S770*500)</f>
        <v>0</v>
      </c>
    </row>
    <row r="771" spans="1:20">
      <c r="A771" t="s">
        <v>1264</v>
      </c>
      <c r="B771" t="s">
        <v>26</v>
      </c>
      <c r="C771" t="s">
        <v>16</v>
      </c>
      <c r="D771">
        <v>766</v>
      </c>
      <c r="E771" s="4">
        <v>46108</v>
      </c>
      <c r="F771" s="4">
        <v>46115</v>
      </c>
      <c r="G771" s="4">
        <v>46115</v>
      </c>
      <c r="H771">
        <v>765</v>
      </c>
      <c r="I771" t="s">
        <v>1265</v>
      </c>
      <c r="J771">
        <v>25</v>
      </c>
      <c r="K771" t="s">
        <v>1563</v>
      </c>
      <c r="L771" t="str">
        <f t="shared" si="108"/>
        <v>Y</v>
      </c>
      <c r="M771" t="str">
        <f t="shared" si="109"/>
        <v>Y</v>
      </c>
      <c r="N771" t="str">
        <f t="shared" si="110"/>
        <v>Y</v>
      </c>
      <c r="O771">
        <f t="shared" si="111"/>
        <v>7</v>
      </c>
      <c r="P771" s="6">
        <f t="shared" si="112"/>
        <v>0.99869451697127942</v>
      </c>
      <c r="Q771" s="6">
        <f t="shared" si="113"/>
        <v>3.2679738562091505E-2</v>
      </c>
      <c r="R771">
        <f t="shared" si="114"/>
        <v>1</v>
      </c>
      <c r="S771">
        <f t="shared" si="115"/>
        <v>0</v>
      </c>
      <c r="T771">
        <f t="shared" si="116"/>
        <v>0</v>
      </c>
    </row>
    <row r="772" spans="1:20">
      <c r="A772" t="s">
        <v>1266</v>
      </c>
      <c r="B772" t="s">
        <v>67</v>
      </c>
      <c r="C772" t="s">
        <v>16</v>
      </c>
      <c r="D772">
        <v>282</v>
      </c>
      <c r="E772" s="4">
        <v>46056</v>
      </c>
      <c r="F772" s="4">
        <v>46066</v>
      </c>
      <c r="G772" s="4">
        <v>46066</v>
      </c>
      <c r="H772">
        <v>285</v>
      </c>
      <c r="I772" t="s">
        <v>769</v>
      </c>
      <c r="J772">
        <v>4</v>
      </c>
      <c r="K772" t="s">
        <v>1563</v>
      </c>
      <c r="L772" t="str">
        <f t="shared" si="108"/>
        <v>Y</v>
      </c>
      <c r="M772" t="str">
        <f t="shared" si="109"/>
        <v>Y</v>
      </c>
      <c r="N772" t="str">
        <f t="shared" si="110"/>
        <v>Y</v>
      </c>
      <c r="O772">
        <f t="shared" si="111"/>
        <v>10</v>
      </c>
      <c r="P772" s="6">
        <f t="shared" si="112"/>
        <v>1.0106382978723405</v>
      </c>
      <c r="Q772" s="6">
        <f t="shared" si="113"/>
        <v>1.4035087719298246E-2</v>
      </c>
      <c r="R772">
        <f t="shared" si="114"/>
        <v>1</v>
      </c>
      <c r="S772">
        <f t="shared" si="115"/>
        <v>0</v>
      </c>
      <c r="T772">
        <f t="shared" si="116"/>
        <v>0</v>
      </c>
    </row>
    <row r="773" spans="1:20">
      <c r="A773" t="s">
        <v>1267</v>
      </c>
      <c r="B773" t="s">
        <v>70</v>
      </c>
      <c r="C773" t="s">
        <v>12</v>
      </c>
      <c r="D773">
        <v>275</v>
      </c>
      <c r="E773" s="4">
        <v>46055</v>
      </c>
      <c r="F773" s="4">
        <v>46068</v>
      </c>
      <c r="G773" s="4">
        <v>46066</v>
      </c>
      <c r="H773">
        <v>270</v>
      </c>
      <c r="I773" t="s">
        <v>994</v>
      </c>
      <c r="J773">
        <v>5</v>
      </c>
      <c r="K773" t="s">
        <v>1563</v>
      </c>
      <c r="L773" t="str">
        <f t="shared" si="108"/>
        <v>Y</v>
      </c>
      <c r="M773" t="str">
        <f t="shared" si="109"/>
        <v>Y</v>
      </c>
      <c r="N773" t="str">
        <f t="shared" si="110"/>
        <v>Y</v>
      </c>
      <c r="O773">
        <f t="shared" si="111"/>
        <v>11</v>
      </c>
      <c r="P773" s="6">
        <f t="shared" si="112"/>
        <v>0.98181818181818181</v>
      </c>
      <c r="Q773" s="6">
        <f t="shared" si="113"/>
        <v>1.8518518518518517E-2</v>
      </c>
      <c r="R773">
        <f t="shared" si="114"/>
        <v>1</v>
      </c>
      <c r="S773">
        <f t="shared" si="115"/>
        <v>0</v>
      </c>
      <c r="T773">
        <f t="shared" si="116"/>
        <v>0</v>
      </c>
    </row>
    <row r="774" spans="1:20">
      <c r="A774" t="s">
        <v>1268</v>
      </c>
      <c r="B774" t="s">
        <v>49</v>
      </c>
      <c r="C774" t="s">
        <v>16</v>
      </c>
      <c r="D774">
        <v>628</v>
      </c>
      <c r="E774" s="4">
        <v>46140</v>
      </c>
      <c r="F774" s="4">
        <v>46155</v>
      </c>
      <c r="G774" s="4">
        <v>46153</v>
      </c>
      <c r="H774">
        <v>623</v>
      </c>
      <c r="I774" t="s">
        <v>1269</v>
      </c>
      <c r="J774">
        <v>4</v>
      </c>
      <c r="K774" t="s">
        <v>1563</v>
      </c>
      <c r="L774" t="str">
        <f t="shared" si="108"/>
        <v>Y</v>
      </c>
      <c r="M774" t="str">
        <f t="shared" si="109"/>
        <v>Y</v>
      </c>
      <c r="N774" t="str">
        <f t="shared" si="110"/>
        <v>Y</v>
      </c>
      <c r="O774">
        <f t="shared" si="111"/>
        <v>13</v>
      </c>
      <c r="P774" s="6">
        <f t="shared" si="112"/>
        <v>0.9920382165605095</v>
      </c>
      <c r="Q774" s="6">
        <f t="shared" si="113"/>
        <v>6.420545746388443E-3</v>
      </c>
      <c r="R774">
        <f t="shared" si="114"/>
        <v>1</v>
      </c>
      <c r="S774">
        <f t="shared" si="115"/>
        <v>0</v>
      </c>
      <c r="T774">
        <f t="shared" si="116"/>
        <v>0</v>
      </c>
    </row>
    <row r="775" spans="1:20">
      <c r="A775" t="s">
        <v>1270</v>
      </c>
      <c r="B775" t="s">
        <v>70</v>
      </c>
      <c r="C775" t="s">
        <v>23</v>
      </c>
      <c r="D775">
        <v>866</v>
      </c>
      <c r="E775" s="4">
        <v>46073</v>
      </c>
      <c r="F775" s="4">
        <v>46081</v>
      </c>
      <c r="G775" s="4">
        <v>46083</v>
      </c>
      <c r="H775">
        <v>860</v>
      </c>
      <c r="I775" t="s">
        <v>1271</v>
      </c>
      <c r="J775">
        <v>2</v>
      </c>
      <c r="K775" t="s">
        <v>1563</v>
      </c>
      <c r="L775" t="str">
        <f t="shared" si="108"/>
        <v>N</v>
      </c>
      <c r="M775" t="str">
        <f t="shared" si="109"/>
        <v>Y</v>
      </c>
      <c r="N775" t="str">
        <f t="shared" si="110"/>
        <v>N</v>
      </c>
      <c r="O775">
        <f t="shared" si="111"/>
        <v>10</v>
      </c>
      <c r="P775" s="6">
        <f t="shared" si="112"/>
        <v>0.99307159353348728</v>
      </c>
      <c r="Q775" s="6">
        <f t="shared" si="113"/>
        <v>2.3255813953488372E-3</v>
      </c>
      <c r="R775">
        <f t="shared" si="114"/>
        <v>0</v>
      </c>
      <c r="S775">
        <f t="shared" si="115"/>
        <v>2</v>
      </c>
      <c r="T775">
        <f t="shared" si="116"/>
        <v>1000</v>
      </c>
    </row>
    <row r="776" spans="1:20">
      <c r="A776" t="s">
        <v>1272</v>
      </c>
      <c r="B776" t="s">
        <v>70</v>
      </c>
      <c r="C776" t="s">
        <v>12</v>
      </c>
      <c r="D776">
        <v>191</v>
      </c>
      <c r="E776" s="4">
        <v>46057</v>
      </c>
      <c r="F776" s="4">
        <v>46070</v>
      </c>
      <c r="G776" s="4">
        <v>46074</v>
      </c>
      <c r="H776">
        <v>187</v>
      </c>
      <c r="I776" t="s">
        <v>1273</v>
      </c>
      <c r="J776">
        <v>4</v>
      </c>
      <c r="K776" t="s">
        <v>1563</v>
      </c>
      <c r="L776" t="str">
        <f t="shared" si="108"/>
        <v>N</v>
      </c>
      <c r="M776" t="str">
        <f t="shared" si="109"/>
        <v>N</v>
      </c>
      <c r="N776" t="str">
        <f t="shared" si="110"/>
        <v>N</v>
      </c>
      <c r="O776">
        <f t="shared" si="111"/>
        <v>17</v>
      </c>
      <c r="P776" s="6">
        <f t="shared" si="112"/>
        <v>0.97905759162303663</v>
      </c>
      <c r="Q776" s="6">
        <f t="shared" si="113"/>
        <v>2.1390374331550801E-2</v>
      </c>
      <c r="R776">
        <f t="shared" si="114"/>
        <v>0</v>
      </c>
      <c r="S776">
        <f t="shared" si="115"/>
        <v>4</v>
      </c>
      <c r="T776">
        <f t="shared" si="116"/>
        <v>2000</v>
      </c>
    </row>
    <row r="777" spans="1:20">
      <c r="A777" t="s">
        <v>1274</v>
      </c>
      <c r="B777" t="s">
        <v>11</v>
      </c>
      <c r="C777" t="s">
        <v>12</v>
      </c>
      <c r="D777">
        <v>430</v>
      </c>
      <c r="E777" s="4">
        <v>46112</v>
      </c>
      <c r="F777" s="4">
        <v>46121</v>
      </c>
      <c r="G777" s="4"/>
      <c r="I777" t="s">
        <v>821</v>
      </c>
      <c r="J777">
        <v>1</v>
      </c>
      <c r="K777" t="s">
        <v>1565</v>
      </c>
      <c r="L777" t="str">
        <f t="shared" si="108"/>
        <v>N/A</v>
      </c>
      <c r="M777" t="str">
        <f t="shared" si="109"/>
        <v>N/A</v>
      </c>
      <c r="N777" t="str">
        <f t="shared" si="110"/>
        <v>N/A</v>
      </c>
      <c r="O777" t="str">
        <f t="shared" si="111"/>
        <v>N/A</v>
      </c>
      <c r="P777" s="6" t="str">
        <f t="shared" si="112"/>
        <v>N/A</v>
      </c>
      <c r="Q777" s="6" t="str">
        <f t="shared" si="113"/>
        <v>N/A</v>
      </c>
      <c r="R777" t="str">
        <f t="shared" si="114"/>
        <v/>
      </c>
      <c r="S777" t="str">
        <f t="shared" si="115"/>
        <v>N/A</v>
      </c>
      <c r="T777">
        <f t="shared" si="116"/>
        <v>0</v>
      </c>
    </row>
    <row r="778" spans="1:20">
      <c r="A778" t="s">
        <v>1275</v>
      </c>
      <c r="B778" t="s">
        <v>22</v>
      </c>
      <c r="C778" t="s">
        <v>12</v>
      </c>
      <c r="D778">
        <v>597</v>
      </c>
      <c r="E778" s="4">
        <v>46069</v>
      </c>
      <c r="F778" s="4">
        <v>46075</v>
      </c>
      <c r="G778" s="4">
        <v>46074</v>
      </c>
      <c r="H778">
        <v>599</v>
      </c>
      <c r="I778" t="s">
        <v>44</v>
      </c>
      <c r="J778">
        <v>18</v>
      </c>
      <c r="K778" t="s">
        <v>1563</v>
      </c>
      <c r="L778" t="str">
        <f t="shared" si="108"/>
        <v>Y</v>
      </c>
      <c r="M778" t="str">
        <f t="shared" si="109"/>
        <v>Y</v>
      </c>
      <c r="N778" t="str">
        <f t="shared" si="110"/>
        <v>Y</v>
      </c>
      <c r="O778">
        <f t="shared" si="111"/>
        <v>5</v>
      </c>
      <c r="P778" s="6">
        <f t="shared" si="112"/>
        <v>1.0033500837520939</v>
      </c>
      <c r="Q778" s="6">
        <f t="shared" si="113"/>
        <v>3.0050083472454091E-2</v>
      </c>
      <c r="R778">
        <f t="shared" si="114"/>
        <v>1</v>
      </c>
      <c r="S778">
        <f t="shared" si="115"/>
        <v>0</v>
      </c>
      <c r="T778">
        <f t="shared" si="116"/>
        <v>0</v>
      </c>
    </row>
    <row r="779" spans="1:20">
      <c r="A779" t="s">
        <v>1276</v>
      </c>
      <c r="B779" t="s">
        <v>64</v>
      </c>
      <c r="C779" t="s">
        <v>12</v>
      </c>
      <c r="D779">
        <v>737</v>
      </c>
      <c r="E779" s="4">
        <v>46035</v>
      </c>
      <c r="F779" s="4">
        <v>46044</v>
      </c>
      <c r="G779" s="4">
        <v>46042</v>
      </c>
      <c r="H779">
        <v>630</v>
      </c>
      <c r="I779" t="s">
        <v>711</v>
      </c>
      <c r="J779">
        <v>39</v>
      </c>
      <c r="K779" t="s">
        <v>1563</v>
      </c>
      <c r="L779" t="str">
        <f t="shared" si="108"/>
        <v>Y</v>
      </c>
      <c r="M779" t="str">
        <f t="shared" si="109"/>
        <v>N</v>
      </c>
      <c r="N779" t="str">
        <f t="shared" si="110"/>
        <v>N</v>
      </c>
      <c r="O779">
        <f t="shared" si="111"/>
        <v>7</v>
      </c>
      <c r="P779" s="6">
        <f t="shared" si="112"/>
        <v>0.85481682496607869</v>
      </c>
      <c r="Q779" s="6">
        <f t="shared" si="113"/>
        <v>6.1904761904761907E-2</v>
      </c>
      <c r="R779">
        <f t="shared" si="114"/>
        <v>0</v>
      </c>
      <c r="S779">
        <f t="shared" si="115"/>
        <v>0</v>
      </c>
      <c r="T779">
        <f t="shared" si="116"/>
        <v>0</v>
      </c>
    </row>
    <row r="780" spans="1:20">
      <c r="A780" t="s">
        <v>1277</v>
      </c>
      <c r="B780" t="s">
        <v>26</v>
      </c>
      <c r="C780" t="s">
        <v>12</v>
      </c>
      <c r="D780">
        <v>950</v>
      </c>
      <c r="E780" s="4">
        <v>46073</v>
      </c>
      <c r="F780" s="4">
        <v>46088</v>
      </c>
      <c r="G780" s="4">
        <v>46088</v>
      </c>
      <c r="H780">
        <v>851</v>
      </c>
      <c r="I780" t="s">
        <v>750</v>
      </c>
      <c r="J780">
        <v>28</v>
      </c>
      <c r="K780" t="s">
        <v>1563</v>
      </c>
      <c r="L780" t="str">
        <f t="shared" si="108"/>
        <v>Y</v>
      </c>
      <c r="M780" t="str">
        <f t="shared" si="109"/>
        <v>N</v>
      </c>
      <c r="N780" t="str">
        <f t="shared" si="110"/>
        <v>N</v>
      </c>
      <c r="O780">
        <f t="shared" si="111"/>
        <v>15</v>
      </c>
      <c r="P780" s="6">
        <f t="shared" si="112"/>
        <v>0.89578947368421058</v>
      </c>
      <c r="Q780" s="6">
        <f t="shared" si="113"/>
        <v>3.2902467685076382E-2</v>
      </c>
      <c r="R780">
        <f t="shared" si="114"/>
        <v>0</v>
      </c>
      <c r="S780">
        <f t="shared" si="115"/>
        <v>0</v>
      </c>
      <c r="T780">
        <f t="shared" si="116"/>
        <v>0</v>
      </c>
    </row>
    <row r="781" spans="1:20">
      <c r="A781" t="s">
        <v>1278</v>
      </c>
      <c r="B781" t="s">
        <v>177</v>
      </c>
      <c r="C781" t="s">
        <v>12</v>
      </c>
      <c r="D781">
        <v>96</v>
      </c>
      <c r="E781" s="4">
        <v>46157</v>
      </c>
      <c r="F781" s="4">
        <v>46167</v>
      </c>
      <c r="G781" s="4">
        <v>46167</v>
      </c>
      <c r="H781">
        <v>84</v>
      </c>
      <c r="I781" t="s">
        <v>854</v>
      </c>
      <c r="J781">
        <v>4</v>
      </c>
      <c r="K781" t="s">
        <v>1563</v>
      </c>
      <c r="L781" t="str">
        <f t="shared" si="108"/>
        <v>Y</v>
      </c>
      <c r="M781" t="str">
        <f t="shared" si="109"/>
        <v>N</v>
      </c>
      <c r="N781" t="str">
        <f t="shared" si="110"/>
        <v>N</v>
      </c>
      <c r="O781">
        <f t="shared" si="111"/>
        <v>10</v>
      </c>
      <c r="P781" s="6">
        <f t="shared" si="112"/>
        <v>0.875</v>
      </c>
      <c r="Q781" s="6">
        <f t="shared" si="113"/>
        <v>4.7619047619047616E-2</v>
      </c>
      <c r="R781">
        <f t="shared" si="114"/>
        <v>0</v>
      </c>
      <c r="S781">
        <f t="shared" si="115"/>
        <v>0</v>
      </c>
      <c r="T781">
        <f t="shared" si="116"/>
        <v>0</v>
      </c>
    </row>
    <row r="782" spans="1:20">
      <c r="A782" t="s">
        <v>1279</v>
      </c>
      <c r="B782" t="s">
        <v>52</v>
      </c>
      <c r="C782" t="s">
        <v>16</v>
      </c>
      <c r="D782">
        <v>578</v>
      </c>
      <c r="E782" s="4">
        <v>46089</v>
      </c>
      <c r="F782" s="4">
        <v>46104</v>
      </c>
      <c r="G782" s="4">
        <v>46103</v>
      </c>
      <c r="H782">
        <v>580</v>
      </c>
      <c r="I782" t="s">
        <v>1280</v>
      </c>
      <c r="J782">
        <v>15</v>
      </c>
      <c r="K782" t="s">
        <v>1563</v>
      </c>
      <c r="L782" t="str">
        <f t="shared" si="108"/>
        <v>Y</v>
      </c>
      <c r="M782" t="str">
        <f t="shared" si="109"/>
        <v>Y</v>
      </c>
      <c r="N782" t="str">
        <f t="shared" si="110"/>
        <v>Y</v>
      </c>
      <c r="O782">
        <f t="shared" si="111"/>
        <v>14</v>
      </c>
      <c r="P782" s="6">
        <f t="shared" si="112"/>
        <v>1.0034602076124568</v>
      </c>
      <c r="Q782" s="6">
        <f t="shared" si="113"/>
        <v>2.5862068965517241E-2</v>
      </c>
      <c r="R782">
        <f t="shared" si="114"/>
        <v>1</v>
      </c>
      <c r="S782">
        <f t="shared" si="115"/>
        <v>0</v>
      </c>
      <c r="T782">
        <f t="shared" si="116"/>
        <v>0</v>
      </c>
    </row>
    <row r="783" spans="1:20">
      <c r="A783" t="s">
        <v>1281</v>
      </c>
      <c r="B783" t="s">
        <v>120</v>
      </c>
      <c r="C783" t="s">
        <v>23</v>
      </c>
      <c r="D783">
        <v>391</v>
      </c>
      <c r="E783" s="4">
        <v>46166</v>
      </c>
      <c r="F783" s="4">
        <v>46181</v>
      </c>
      <c r="G783" s="4">
        <v>46178</v>
      </c>
      <c r="H783">
        <v>336</v>
      </c>
      <c r="I783" t="s">
        <v>1282</v>
      </c>
      <c r="J783">
        <v>18</v>
      </c>
      <c r="K783" t="s">
        <v>1563</v>
      </c>
      <c r="L783" t="str">
        <f t="shared" si="108"/>
        <v>Y</v>
      </c>
      <c r="M783" t="str">
        <f t="shared" si="109"/>
        <v>N</v>
      </c>
      <c r="N783" t="str">
        <f t="shared" si="110"/>
        <v>N</v>
      </c>
      <c r="O783">
        <f t="shared" si="111"/>
        <v>12</v>
      </c>
      <c r="P783" s="6">
        <f t="shared" si="112"/>
        <v>0.85933503836317138</v>
      </c>
      <c r="Q783" s="6">
        <f t="shared" si="113"/>
        <v>5.3571428571428568E-2</v>
      </c>
      <c r="R783">
        <f t="shared" si="114"/>
        <v>0</v>
      </c>
      <c r="S783">
        <f t="shared" si="115"/>
        <v>0</v>
      </c>
      <c r="T783">
        <f t="shared" si="116"/>
        <v>0</v>
      </c>
    </row>
    <row r="784" spans="1:20">
      <c r="A784" t="s">
        <v>1283</v>
      </c>
      <c r="B784" t="s">
        <v>67</v>
      </c>
      <c r="C784" t="s">
        <v>23</v>
      </c>
      <c r="D784">
        <v>365</v>
      </c>
      <c r="E784" s="4">
        <v>46061</v>
      </c>
      <c r="F784" s="4">
        <v>46073</v>
      </c>
      <c r="G784" s="4">
        <v>46072</v>
      </c>
      <c r="H784">
        <v>361</v>
      </c>
      <c r="I784" t="s">
        <v>779</v>
      </c>
      <c r="J784">
        <v>20</v>
      </c>
      <c r="K784" t="s">
        <v>1563</v>
      </c>
      <c r="L784" t="str">
        <f t="shared" si="108"/>
        <v>Y</v>
      </c>
      <c r="M784" t="str">
        <f t="shared" si="109"/>
        <v>Y</v>
      </c>
      <c r="N784" t="str">
        <f t="shared" si="110"/>
        <v>Y</v>
      </c>
      <c r="O784">
        <f t="shared" si="111"/>
        <v>11</v>
      </c>
      <c r="P784" s="6">
        <f t="shared" si="112"/>
        <v>0.989041095890411</v>
      </c>
      <c r="Q784" s="6">
        <f t="shared" si="113"/>
        <v>5.5401662049861494E-2</v>
      </c>
      <c r="R784">
        <f t="shared" si="114"/>
        <v>1</v>
      </c>
      <c r="S784">
        <f t="shared" si="115"/>
        <v>0</v>
      </c>
      <c r="T784">
        <f t="shared" si="116"/>
        <v>0</v>
      </c>
    </row>
    <row r="785" spans="1:20">
      <c r="A785" t="s">
        <v>1285</v>
      </c>
      <c r="B785" t="s">
        <v>46</v>
      </c>
      <c r="C785" t="s">
        <v>23</v>
      </c>
      <c r="D785">
        <v>943</v>
      </c>
      <c r="E785" s="4">
        <v>46074</v>
      </c>
      <c r="F785" s="4">
        <v>46082</v>
      </c>
      <c r="G785" s="4">
        <v>46081</v>
      </c>
      <c r="H785">
        <v>935</v>
      </c>
      <c r="I785" t="s">
        <v>61</v>
      </c>
      <c r="J785">
        <v>18</v>
      </c>
      <c r="K785" t="s">
        <v>1563</v>
      </c>
      <c r="L785" t="str">
        <f t="shared" si="108"/>
        <v>Y</v>
      </c>
      <c r="M785" t="str">
        <f t="shared" si="109"/>
        <v>Y</v>
      </c>
      <c r="N785" t="str">
        <f t="shared" si="110"/>
        <v>Y</v>
      </c>
      <c r="O785">
        <f t="shared" si="111"/>
        <v>7</v>
      </c>
      <c r="P785" s="6">
        <f t="shared" si="112"/>
        <v>0.99151643690349944</v>
      </c>
      <c r="Q785" s="6">
        <f t="shared" si="113"/>
        <v>1.9251336898395723E-2</v>
      </c>
      <c r="R785">
        <f t="shared" si="114"/>
        <v>1</v>
      </c>
      <c r="S785">
        <f t="shared" si="115"/>
        <v>0</v>
      </c>
      <c r="T785">
        <f t="shared" si="116"/>
        <v>0</v>
      </c>
    </row>
    <row r="786" spans="1:20">
      <c r="A786" t="s">
        <v>1286</v>
      </c>
      <c r="B786" t="s">
        <v>70</v>
      </c>
      <c r="C786" t="s">
        <v>12</v>
      </c>
      <c r="D786">
        <v>460</v>
      </c>
      <c r="E786" s="4">
        <v>46057</v>
      </c>
      <c r="F786" s="4">
        <v>46068</v>
      </c>
      <c r="G786" s="4"/>
      <c r="I786" t="s">
        <v>379</v>
      </c>
      <c r="K786" t="s">
        <v>1565</v>
      </c>
      <c r="L786" t="str">
        <f t="shared" si="108"/>
        <v>N/A</v>
      </c>
      <c r="M786" t="str">
        <f t="shared" si="109"/>
        <v>N/A</v>
      </c>
      <c r="N786" t="str">
        <f t="shared" si="110"/>
        <v>N/A</v>
      </c>
      <c r="O786" t="str">
        <f t="shared" si="111"/>
        <v>N/A</v>
      </c>
      <c r="P786" s="6" t="str">
        <f t="shared" si="112"/>
        <v>N/A</v>
      </c>
      <c r="Q786" s="6" t="str">
        <f t="shared" si="113"/>
        <v>N/A</v>
      </c>
      <c r="R786" t="str">
        <f t="shared" si="114"/>
        <v/>
      </c>
      <c r="S786" t="str">
        <f t="shared" si="115"/>
        <v>N/A</v>
      </c>
      <c r="T786">
        <f t="shared" si="116"/>
        <v>0</v>
      </c>
    </row>
    <row r="787" spans="1:20">
      <c r="A787" t="s">
        <v>1288</v>
      </c>
      <c r="B787" t="s">
        <v>120</v>
      </c>
      <c r="C787" t="s">
        <v>16</v>
      </c>
      <c r="D787">
        <v>571</v>
      </c>
      <c r="E787" s="4">
        <v>46076</v>
      </c>
      <c r="F787" s="4">
        <v>46088</v>
      </c>
      <c r="G787" s="4">
        <v>46086</v>
      </c>
      <c r="H787">
        <v>577</v>
      </c>
      <c r="I787" t="s">
        <v>1108</v>
      </c>
      <c r="J787">
        <v>18</v>
      </c>
      <c r="K787" t="s">
        <v>1563</v>
      </c>
      <c r="L787" t="str">
        <f t="shared" si="108"/>
        <v>Y</v>
      </c>
      <c r="M787" t="str">
        <f t="shared" si="109"/>
        <v>Y</v>
      </c>
      <c r="N787" t="str">
        <f t="shared" si="110"/>
        <v>Y</v>
      </c>
      <c r="O787">
        <f t="shared" si="111"/>
        <v>10</v>
      </c>
      <c r="P787" s="6">
        <f t="shared" si="112"/>
        <v>1.0105078809106831</v>
      </c>
      <c r="Q787" s="6">
        <f t="shared" si="113"/>
        <v>3.1195840554592721E-2</v>
      </c>
      <c r="R787">
        <f t="shared" si="114"/>
        <v>1</v>
      </c>
      <c r="S787">
        <f t="shared" si="115"/>
        <v>0</v>
      </c>
      <c r="T787">
        <f t="shared" si="116"/>
        <v>0</v>
      </c>
    </row>
    <row r="788" spans="1:20">
      <c r="A788" t="s">
        <v>1289</v>
      </c>
      <c r="B788" t="s">
        <v>177</v>
      </c>
      <c r="C788" t="s">
        <v>16</v>
      </c>
      <c r="D788">
        <v>605</v>
      </c>
      <c r="E788" s="4">
        <v>46141</v>
      </c>
      <c r="F788" s="4">
        <v>46146</v>
      </c>
      <c r="G788" s="4">
        <v>46144</v>
      </c>
      <c r="H788">
        <v>599</v>
      </c>
      <c r="I788" t="s">
        <v>1290</v>
      </c>
      <c r="J788">
        <v>5</v>
      </c>
      <c r="K788" t="s">
        <v>1563</v>
      </c>
      <c r="L788" t="str">
        <f t="shared" si="108"/>
        <v>Y</v>
      </c>
      <c r="M788" t="str">
        <f t="shared" si="109"/>
        <v>Y</v>
      </c>
      <c r="N788" t="str">
        <f t="shared" si="110"/>
        <v>Y</v>
      </c>
      <c r="O788">
        <f t="shared" si="111"/>
        <v>3</v>
      </c>
      <c r="P788" s="6">
        <f t="shared" si="112"/>
        <v>0.99008264462809914</v>
      </c>
      <c r="Q788" s="6">
        <f t="shared" si="113"/>
        <v>8.3472454090150246E-3</v>
      </c>
      <c r="R788">
        <f t="shared" si="114"/>
        <v>1</v>
      </c>
      <c r="S788">
        <f t="shared" si="115"/>
        <v>0</v>
      </c>
      <c r="T788">
        <f t="shared" si="116"/>
        <v>0</v>
      </c>
    </row>
    <row r="789" spans="1:20">
      <c r="A789" t="s">
        <v>1291</v>
      </c>
      <c r="B789" t="s">
        <v>32</v>
      </c>
      <c r="C789" t="s">
        <v>16</v>
      </c>
      <c r="D789">
        <v>482</v>
      </c>
      <c r="E789" s="4">
        <v>46164</v>
      </c>
      <c r="F789" s="4">
        <v>46171</v>
      </c>
      <c r="G789" s="4">
        <v>46170</v>
      </c>
      <c r="H789">
        <v>474</v>
      </c>
      <c r="I789" t="s">
        <v>1292</v>
      </c>
      <c r="J789">
        <v>31</v>
      </c>
      <c r="K789" t="s">
        <v>1563</v>
      </c>
      <c r="L789" t="str">
        <f t="shared" si="108"/>
        <v>Y</v>
      </c>
      <c r="M789" t="str">
        <f t="shared" si="109"/>
        <v>Y</v>
      </c>
      <c r="N789" t="str">
        <f t="shared" si="110"/>
        <v>Y</v>
      </c>
      <c r="O789">
        <f t="shared" si="111"/>
        <v>6</v>
      </c>
      <c r="P789" s="6">
        <f t="shared" si="112"/>
        <v>0.98340248962655596</v>
      </c>
      <c r="Q789" s="6">
        <f t="shared" si="113"/>
        <v>6.5400843881856546E-2</v>
      </c>
      <c r="R789">
        <f t="shared" si="114"/>
        <v>1</v>
      </c>
      <c r="S789">
        <f t="shared" si="115"/>
        <v>0</v>
      </c>
      <c r="T789">
        <f t="shared" si="116"/>
        <v>0</v>
      </c>
    </row>
    <row r="790" spans="1:20">
      <c r="A790" t="s">
        <v>1293</v>
      </c>
      <c r="B790" t="s">
        <v>35</v>
      </c>
      <c r="C790" t="s">
        <v>23</v>
      </c>
      <c r="D790">
        <v>331</v>
      </c>
      <c r="E790" s="4">
        <v>46062</v>
      </c>
      <c r="F790" s="4">
        <v>46072</v>
      </c>
      <c r="G790" s="4">
        <v>46078</v>
      </c>
      <c r="H790">
        <v>328</v>
      </c>
      <c r="I790" t="s">
        <v>1294</v>
      </c>
      <c r="J790">
        <v>7</v>
      </c>
      <c r="K790" t="s">
        <v>1563</v>
      </c>
      <c r="L790" t="str">
        <f t="shared" si="108"/>
        <v>N</v>
      </c>
      <c r="M790" t="str">
        <f t="shared" si="109"/>
        <v>Y</v>
      </c>
      <c r="N790" t="str">
        <f t="shared" si="110"/>
        <v>N</v>
      </c>
      <c r="O790">
        <f t="shared" si="111"/>
        <v>16</v>
      </c>
      <c r="P790" s="6">
        <f t="shared" si="112"/>
        <v>0.99093655589123864</v>
      </c>
      <c r="Q790" s="6">
        <f t="shared" si="113"/>
        <v>2.1341463414634148E-2</v>
      </c>
      <c r="R790">
        <f t="shared" si="114"/>
        <v>0</v>
      </c>
      <c r="S790">
        <f t="shared" si="115"/>
        <v>6</v>
      </c>
      <c r="T790">
        <f t="shared" si="116"/>
        <v>3000</v>
      </c>
    </row>
    <row r="791" spans="1:20">
      <c r="A791" t="s">
        <v>1295</v>
      </c>
      <c r="B791" t="s">
        <v>177</v>
      </c>
      <c r="C791" t="s">
        <v>16</v>
      </c>
      <c r="D791">
        <v>412</v>
      </c>
      <c r="E791" s="4">
        <v>46168</v>
      </c>
      <c r="F791" s="4">
        <v>46173</v>
      </c>
      <c r="G791" s="4">
        <v>46173</v>
      </c>
      <c r="H791">
        <v>414</v>
      </c>
      <c r="I791" t="s">
        <v>1296</v>
      </c>
      <c r="J791">
        <v>8</v>
      </c>
      <c r="K791" t="s">
        <v>1563</v>
      </c>
      <c r="L791" t="str">
        <f t="shared" si="108"/>
        <v>Y</v>
      </c>
      <c r="M791" t="str">
        <f t="shared" si="109"/>
        <v>Y</v>
      </c>
      <c r="N791" t="str">
        <f t="shared" si="110"/>
        <v>Y</v>
      </c>
      <c r="O791">
        <f t="shared" si="111"/>
        <v>5</v>
      </c>
      <c r="P791" s="6">
        <f t="shared" si="112"/>
        <v>1.0048543689320388</v>
      </c>
      <c r="Q791" s="6">
        <f t="shared" si="113"/>
        <v>1.932367149758454E-2</v>
      </c>
      <c r="R791">
        <f t="shared" si="114"/>
        <v>1</v>
      </c>
      <c r="S791">
        <f t="shared" si="115"/>
        <v>0</v>
      </c>
      <c r="T791">
        <f t="shared" si="116"/>
        <v>0</v>
      </c>
    </row>
    <row r="792" spans="1:20">
      <c r="A792" t="s">
        <v>1297</v>
      </c>
      <c r="B792" t="s">
        <v>81</v>
      </c>
      <c r="C792" t="s">
        <v>16</v>
      </c>
      <c r="D792">
        <v>571</v>
      </c>
      <c r="E792" s="4">
        <v>46051</v>
      </c>
      <c r="F792" s="4">
        <v>46059</v>
      </c>
      <c r="G792" s="4">
        <v>46060</v>
      </c>
      <c r="H792">
        <v>500</v>
      </c>
      <c r="I792" t="s">
        <v>405</v>
      </c>
      <c r="J792">
        <v>7</v>
      </c>
      <c r="K792" t="s">
        <v>1563</v>
      </c>
      <c r="L792" t="str">
        <f t="shared" si="108"/>
        <v>N</v>
      </c>
      <c r="M792" t="str">
        <f t="shared" si="109"/>
        <v>N</v>
      </c>
      <c r="N792" t="str">
        <f t="shared" si="110"/>
        <v>N</v>
      </c>
      <c r="O792">
        <f t="shared" si="111"/>
        <v>9</v>
      </c>
      <c r="P792" s="6">
        <f t="shared" si="112"/>
        <v>0.87565674255691772</v>
      </c>
      <c r="Q792" s="6">
        <f t="shared" si="113"/>
        <v>1.4E-2</v>
      </c>
      <c r="R792">
        <f t="shared" si="114"/>
        <v>0</v>
      </c>
      <c r="S792">
        <f t="shared" si="115"/>
        <v>1</v>
      </c>
      <c r="T792">
        <f t="shared" si="116"/>
        <v>500</v>
      </c>
    </row>
    <row r="793" spans="1:20">
      <c r="A793" t="s">
        <v>1298</v>
      </c>
      <c r="B793" t="s">
        <v>19</v>
      </c>
      <c r="C793" t="s">
        <v>16</v>
      </c>
      <c r="D793">
        <v>795</v>
      </c>
      <c r="E793" s="4">
        <v>46075</v>
      </c>
      <c r="F793" s="4">
        <v>46089</v>
      </c>
      <c r="G793" s="4">
        <v>46087</v>
      </c>
      <c r="H793">
        <v>808</v>
      </c>
      <c r="I793" t="s">
        <v>1299</v>
      </c>
      <c r="J793">
        <v>7</v>
      </c>
      <c r="K793" t="s">
        <v>1563</v>
      </c>
      <c r="L793" t="str">
        <f t="shared" si="108"/>
        <v>Y</v>
      </c>
      <c r="M793" t="str">
        <f t="shared" si="109"/>
        <v>Y</v>
      </c>
      <c r="N793" t="str">
        <f t="shared" si="110"/>
        <v>Y</v>
      </c>
      <c r="O793">
        <f t="shared" si="111"/>
        <v>12</v>
      </c>
      <c r="P793" s="6">
        <f t="shared" si="112"/>
        <v>1.0163522012578616</v>
      </c>
      <c r="Q793" s="6">
        <f t="shared" si="113"/>
        <v>8.6633663366336641E-3</v>
      </c>
      <c r="R793">
        <f t="shared" si="114"/>
        <v>1</v>
      </c>
      <c r="S793">
        <f t="shared" si="115"/>
        <v>0</v>
      </c>
      <c r="T793">
        <f t="shared" si="116"/>
        <v>0</v>
      </c>
    </row>
    <row r="794" spans="1:20">
      <c r="A794" t="s">
        <v>1300</v>
      </c>
      <c r="B794" t="s">
        <v>40</v>
      </c>
      <c r="C794" t="s">
        <v>16</v>
      </c>
      <c r="D794">
        <v>384</v>
      </c>
      <c r="E794" s="4">
        <v>46172</v>
      </c>
      <c r="F794" s="4">
        <v>46185</v>
      </c>
      <c r="G794" s="4">
        <v>46184</v>
      </c>
      <c r="H794">
        <v>387</v>
      </c>
      <c r="I794" t="s">
        <v>874</v>
      </c>
      <c r="J794">
        <v>14</v>
      </c>
      <c r="K794" t="s">
        <v>1563</v>
      </c>
      <c r="L794" t="str">
        <f t="shared" si="108"/>
        <v>Y</v>
      </c>
      <c r="M794" t="str">
        <f t="shared" si="109"/>
        <v>Y</v>
      </c>
      <c r="N794" t="str">
        <f t="shared" si="110"/>
        <v>Y</v>
      </c>
      <c r="O794">
        <f t="shared" si="111"/>
        <v>12</v>
      </c>
      <c r="P794" s="6">
        <f t="shared" si="112"/>
        <v>1.0078125</v>
      </c>
      <c r="Q794" s="6">
        <f t="shared" si="113"/>
        <v>3.6175710594315243E-2</v>
      </c>
      <c r="R794">
        <f t="shared" si="114"/>
        <v>1</v>
      </c>
      <c r="S794">
        <f t="shared" si="115"/>
        <v>0</v>
      </c>
      <c r="T794">
        <f t="shared" si="116"/>
        <v>0</v>
      </c>
    </row>
    <row r="795" spans="1:20">
      <c r="A795" t="s">
        <v>1301</v>
      </c>
      <c r="B795" t="s">
        <v>100</v>
      </c>
      <c r="C795" t="s">
        <v>16</v>
      </c>
      <c r="D795">
        <v>223</v>
      </c>
      <c r="E795" s="4">
        <v>46061</v>
      </c>
      <c r="F795" s="4">
        <v>46073</v>
      </c>
      <c r="G795" s="4">
        <v>46075</v>
      </c>
      <c r="H795">
        <v>227</v>
      </c>
      <c r="I795" t="s">
        <v>1302</v>
      </c>
      <c r="J795">
        <v>7</v>
      </c>
      <c r="K795" t="s">
        <v>1563</v>
      </c>
      <c r="L795" t="str">
        <f t="shared" si="108"/>
        <v>N</v>
      </c>
      <c r="M795" t="str">
        <f t="shared" si="109"/>
        <v>Y</v>
      </c>
      <c r="N795" t="str">
        <f t="shared" si="110"/>
        <v>N</v>
      </c>
      <c r="O795">
        <f t="shared" si="111"/>
        <v>14</v>
      </c>
      <c r="P795" s="6">
        <f t="shared" si="112"/>
        <v>1.0179372197309418</v>
      </c>
      <c r="Q795" s="6">
        <f t="shared" si="113"/>
        <v>3.0837004405286344E-2</v>
      </c>
      <c r="R795">
        <f t="shared" si="114"/>
        <v>0</v>
      </c>
      <c r="S795">
        <f t="shared" si="115"/>
        <v>2</v>
      </c>
      <c r="T795">
        <f t="shared" si="116"/>
        <v>1000</v>
      </c>
    </row>
    <row r="796" spans="1:20">
      <c r="A796" t="s">
        <v>1303</v>
      </c>
      <c r="B796" t="s">
        <v>29</v>
      </c>
      <c r="C796" t="s">
        <v>23</v>
      </c>
      <c r="D796">
        <v>520</v>
      </c>
      <c r="E796" s="4">
        <v>46163</v>
      </c>
      <c r="F796" s="4">
        <v>46170</v>
      </c>
      <c r="G796" s="4">
        <v>46168</v>
      </c>
      <c r="H796">
        <v>516</v>
      </c>
      <c r="I796" t="s">
        <v>894</v>
      </c>
      <c r="J796">
        <v>1</v>
      </c>
      <c r="K796" t="s">
        <v>1563</v>
      </c>
      <c r="L796" t="str">
        <f t="shared" si="108"/>
        <v>Y</v>
      </c>
      <c r="M796" t="str">
        <f t="shared" si="109"/>
        <v>Y</v>
      </c>
      <c r="N796" t="str">
        <f t="shared" si="110"/>
        <v>Y</v>
      </c>
      <c r="O796">
        <f t="shared" si="111"/>
        <v>5</v>
      </c>
      <c r="P796" s="6">
        <f t="shared" si="112"/>
        <v>0.99230769230769234</v>
      </c>
      <c r="Q796" s="6">
        <f t="shared" si="113"/>
        <v>1.937984496124031E-3</v>
      </c>
      <c r="R796">
        <f t="shared" si="114"/>
        <v>1</v>
      </c>
      <c r="S796">
        <f t="shared" si="115"/>
        <v>0</v>
      </c>
      <c r="T796">
        <f t="shared" si="116"/>
        <v>0</v>
      </c>
    </row>
    <row r="797" spans="1:20">
      <c r="A797" t="s">
        <v>1304</v>
      </c>
      <c r="B797" t="s">
        <v>40</v>
      </c>
      <c r="C797" t="s">
        <v>12</v>
      </c>
      <c r="D797">
        <v>772</v>
      </c>
      <c r="E797" s="4">
        <v>46070</v>
      </c>
      <c r="F797" s="4">
        <v>46080</v>
      </c>
      <c r="G797" s="4">
        <v>46082</v>
      </c>
      <c r="H797">
        <v>762</v>
      </c>
      <c r="I797" t="s">
        <v>349</v>
      </c>
      <c r="J797">
        <v>46</v>
      </c>
      <c r="K797" t="s">
        <v>1563</v>
      </c>
      <c r="L797" t="str">
        <f t="shared" si="108"/>
        <v>N</v>
      </c>
      <c r="M797" t="str">
        <f t="shared" si="109"/>
        <v>Y</v>
      </c>
      <c r="N797" t="str">
        <f t="shared" si="110"/>
        <v>N</v>
      </c>
      <c r="O797">
        <f t="shared" si="111"/>
        <v>12</v>
      </c>
      <c r="P797" s="6">
        <f t="shared" si="112"/>
        <v>0.98704663212435229</v>
      </c>
      <c r="Q797" s="6">
        <f t="shared" si="113"/>
        <v>6.0367454068241469E-2</v>
      </c>
      <c r="R797">
        <f t="shared" si="114"/>
        <v>0</v>
      </c>
      <c r="S797">
        <f t="shared" si="115"/>
        <v>2</v>
      </c>
      <c r="T797">
        <f t="shared" si="116"/>
        <v>1000</v>
      </c>
    </row>
    <row r="798" spans="1:20">
      <c r="A798" t="s">
        <v>1305</v>
      </c>
      <c r="B798" t="s">
        <v>19</v>
      </c>
      <c r="C798" t="s">
        <v>16</v>
      </c>
      <c r="D798">
        <v>183</v>
      </c>
      <c r="E798" s="4">
        <v>46042</v>
      </c>
      <c r="F798" s="4">
        <v>46047</v>
      </c>
      <c r="G798" s="4">
        <v>46053</v>
      </c>
      <c r="H798">
        <v>170</v>
      </c>
      <c r="I798" t="s">
        <v>1306</v>
      </c>
      <c r="J798">
        <v>8</v>
      </c>
      <c r="K798" t="s">
        <v>1563</v>
      </c>
      <c r="L798" t="str">
        <f t="shared" si="108"/>
        <v>N</v>
      </c>
      <c r="M798" t="str">
        <f t="shared" si="109"/>
        <v>N</v>
      </c>
      <c r="N798" t="str">
        <f t="shared" si="110"/>
        <v>N</v>
      </c>
      <c r="O798">
        <f t="shared" si="111"/>
        <v>11</v>
      </c>
      <c r="P798" s="6">
        <f t="shared" si="112"/>
        <v>0.92896174863387981</v>
      </c>
      <c r="Q798" s="6">
        <f t="shared" si="113"/>
        <v>4.7058823529411764E-2</v>
      </c>
      <c r="R798">
        <f t="shared" si="114"/>
        <v>0</v>
      </c>
      <c r="S798">
        <f t="shared" si="115"/>
        <v>6</v>
      </c>
      <c r="T798">
        <f t="shared" si="116"/>
        <v>3000</v>
      </c>
    </row>
    <row r="799" spans="1:20">
      <c r="A799" t="s">
        <v>1307</v>
      </c>
      <c r="B799" t="s">
        <v>64</v>
      </c>
      <c r="C799" t="s">
        <v>16</v>
      </c>
      <c r="D799">
        <v>92</v>
      </c>
      <c r="E799" s="4">
        <v>46129</v>
      </c>
      <c r="F799" s="4">
        <v>46140</v>
      </c>
      <c r="G799" s="4"/>
      <c r="I799" t="s">
        <v>398</v>
      </c>
      <c r="K799" t="s">
        <v>1565</v>
      </c>
      <c r="L799" t="str">
        <f t="shared" si="108"/>
        <v>N/A</v>
      </c>
      <c r="M799" t="str">
        <f t="shared" si="109"/>
        <v>N/A</v>
      </c>
      <c r="N799" t="str">
        <f t="shared" si="110"/>
        <v>N/A</v>
      </c>
      <c r="O799" t="str">
        <f t="shared" si="111"/>
        <v>N/A</v>
      </c>
      <c r="P799" s="6" t="str">
        <f t="shared" si="112"/>
        <v>N/A</v>
      </c>
      <c r="Q799" s="6" t="str">
        <f t="shared" si="113"/>
        <v>N/A</v>
      </c>
      <c r="R799" t="str">
        <f t="shared" si="114"/>
        <v/>
      </c>
      <c r="S799" t="str">
        <f t="shared" si="115"/>
        <v>N/A</v>
      </c>
      <c r="T799">
        <f t="shared" si="116"/>
        <v>0</v>
      </c>
    </row>
    <row r="800" spans="1:20">
      <c r="A800" t="s">
        <v>1308</v>
      </c>
      <c r="B800" t="s">
        <v>19</v>
      </c>
      <c r="C800" t="s">
        <v>23</v>
      </c>
      <c r="D800">
        <v>422</v>
      </c>
      <c r="E800" s="4">
        <v>46141</v>
      </c>
      <c r="F800" s="4">
        <v>46148</v>
      </c>
      <c r="G800" s="4">
        <v>46146</v>
      </c>
      <c r="H800">
        <v>428</v>
      </c>
      <c r="I800" t="s">
        <v>47</v>
      </c>
      <c r="J800">
        <v>23</v>
      </c>
      <c r="K800" t="s">
        <v>1563</v>
      </c>
      <c r="L800" t="str">
        <f t="shared" si="108"/>
        <v>Y</v>
      </c>
      <c r="M800" t="str">
        <f t="shared" si="109"/>
        <v>Y</v>
      </c>
      <c r="N800" t="str">
        <f t="shared" si="110"/>
        <v>Y</v>
      </c>
      <c r="O800">
        <f t="shared" si="111"/>
        <v>5</v>
      </c>
      <c r="P800" s="6">
        <f t="shared" si="112"/>
        <v>1.014218009478673</v>
      </c>
      <c r="Q800" s="6">
        <f t="shared" si="113"/>
        <v>5.3738317757009345E-2</v>
      </c>
      <c r="R800">
        <f t="shared" si="114"/>
        <v>1</v>
      </c>
      <c r="S800">
        <f t="shared" si="115"/>
        <v>0</v>
      </c>
      <c r="T800">
        <f t="shared" si="116"/>
        <v>0</v>
      </c>
    </row>
    <row r="801" spans="1:20">
      <c r="A801" t="s">
        <v>1309</v>
      </c>
      <c r="B801" t="s">
        <v>54</v>
      </c>
      <c r="C801" t="s">
        <v>16</v>
      </c>
      <c r="D801">
        <v>191</v>
      </c>
      <c r="E801" s="4">
        <v>46088</v>
      </c>
      <c r="F801" s="4">
        <v>46099</v>
      </c>
      <c r="G801" s="4">
        <v>46097</v>
      </c>
      <c r="H801">
        <v>189</v>
      </c>
      <c r="I801" t="s">
        <v>432</v>
      </c>
      <c r="J801">
        <v>3</v>
      </c>
      <c r="K801" t="s">
        <v>1563</v>
      </c>
      <c r="L801" t="str">
        <f t="shared" si="108"/>
        <v>Y</v>
      </c>
      <c r="M801" t="str">
        <f t="shared" si="109"/>
        <v>Y</v>
      </c>
      <c r="N801" t="str">
        <f t="shared" si="110"/>
        <v>Y</v>
      </c>
      <c r="O801">
        <f t="shared" si="111"/>
        <v>9</v>
      </c>
      <c r="P801" s="6">
        <f t="shared" si="112"/>
        <v>0.98952879581151831</v>
      </c>
      <c r="Q801" s="6">
        <f t="shared" si="113"/>
        <v>1.5873015873015872E-2</v>
      </c>
      <c r="R801">
        <f t="shared" si="114"/>
        <v>1</v>
      </c>
      <c r="S801">
        <f t="shared" si="115"/>
        <v>0</v>
      </c>
      <c r="T801">
        <f t="shared" si="116"/>
        <v>0</v>
      </c>
    </row>
    <row r="802" spans="1:20">
      <c r="A802" t="s">
        <v>1310</v>
      </c>
      <c r="B802" t="s">
        <v>40</v>
      </c>
      <c r="C802" t="s">
        <v>16</v>
      </c>
      <c r="D802">
        <v>842</v>
      </c>
      <c r="E802" s="4">
        <v>46143</v>
      </c>
      <c r="F802" s="4">
        <v>46153</v>
      </c>
      <c r="G802" s="4">
        <v>46160</v>
      </c>
      <c r="H802">
        <v>831</v>
      </c>
      <c r="I802" t="s">
        <v>757</v>
      </c>
      <c r="J802">
        <v>79</v>
      </c>
      <c r="K802" t="s">
        <v>1563</v>
      </c>
      <c r="L802" t="str">
        <f t="shared" si="108"/>
        <v>N</v>
      </c>
      <c r="M802" t="str">
        <f t="shared" si="109"/>
        <v>Y</v>
      </c>
      <c r="N802" t="str">
        <f t="shared" si="110"/>
        <v>N</v>
      </c>
      <c r="O802">
        <f t="shared" si="111"/>
        <v>17</v>
      </c>
      <c r="P802" s="6">
        <f t="shared" si="112"/>
        <v>0.98693586698337288</v>
      </c>
      <c r="Q802" s="6">
        <f t="shared" si="113"/>
        <v>9.5066185318892896E-2</v>
      </c>
      <c r="R802">
        <f t="shared" si="114"/>
        <v>0</v>
      </c>
      <c r="S802">
        <f t="shared" si="115"/>
        <v>7</v>
      </c>
      <c r="T802">
        <f t="shared" si="116"/>
        <v>3500</v>
      </c>
    </row>
    <row r="803" spans="1:20">
      <c r="A803" t="s">
        <v>1311</v>
      </c>
      <c r="B803" t="s">
        <v>81</v>
      </c>
      <c r="C803" t="s">
        <v>12</v>
      </c>
      <c r="D803">
        <v>183</v>
      </c>
      <c r="E803" s="4">
        <v>46114</v>
      </c>
      <c r="F803" s="4">
        <v>46120</v>
      </c>
      <c r="G803" s="4">
        <v>46127</v>
      </c>
      <c r="H803">
        <v>186</v>
      </c>
      <c r="I803" t="s">
        <v>312</v>
      </c>
      <c r="J803">
        <v>2</v>
      </c>
      <c r="K803" t="s">
        <v>1563</v>
      </c>
      <c r="L803" t="str">
        <f t="shared" si="108"/>
        <v>N</v>
      </c>
      <c r="M803" t="str">
        <f t="shared" si="109"/>
        <v>Y</v>
      </c>
      <c r="N803" t="str">
        <f t="shared" si="110"/>
        <v>N</v>
      </c>
      <c r="O803">
        <f t="shared" si="111"/>
        <v>13</v>
      </c>
      <c r="P803" s="6">
        <f t="shared" si="112"/>
        <v>1.0163934426229508</v>
      </c>
      <c r="Q803" s="6">
        <f t="shared" si="113"/>
        <v>1.0752688172043012E-2</v>
      </c>
      <c r="R803">
        <f t="shared" si="114"/>
        <v>0</v>
      </c>
      <c r="S803">
        <f t="shared" si="115"/>
        <v>7</v>
      </c>
      <c r="T803">
        <f t="shared" si="116"/>
        <v>3500</v>
      </c>
    </row>
    <row r="804" spans="1:20">
      <c r="A804" t="s">
        <v>1312</v>
      </c>
      <c r="B804" t="s">
        <v>43</v>
      </c>
      <c r="C804" t="s">
        <v>12</v>
      </c>
      <c r="D804">
        <v>822</v>
      </c>
      <c r="E804" s="4">
        <v>46170</v>
      </c>
      <c r="F804" s="4">
        <v>46177</v>
      </c>
      <c r="G804" s="4">
        <v>46176</v>
      </c>
      <c r="H804">
        <v>820</v>
      </c>
      <c r="I804" t="s">
        <v>140</v>
      </c>
      <c r="J804">
        <v>1</v>
      </c>
      <c r="K804" t="s">
        <v>1563</v>
      </c>
      <c r="L804" t="str">
        <f t="shared" si="108"/>
        <v>Y</v>
      </c>
      <c r="M804" t="str">
        <f t="shared" si="109"/>
        <v>Y</v>
      </c>
      <c r="N804" t="str">
        <f t="shared" si="110"/>
        <v>Y</v>
      </c>
      <c r="O804">
        <f t="shared" si="111"/>
        <v>6</v>
      </c>
      <c r="P804" s="6">
        <f t="shared" si="112"/>
        <v>0.9975669099756691</v>
      </c>
      <c r="Q804" s="6">
        <f t="shared" si="113"/>
        <v>1.2195121951219512E-3</v>
      </c>
      <c r="R804">
        <f t="shared" si="114"/>
        <v>1</v>
      </c>
      <c r="S804">
        <f t="shared" si="115"/>
        <v>0</v>
      </c>
      <c r="T804">
        <f t="shared" si="116"/>
        <v>0</v>
      </c>
    </row>
    <row r="805" spans="1:20">
      <c r="A805" t="s">
        <v>1313</v>
      </c>
      <c r="B805" t="s">
        <v>64</v>
      </c>
      <c r="C805" t="s">
        <v>16</v>
      </c>
      <c r="D805">
        <v>368</v>
      </c>
      <c r="E805" s="4">
        <v>46117</v>
      </c>
      <c r="F805" s="4">
        <v>46124</v>
      </c>
      <c r="G805" s="4">
        <v>46126</v>
      </c>
      <c r="H805">
        <v>337</v>
      </c>
      <c r="I805" t="s">
        <v>1314</v>
      </c>
      <c r="J805">
        <v>2</v>
      </c>
      <c r="K805" t="s">
        <v>1563</v>
      </c>
      <c r="L805" t="str">
        <f t="shared" si="108"/>
        <v>N</v>
      </c>
      <c r="M805" t="str">
        <f t="shared" si="109"/>
        <v>N</v>
      </c>
      <c r="N805" t="str">
        <f t="shared" si="110"/>
        <v>N</v>
      </c>
      <c r="O805">
        <f t="shared" si="111"/>
        <v>9</v>
      </c>
      <c r="P805" s="6">
        <f t="shared" si="112"/>
        <v>0.91576086956521741</v>
      </c>
      <c r="Q805" s="6">
        <f t="shared" si="113"/>
        <v>5.9347181008902079E-3</v>
      </c>
      <c r="R805">
        <f t="shared" si="114"/>
        <v>0</v>
      </c>
      <c r="S805">
        <f t="shared" si="115"/>
        <v>2</v>
      </c>
      <c r="T805">
        <f t="shared" si="116"/>
        <v>1000</v>
      </c>
    </row>
    <row r="806" spans="1:20">
      <c r="A806" t="s">
        <v>1315</v>
      </c>
      <c r="B806" t="s">
        <v>120</v>
      </c>
      <c r="C806" t="s">
        <v>12</v>
      </c>
      <c r="D806">
        <v>327</v>
      </c>
      <c r="E806" s="4">
        <v>46113</v>
      </c>
      <c r="F806" s="4">
        <v>46118</v>
      </c>
      <c r="G806" s="4">
        <v>46117</v>
      </c>
      <c r="H806">
        <v>333</v>
      </c>
      <c r="I806" t="s">
        <v>1316</v>
      </c>
      <c r="J806">
        <v>18</v>
      </c>
      <c r="K806" t="s">
        <v>1563</v>
      </c>
      <c r="L806" t="str">
        <f t="shared" si="108"/>
        <v>Y</v>
      </c>
      <c r="M806" t="str">
        <f t="shared" si="109"/>
        <v>Y</v>
      </c>
      <c r="N806" t="str">
        <f t="shared" si="110"/>
        <v>Y</v>
      </c>
      <c r="O806">
        <f t="shared" si="111"/>
        <v>4</v>
      </c>
      <c r="P806" s="6">
        <f t="shared" si="112"/>
        <v>1.0183486238532109</v>
      </c>
      <c r="Q806" s="6">
        <f t="shared" si="113"/>
        <v>5.4054054054054057E-2</v>
      </c>
      <c r="R806">
        <f t="shared" si="114"/>
        <v>1</v>
      </c>
      <c r="S806">
        <f t="shared" si="115"/>
        <v>0</v>
      </c>
      <c r="T806">
        <f t="shared" si="116"/>
        <v>0</v>
      </c>
    </row>
    <row r="807" spans="1:20">
      <c r="A807" t="s">
        <v>1317</v>
      </c>
      <c r="B807" t="s">
        <v>11</v>
      </c>
      <c r="C807" t="s">
        <v>16</v>
      </c>
      <c r="D807">
        <v>673</v>
      </c>
      <c r="E807" s="4">
        <v>46045</v>
      </c>
      <c r="F807" s="4">
        <v>46052</v>
      </c>
      <c r="G807" s="4">
        <v>46052</v>
      </c>
      <c r="H807">
        <v>561</v>
      </c>
      <c r="I807" t="s">
        <v>401</v>
      </c>
      <c r="J807">
        <v>12</v>
      </c>
      <c r="K807" t="s">
        <v>1563</v>
      </c>
      <c r="L807" t="str">
        <f t="shared" si="108"/>
        <v>Y</v>
      </c>
      <c r="M807" t="str">
        <f t="shared" si="109"/>
        <v>N</v>
      </c>
      <c r="N807" t="str">
        <f t="shared" si="110"/>
        <v>N</v>
      </c>
      <c r="O807">
        <f t="shared" si="111"/>
        <v>7</v>
      </c>
      <c r="P807" s="6">
        <f t="shared" si="112"/>
        <v>0.83358098068350672</v>
      </c>
      <c r="Q807" s="6">
        <f t="shared" si="113"/>
        <v>2.1390374331550801E-2</v>
      </c>
      <c r="R807">
        <f t="shared" si="114"/>
        <v>0</v>
      </c>
      <c r="S807">
        <f t="shared" si="115"/>
        <v>0</v>
      </c>
      <c r="T807">
        <f t="shared" si="116"/>
        <v>0</v>
      </c>
    </row>
    <row r="808" spans="1:20">
      <c r="A808" t="s">
        <v>1318</v>
      </c>
      <c r="B808" t="s">
        <v>43</v>
      </c>
      <c r="C808" t="s">
        <v>12</v>
      </c>
      <c r="D808">
        <v>819</v>
      </c>
      <c r="E808" s="4">
        <v>46093</v>
      </c>
      <c r="F808" s="4">
        <v>46104</v>
      </c>
      <c r="G808" s="4">
        <v>46104</v>
      </c>
      <c r="H808">
        <v>819</v>
      </c>
      <c r="I808" t="s">
        <v>486</v>
      </c>
      <c r="J808">
        <v>16</v>
      </c>
      <c r="K808" t="s">
        <v>1563</v>
      </c>
      <c r="L808" t="str">
        <f t="shared" si="108"/>
        <v>Y</v>
      </c>
      <c r="M808" t="str">
        <f t="shared" si="109"/>
        <v>Y</v>
      </c>
      <c r="N808" t="str">
        <f t="shared" si="110"/>
        <v>Y</v>
      </c>
      <c r="O808">
        <f t="shared" si="111"/>
        <v>11</v>
      </c>
      <c r="P808" s="6">
        <f t="shared" si="112"/>
        <v>1</v>
      </c>
      <c r="Q808" s="6">
        <f t="shared" si="113"/>
        <v>1.9536019536019536E-2</v>
      </c>
      <c r="R808">
        <f t="shared" si="114"/>
        <v>1</v>
      </c>
      <c r="S808">
        <f t="shared" si="115"/>
        <v>0</v>
      </c>
      <c r="T808">
        <f t="shared" si="116"/>
        <v>0</v>
      </c>
    </row>
    <row r="809" spans="1:20">
      <c r="A809" t="s">
        <v>1319</v>
      </c>
      <c r="B809" t="s">
        <v>64</v>
      </c>
      <c r="C809" t="s">
        <v>12</v>
      </c>
      <c r="D809">
        <v>256</v>
      </c>
      <c r="E809" s="4">
        <v>46171</v>
      </c>
      <c r="F809" s="4">
        <v>46183</v>
      </c>
      <c r="G809" s="4">
        <v>46182</v>
      </c>
      <c r="H809">
        <v>240</v>
      </c>
      <c r="I809" t="s">
        <v>819</v>
      </c>
      <c r="J809">
        <v>10</v>
      </c>
      <c r="K809" t="s">
        <v>1563</v>
      </c>
      <c r="L809" t="str">
        <f t="shared" si="108"/>
        <v>Y</v>
      </c>
      <c r="M809" t="str">
        <f t="shared" si="109"/>
        <v>N</v>
      </c>
      <c r="N809" t="str">
        <f t="shared" si="110"/>
        <v>N</v>
      </c>
      <c r="O809">
        <f t="shared" si="111"/>
        <v>11</v>
      </c>
      <c r="P809" s="6">
        <f t="shared" si="112"/>
        <v>0.9375</v>
      </c>
      <c r="Q809" s="6">
        <f t="shared" si="113"/>
        <v>4.1666666666666664E-2</v>
      </c>
      <c r="R809">
        <f t="shared" si="114"/>
        <v>0</v>
      </c>
      <c r="S809">
        <f t="shared" si="115"/>
        <v>0</v>
      </c>
      <c r="T809">
        <f t="shared" si="116"/>
        <v>0</v>
      </c>
    </row>
    <row r="810" spans="1:20">
      <c r="A810" t="s">
        <v>1320</v>
      </c>
      <c r="B810" t="s">
        <v>100</v>
      </c>
      <c r="C810" t="s">
        <v>16</v>
      </c>
      <c r="D810">
        <v>557</v>
      </c>
      <c r="E810" s="4">
        <v>46059</v>
      </c>
      <c r="F810" s="4">
        <v>46067</v>
      </c>
      <c r="G810" s="4">
        <v>46067</v>
      </c>
      <c r="H810">
        <v>563</v>
      </c>
      <c r="I810" t="s">
        <v>1302</v>
      </c>
      <c r="J810">
        <v>16</v>
      </c>
      <c r="K810" t="s">
        <v>1563</v>
      </c>
      <c r="L810" t="str">
        <f t="shared" si="108"/>
        <v>Y</v>
      </c>
      <c r="M810" t="str">
        <f t="shared" si="109"/>
        <v>Y</v>
      </c>
      <c r="N810" t="str">
        <f t="shared" si="110"/>
        <v>Y</v>
      </c>
      <c r="O810">
        <f t="shared" si="111"/>
        <v>8</v>
      </c>
      <c r="P810" s="6">
        <f t="shared" si="112"/>
        <v>1.0107719928186714</v>
      </c>
      <c r="Q810" s="6">
        <f t="shared" si="113"/>
        <v>2.8419182948490232E-2</v>
      </c>
      <c r="R810">
        <f t="shared" si="114"/>
        <v>1</v>
      </c>
      <c r="S810">
        <f t="shared" si="115"/>
        <v>0</v>
      </c>
      <c r="T810">
        <f t="shared" si="116"/>
        <v>0</v>
      </c>
    </row>
    <row r="811" spans="1:20">
      <c r="A811" t="s">
        <v>1321</v>
      </c>
      <c r="B811" t="s">
        <v>43</v>
      </c>
      <c r="C811" t="s">
        <v>12</v>
      </c>
      <c r="D811">
        <v>826</v>
      </c>
      <c r="E811" s="4">
        <v>46049</v>
      </c>
      <c r="F811" s="4">
        <v>46054</v>
      </c>
      <c r="G811" s="4">
        <v>46051</v>
      </c>
      <c r="H811">
        <v>821</v>
      </c>
      <c r="I811" t="s">
        <v>191</v>
      </c>
      <c r="J811">
        <v>59</v>
      </c>
      <c r="K811" t="s">
        <v>1563</v>
      </c>
      <c r="L811" t="str">
        <f t="shared" si="108"/>
        <v>Y</v>
      </c>
      <c r="M811" t="str">
        <f t="shared" si="109"/>
        <v>Y</v>
      </c>
      <c r="N811" t="str">
        <f t="shared" si="110"/>
        <v>Y</v>
      </c>
      <c r="O811">
        <f t="shared" si="111"/>
        <v>2</v>
      </c>
      <c r="P811" s="6">
        <f t="shared" si="112"/>
        <v>0.99394673123486688</v>
      </c>
      <c r="Q811" s="6">
        <f t="shared" si="113"/>
        <v>7.186358099878197E-2</v>
      </c>
      <c r="R811">
        <f t="shared" si="114"/>
        <v>1</v>
      </c>
      <c r="S811">
        <f t="shared" si="115"/>
        <v>0</v>
      </c>
      <c r="T811">
        <f t="shared" si="116"/>
        <v>0</v>
      </c>
    </row>
    <row r="812" spans="1:20">
      <c r="A812" t="s">
        <v>1322</v>
      </c>
      <c r="B812" t="s">
        <v>54</v>
      </c>
      <c r="C812" t="s">
        <v>12</v>
      </c>
      <c r="D812">
        <v>911</v>
      </c>
      <c r="E812" s="4">
        <v>46112</v>
      </c>
      <c r="F812" s="4">
        <v>46119</v>
      </c>
      <c r="G812" s="4">
        <v>46117</v>
      </c>
      <c r="H812">
        <v>921</v>
      </c>
      <c r="I812" t="s">
        <v>931</v>
      </c>
      <c r="J812">
        <v>16</v>
      </c>
      <c r="K812" t="s">
        <v>1563</v>
      </c>
      <c r="L812" t="str">
        <f t="shared" si="108"/>
        <v>Y</v>
      </c>
      <c r="M812" t="str">
        <f t="shared" si="109"/>
        <v>Y</v>
      </c>
      <c r="N812" t="str">
        <f t="shared" si="110"/>
        <v>Y</v>
      </c>
      <c r="O812">
        <f t="shared" si="111"/>
        <v>5</v>
      </c>
      <c r="P812" s="6">
        <f t="shared" si="112"/>
        <v>1.0109769484083424</v>
      </c>
      <c r="Q812" s="6">
        <f t="shared" si="113"/>
        <v>1.737242128121607E-2</v>
      </c>
      <c r="R812">
        <f t="shared" si="114"/>
        <v>1</v>
      </c>
      <c r="S812">
        <f t="shared" si="115"/>
        <v>0</v>
      </c>
      <c r="T812">
        <f t="shared" si="116"/>
        <v>0</v>
      </c>
    </row>
    <row r="813" spans="1:20">
      <c r="A813" t="s">
        <v>1323</v>
      </c>
      <c r="B813" t="s">
        <v>11</v>
      </c>
      <c r="C813" t="s">
        <v>16</v>
      </c>
      <c r="D813">
        <v>380</v>
      </c>
      <c r="E813" s="4">
        <v>46038</v>
      </c>
      <c r="F813" s="4">
        <v>46043</v>
      </c>
      <c r="G813" s="4">
        <v>46043</v>
      </c>
      <c r="H813">
        <v>372</v>
      </c>
      <c r="I813" t="s">
        <v>815</v>
      </c>
      <c r="J813">
        <v>10</v>
      </c>
      <c r="K813" t="s">
        <v>1563</v>
      </c>
      <c r="L813" t="str">
        <f t="shared" si="108"/>
        <v>Y</v>
      </c>
      <c r="M813" t="str">
        <f t="shared" si="109"/>
        <v>N</v>
      </c>
      <c r="N813" t="str">
        <f t="shared" si="110"/>
        <v>N</v>
      </c>
      <c r="O813">
        <f t="shared" si="111"/>
        <v>5</v>
      </c>
      <c r="P813" s="6">
        <f t="shared" si="112"/>
        <v>0.97894736842105268</v>
      </c>
      <c r="Q813" s="6">
        <f t="shared" si="113"/>
        <v>2.6881720430107527E-2</v>
      </c>
      <c r="R813">
        <f t="shared" si="114"/>
        <v>0</v>
      </c>
      <c r="S813">
        <f t="shared" si="115"/>
        <v>0</v>
      </c>
      <c r="T813">
        <f t="shared" si="116"/>
        <v>0</v>
      </c>
    </row>
    <row r="814" spans="1:20">
      <c r="A814" t="s">
        <v>1324</v>
      </c>
      <c r="B814" t="s">
        <v>54</v>
      </c>
      <c r="C814" t="s">
        <v>12</v>
      </c>
      <c r="D814">
        <v>89</v>
      </c>
      <c r="E814" s="4">
        <v>46040</v>
      </c>
      <c r="F814" s="4">
        <v>46045</v>
      </c>
      <c r="G814" s="4">
        <v>46049</v>
      </c>
      <c r="H814">
        <v>90</v>
      </c>
      <c r="I814" t="s">
        <v>38</v>
      </c>
      <c r="J814">
        <v>2</v>
      </c>
      <c r="K814" t="s">
        <v>1563</v>
      </c>
      <c r="L814" t="str">
        <f t="shared" si="108"/>
        <v>N</v>
      </c>
      <c r="M814" t="str">
        <f t="shared" si="109"/>
        <v>Y</v>
      </c>
      <c r="N814" t="str">
        <f t="shared" si="110"/>
        <v>N</v>
      </c>
      <c r="O814">
        <f t="shared" si="111"/>
        <v>9</v>
      </c>
      <c r="P814" s="6">
        <f t="shared" si="112"/>
        <v>1.0112359550561798</v>
      </c>
      <c r="Q814" s="6">
        <f t="shared" si="113"/>
        <v>2.2222222222222223E-2</v>
      </c>
      <c r="R814">
        <f t="shared" si="114"/>
        <v>0</v>
      </c>
      <c r="S814">
        <f t="shared" si="115"/>
        <v>4</v>
      </c>
      <c r="T814">
        <f t="shared" si="116"/>
        <v>2000</v>
      </c>
    </row>
    <row r="815" spans="1:20">
      <c r="A815" t="s">
        <v>1325</v>
      </c>
      <c r="B815" t="s">
        <v>81</v>
      </c>
      <c r="C815" t="s">
        <v>16</v>
      </c>
      <c r="D815">
        <v>356</v>
      </c>
      <c r="E815" s="4">
        <v>46150</v>
      </c>
      <c r="F815" s="4">
        <v>46156</v>
      </c>
      <c r="G815" s="4">
        <v>46156</v>
      </c>
      <c r="H815">
        <v>351</v>
      </c>
      <c r="I815" t="s">
        <v>490</v>
      </c>
      <c r="J815">
        <v>3</v>
      </c>
      <c r="K815" t="s">
        <v>1563</v>
      </c>
      <c r="L815" t="str">
        <f t="shared" si="108"/>
        <v>Y</v>
      </c>
      <c r="M815" t="str">
        <f t="shared" si="109"/>
        <v>Y</v>
      </c>
      <c r="N815" t="str">
        <f t="shared" si="110"/>
        <v>Y</v>
      </c>
      <c r="O815">
        <f t="shared" si="111"/>
        <v>6</v>
      </c>
      <c r="P815" s="6">
        <f t="shared" si="112"/>
        <v>0.9859550561797753</v>
      </c>
      <c r="Q815" s="6">
        <f t="shared" si="113"/>
        <v>8.5470085470085479E-3</v>
      </c>
      <c r="R815">
        <f t="shared" si="114"/>
        <v>1</v>
      </c>
      <c r="S815">
        <f t="shared" si="115"/>
        <v>0</v>
      </c>
      <c r="T815">
        <f t="shared" si="116"/>
        <v>0</v>
      </c>
    </row>
    <row r="816" spans="1:20">
      <c r="A816" t="s">
        <v>1326</v>
      </c>
      <c r="B816" t="s">
        <v>81</v>
      </c>
      <c r="C816" t="s">
        <v>16</v>
      </c>
      <c r="D816">
        <v>155</v>
      </c>
      <c r="E816" s="4">
        <v>46045</v>
      </c>
      <c r="F816" s="4">
        <v>46051</v>
      </c>
      <c r="G816" s="4">
        <v>46051</v>
      </c>
      <c r="H816">
        <v>154</v>
      </c>
      <c r="I816" t="s">
        <v>1292</v>
      </c>
      <c r="J816">
        <v>1</v>
      </c>
      <c r="K816" t="s">
        <v>1563</v>
      </c>
      <c r="L816" t="str">
        <f t="shared" si="108"/>
        <v>Y</v>
      </c>
      <c r="M816" t="str">
        <f t="shared" si="109"/>
        <v>Y</v>
      </c>
      <c r="N816" t="str">
        <f t="shared" si="110"/>
        <v>Y</v>
      </c>
      <c r="O816">
        <f t="shared" si="111"/>
        <v>6</v>
      </c>
      <c r="P816" s="6">
        <f t="shared" si="112"/>
        <v>0.99354838709677418</v>
      </c>
      <c r="Q816" s="6">
        <f t="shared" si="113"/>
        <v>6.4935064935064939E-3</v>
      </c>
      <c r="R816">
        <f t="shared" si="114"/>
        <v>1</v>
      </c>
      <c r="S816">
        <f t="shared" si="115"/>
        <v>0</v>
      </c>
      <c r="T816">
        <f t="shared" si="116"/>
        <v>0</v>
      </c>
    </row>
    <row r="817" spans="1:20">
      <c r="A817" t="s">
        <v>1327</v>
      </c>
      <c r="B817" t="s">
        <v>54</v>
      </c>
      <c r="C817" t="s">
        <v>12</v>
      </c>
      <c r="D817">
        <v>269</v>
      </c>
      <c r="E817" s="4">
        <v>46118</v>
      </c>
      <c r="F817" s="4">
        <v>46129</v>
      </c>
      <c r="G817" s="4">
        <v>46128</v>
      </c>
      <c r="H817">
        <v>265</v>
      </c>
      <c r="I817" t="s">
        <v>670</v>
      </c>
      <c r="J817">
        <v>6</v>
      </c>
      <c r="K817" t="s">
        <v>1563</v>
      </c>
      <c r="L817" t="str">
        <f t="shared" si="108"/>
        <v>Y</v>
      </c>
      <c r="M817" t="str">
        <f t="shared" si="109"/>
        <v>Y</v>
      </c>
      <c r="N817" t="str">
        <f t="shared" si="110"/>
        <v>Y</v>
      </c>
      <c r="O817">
        <f t="shared" si="111"/>
        <v>10</v>
      </c>
      <c r="P817" s="6">
        <f t="shared" si="112"/>
        <v>0.98513011152416352</v>
      </c>
      <c r="Q817" s="6">
        <f t="shared" si="113"/>
        <v>2.2641509433962263E-2</v>
      </c>
      <c r="R817">
        <f t="shared" si="114"/>
        <v>1</v>
      </c>
      <c r="S817">
        <f t="shared" si="115"/>
        <v>0</v>
      </c>
      <c r="T817">
        <f t="shared" si="116"/>
        <v>0</v>
      </c>
    </row>
    <row r="818" spans="1:20">
      <c r="A818" t="s">
        <v>1328</v>
      </c>
      <c r="B818" t="s">
        <v>64</v>
      </c>
      <c r="C818" t="s">
        <v>23</v>
      </c>
      <c r="D818">
        <v>259</v>
      </c>
      <c r="E818" s="4">
        <v>46051</v>
      </c>
      <c r="F818" s="4">
        <v>46062</v>
      </c>
      <c r="G818" s="4">
        <v>46070</v>
      </c>
      <c r="H818">
        <v>242</v>
      </c>
      <c r="I818" t="s">
        <v>33</v>
      </c>
      <c r="J818">
        <v>6</v>
      </c>
      <c r="K818" t="s">
        <v>1563</v>
      </c>
      <c r="L818" t="str">
        <f t="shared" si="108"/>
        <v>N</v>
      </c>
      <c r="M818" t="str">
        <f t="shared" si="109"/>
        <v>N</v>
      </c>
      <c r="N818" t="str">
        <f t="shared" si="110"/>
        <v>N</v>
      </c>
      <c r="O818">
        <f t="shared" si="111"/>
        <v>19</v>
      </c>
      <c r="P818" s="6">
        <f t="shared" si="112"/>
        <v>0.93436293436293438</v>
      </c>
      <c r="Q818" s="6">
        <f t="shared" si="113"/>
        <v>2.4793388429752067E-2</v>
      </c>
      <c r="R818">
        <f t="shared" si="114"/>
        <v>0</v>
      </c>
      <c r="S818">
        <f t="shared" si="115"/>
        <v>8</v>
      </c>
      <c r="T818">
        <f t="shared" si="116"/>
        <v>4000</v>
      </c>
    </row>
    <row r="819" spans="1:20">
      <c r="A819" t="s">
        <v>1329</v>
      </c>
      <c r="B819" t="s">
        <v>100</v>
      </c>
      <c r="C819" t="s">
        <v>16</v>
      </c>
      <c r="D819">
        <v>636</v>
      </c>
      <c r="E819" s="4">
        <v>46111</v>
      </c>
      <c r="F819" s="4">
        <v>46118</v>
      </c>
      <c r="G819" s="4">
        <v>46118</v>
      </c>
      <c r="H819">
        <v>646</v>
      </c>
      <c r="I819" t="s">
        <v>1331</v>
      </c>
      <c r="J819">
        <v>14</v>
      </c>
      <c r="K819" t="s">
        <v>1563</v>
      </c>
      <c r="L819" t="str">
        <f t="shared" si="108"/>
        <v>Y</v>
      </c>
      <c r="M819" t="str">
        <f t="shared" si="109"/>
        <v>Y</v>
      </c>
      <c r="N819" t="str">
        <f t="shared" si="110"/>
        <v>Y</v>
      </c>
      <c r="O819">
        <f t="shared" si="111"/>
        <v>7</v>
      </c>
      <c r="P819" s="6">
        <f t="shared" si="112"/>
        <v>1.0157232704402517</v>
      </c>
      <c r="Q819" s="6">
        <f t="shared" si="113"/>
        <v>2.1671826625386997E-2</v>
      </c>
      <c r="R819">
        <f t="shared" si="114"/>
        <v>1</v>
      </c>
      <c r="S819">
        <f t="shared" si="115"/>
        <v>0</v>
      </c>
      <c r="T819">
        <f t="shared" si="116"/>
        <v>0</v>
      </c>
    </row>
    <row r="820" spans="1:20">
      <c r="A820" t="s">
        <v>1332</v>
      </c>
      <c r="B820" t="s">
        <v>11</v>
      </c>
      <c r="C820" t="s">
        <v>23</v>
      </c>
      <c r="D820">
        <v>339</v>
      </c>
      <c r="E820" s="4">
        <v>46133</v>
      </c>
      <c r="F820" s="4">
        <v>46142</v>
      </c>
      <c r="G820" s="4">
        <v>46140</v>
      </c>
      <c r="H820">
        <v>322</v>
      </c>
      <c r="I820" t="s">
        <v>771</v>
      </c>
      <c r="J820">
        <v>11</v>
      </c>
      <c r="K820" t="s">
        <v>1563</v>
      </c>
      <c r="L820" t="str">
        <f t="shared" si="108"/>
        <v>Y</v>
      </c>
      <c r="M820" t="str">
        <f t="shared" si="109"/>
        <v>N</v>
      </c>
      <c r="N820" t="str">
        <f t="shared" si="110"/>
        <v>N</v>
      </c>
      <c r="O820">
        <f t="shared" si="111"/>
        <v>7</v>
      </c>
      <c r="P820" s="6">
        <f t="shared" si="112"/>
        <v>0.94985250737463123</v>
      </c>
      <c r="Q820" s="6">
        <f t="shared" si="113"/>
        <v>3.4161490683229816E-2</v>
      </c>
      <c r="R820">
        <f t="shared" si="114"/>
        <v>0</v>
      </c>
      <c r="S820">
        <f t="shared" si="115"/>
        <v>0</v>
      </c>
      <c r="T820">
        <f t="shared" si="116"/>
        <v>0</v>
      </c>
    </row>
    <row r="821" spans="1:20">
      <c r="A821" t="s">
        <v>1333</v>
      </c>
      <c r="B821" t="s">
        <v>22</v>
      </c>
      <c r="C821" t="s">
        <v>16</v>
      </c>
      <c r="D821">
        <v>388</v>
      </c>
      <c r="E821" s="4">
        <v>46099</v>
      </c>
      <c r="F821" s="4">
        <v>46114</v>
      </c>
      <c r="G821" s="4">
        <v>46112</v>
      </c>
      <c r="H821">
        <v>385</v>
      </c>
      <c r="I821" t="s">
        <v>1331</v>
      </c>
      <c r="J821">
        <v>32</v>
      </c>
      <c r="K821" t="s">
        <v>1563</v>
      </c>
      <c r="L821" t="str">
        <f t="shared" si="108"/>
        <v>Y</v>
      </c>
      <c r="M821" t="str">
        <f t="shared" si="109"/>
        <v>Y</v>
      </c>
      <c r="N821" t="str">
        <f t="shared" si="110"/>
        <v>Y</v>
      </c>
      <c r="O821">
        <f t="shared" si="111"/>
        <v>13</v>
      </c>
      <c r="P821" s="6">
        <f t="shared" si="112"/>
        <v>0.99226804123711343</v>
      </c>
      <c r="Q821" s="6">
        <f t="shared" si="113"/>
        <v>8.3116883116883117E-2</v>
      </c>
      <c r="R821">
        <f t="shared" si="114"/>
        <v>1</v>
      </c>
      <c r="S821">
        <f t="shared" si="115"/>
        <v>0</v>
      </c>
      <c r="T821">
        <f t="shared" si="116"/>
        <v>0</v>
      </c>
    </row>
    <row r="822" spans="1:20">
      <c r="A822" t="s">
        <v>1334</v>
      </c>
      <c r="B822" t="s">
        <v>46</v>
      </c>
      <c r="C822" t="s">
        <v>16</v>
      </c>
      <c r="D822">
        <v>499</v>
      </c>
      <c r="E822" s="4">
        <v>46155</v>
      </c>
      <c r="F822" s="4">
        <v>46169</v>
      </c>
      <c r="G822" s="4">
        <v>46167</v>
      </c>
      <c r="H822">
        <v>502</v>
      </c>
      <c r="I822" t="s">
        <v>529</v>
      </c>
      <c r="J822">
        <v>48</v>
      </c>
      <c r="K822" t="s">
        <v>1563</v>
      </c>
      <c r="L822" t="str">
        <f t="shared" si="108"/>
        <v>Y</v>
      </c>
      <c r="M822" t="str">
        <f t="shared" si="109"/>
        <v>Y</v>
      </c>
      <c r="N822" t="str">
        <f t="shared" si="110"/>
        <v>Y</v>
      </c>
      <c r="O822">
        <f t="shared" si="111"/>
        <v>12</v>
      </c>
      <c r="P822" s="6">
        <f t="shared" si="112"/>
        <v>1.0060120240480961</v>
      </c>
      <c r="Q822" s="6">
        <f t="shared" si="113"/>
        <v>9.5617529880478086E-2</v>
      </c>
      <c r="R822">
        <f t="shared" si="114"/>
        <v>1</v>
      </c>
      <c r="S822">
        <f t="shared" si="115"/>
        <v>0</v>
      </c>
      <c r="T822">
        <f t="shared" si="116"/>
        <v>0</v>
      </c>
    </row>
    <row r="823" spans="1:20">
      <c r="A823" t="s">
        <v>1335</v>
      </c>
      <c r="B823" t="s">
        <v>43</v>
      </c>
      <c r="C823" t="s">
        <v>23</v>
      </c>
      <c r="D823">
        <v>298</v>
      </c>
      <c r="E823" s="4">
        <v>46160</v>
      </c>
      <c r="F823" s="4">
        <v>46175</v>
      </c>
      <c r="G823" s="4">
        <v>46174</v>
      </c>
      <c r="H823">
        <v>297</v>
      </c>
      <c r="I823" t="s">
        <v>82</v>
      </c>
      <c r="J823">
        <v>5</v>
      </c>
      <c r="K823" t="s">
        <v>1563</v>
      </c>
      <c r="L823" t="str">
        <f t="shared" si="108"/>
        <v>Y</v>
      </c>
      <c r="M823" t="str">
        <f t="shared" si="109"/>
        <v>Y</v>
      </c>
      <c r="N823" t="str">
        <f t="shared" si="110"/>
        <v>Y</v>
      </c>
      <c r="O823">
        <f t="shared" si="111"/>
        <v>14</v>
      </c>
      <c r="P823" s="6">
        <f t="shared" si="112"/>
        <v>0.99664429530201337</v>
      </c>
      <c r="Q823" s="6">
        <f t="shared" si="113"/>
        <v>1.6835016835016835E-2</v>
      </c>
      <c r="R823">
        <f t="shared" si="114"/>
        <v>1</v>
      </c>
      <c r="S823">
        <f t="shared" si="115"/>
        <v>0</v>
      </c>
      <c r="T823">
        <f t="shared" si="116"/>
        <v>0</v>
      </c>
    </row>
    <row r="824" spans="1:20">
      <c r="A824" t="s">
        <v>1336</v>
      </c>
      <c r="B824" t="s">
        <v>52</v>
      </c>
      <c r="C824" t="s">
        <v>23</v>
      </c>
      <c r="D824">
        <v>427</v>
      </c>
      <c r="E824" s="4">
        <v>46092</v>
      </c>
      <c r="F824" s="4">
        <v>46100</v>
      </c>
      <c r="G824" s="4">
        <v>46098</v>
      </c>
      <c r="H824">
        <v>421</v>
      </c>
      <c r="I824" t="s">
        <v>1337</v>
      </c>
      <c r="J824">
        <v>10</v>
      </c>
      <c r="K824" t="s">
        <v>1563</v>
      </c>
      <c r="L824" t="str">
        <f t="shared" si="108"/>
        <v>Y</v>
      </c>
      <c r="M824" t="str">
        <f t="shared" si="109"/>
        <v>Y</v>
      </c>
      <c r="N824" t="str">
        <f t="shared" si="110"/>
        <v>Y</v>
      </c>
      <c r="O824">
        <f t="shared" si="111"/>
        <v>6</v>
      </c>
      <c r="P824" s="6">
        <f t="shared" si="112"/>
        <v>0.98594847775175642</v>
      </c>
      <c r="Q824" s="6">
        <f t="shared" si="113"/>
        <v>2.3752969121140142E-2</v>
      </c>
      <c r="R824">
        <f t="shared" si="114"/>
        <v>1</v>
      </c>
      <c r="S824">
        <f t="shared" si="115"/>
        <v>0</v>
      </c>
      <c r="T824">
        <f t="shared" si="116"/>
        <v>0</v>
      </c>
    </row>
    <row r="825" spans="1:20">
      <c r="A825" t="s">
        <v>1338</v>
      </c>
      <c r="B825" t="s">
        <v>26</v>
      </c>
      <c r="C825" t="s">
        <v>12</v>
      </c>
      <c r="D825">
        <v>388</v>
      </c>
      <c r="E825" s="4">
        <v>46173</v>
      </c>
      <c r="F825" s="4">
        <v>46180</v>
      </c>
      <c r="G825" s="4">
        <v>46178</v>
      </c>
      <c r="H825">
        <v>384</v>
      </c>
      <c r="I825" t="s">
        <v>148</v>
      </c>
      <c r="J825">
        <v>5</v>
      </c>
      <c r="K825" t="s">
        <v>1563</v>
      </c>
      <c r="L825" t="str">
        <f t="shared" si="108"/>
        <v>Y</v>
      </c>
      <c r="M825" t="str">
        <f t="shared" si="109"/>
        <v>Y</v>
      </c>
      <c r="N825" t="str">
        <f t="shared" si="110"/>
        <v>Y</v>
      </c>
      <c r="O825">
        <f t="shared" si="111"/>
        <v>5</v>
      </c>
      <c r="P825" s="6">
        <f t="shared" si="112"/>
        <v>0.98969072164948457</v>
      </c>
      <c r="Q825" s="6">
        <f t="shared" si="113"/>
        <v>1.3020833333333334E-2</v>
      </c>
      <c r="R825">
        <f t="shared" si="114"/>
        <v>1</v>
      </c>
      <c r="S825">
        <f t="shared" si="115"/>
        <v>0</v>
      </c>
      <c r="T825">
        <f t="shared" si="116"/>
        <v>0</v>
      </c>
    </row>
    <row r="826" spans="1:20">
      <c r="A826" t="s">
        <v>1339</v>
      </c>
      <c r="B826" t="s">
        <v>43</v>
      </c>
      <c r="C826" t="s">
        <v>23</v>
      </c>
      <c r="D826">
        <v>755</v>
      </c>
      <c r="E826" s="4">
        <v>46046</v>
      </c>
      <c r="F826" s="4">
        <v>46052</v>
      </c>
      <c r="G826" s="4">
        <v>46057</v>
      </c>
      <c r="H826">
        <v>765</v>
      </c>
      <c r="I826" t="s">
        <v>894</v>
      </c>
      <c r="J826">
        <v>45</v>
      </c>
      <c r="K826" t="s">
        <v>1563</v>
      </c>
      <c r="L826" t="str">
        <f t="shared" si="108"/>
        <v>N</v>
      </c>
      <c r="M826" t="str">
        <f t="shared" si="109"/>
        <v>Y</v>
      </c>
      <c r="N826" t="str">
        <f t="shared" si="110"/>
        <v>N</v>
      </c>
      <c r="O826">
        <f t="shared" si="111"/>
        <v>11</v>
      </c>
      <c r="P826" s="6">
        <f t="shared" si="112"/>
        <v>1.0132450331125828</v>
      </c>
      <c r="Q826" s="6">
        <f t="shared" si="113"/>
        <v>5.8823529411764705E-2</v>
      </c>
      <c r="R826">
        <f t="shared" si="114"/>
        <v>0</v>
      </c>
      <c r="S826">
        <f t="shared" si="115"/>
        <v>5</v>
      </c>
      <c r="T826">
        <f t="shared" si="116"/>
        <v>2500</v>
      </c>
    </row>
    <row r="827" spans="1:20">
      <c r="A827" t="s">
        <v>1340</v>
      </c>
      <c r="B827" t="s">
        <v>54</v>
      </c>
      <c r="C827" t="s">
        <v>16</v>
      </c>
      <c r="D827">
        <v>607</v>
      </c>
      <c r="E827" s="4">
        <v>46040</v>
      </c>
      <c r="F827" s="4">
        <v>46054</v>
      </c>
      <c r="G827" s="4">
        <v>46052</v>
      </c>
      <c r="H827">
        <v>605</v>
      </c>
      <c r="I827" t="s">
        <v>848</v>
      </c>
      <c r="J827">
        <v>4</v>
      </c>
      <c r="K827" t="s">
        <v>1563</v>
      </c>
      <c r="L827" t="str">
        <f t="shared" si="108"/>
        <v>Y</v>
      </c>
      <c r="M827" t="str">
        <f t="shared" si="109"/>
        <v>Y</v>
      </c>
      <c r="N827" t="str">
        <f t="shared" si="110"/>
        <v>Y</v>
      </c>
      <c r="O827">
        <f t="shared" si="111"/>
        <v>12</v>
      </c>
      <c r="P827" s="6">
        <f t="shared" si="112"/>
        <v>0.99670510708401971</v>
      </c>
      <c r="Q827" s="6">
        <f t="shared" si="113"/>
        <v>6.6115702479338841E-3</v>
      </c>
      <c r="R827">
        <f t="shared" si="114"/>
        <v>1</v>
      </c>
      <c r="S827">
        <f t="shared" si="115"/>
        <v>0</v>
      </c>
      <c r="T827">
        <f t="shared" si="116"/>
        <v>0</v>
      </c>
    </row>
    <row r="828" spans="1:20">
      <c r="A828" t="s">
        <v>1341</v>
      </c>
      <c r="B828" t="s">
        <v>177</v>
      </c>
      <c r="C828" t="s">
        <v>12</v>
      </c>
      <c r="D828">
        <v>202</v>
      </c>
      <c r="E828" s="4">
        <v>46137</v>
      </c>
      <c r="F828" s="4">
        <v>46143</v>
      </c>
      <c r="G828" s="4">
        <v>46142</v>
      </c>
      <c r="H828">
        <v>200</v>
      </c>
      <c r="I828" t="s">
        <v>156</v>
      </c>
      <c r="J828">
        <v>8</v>
      </c>
      <c r="K828" t="s">
        <v>1563</v>
      </c>
      <c r="L828" t="str">
        <f t="shared" si="108"/>
        <v>Y</v>
      </c>
      <c r="M828" t="str">
        <f t="shared" si="109"/>
        <v>Y</v>
      </c>
      <c r="N828" t="str">
        <f t="shared" si="110"/>
        <v>Y</v>
      </c>
      <c r="O828">
        <f t="shared" si="111"/>
        <v>5</v>
      </c>
      <c r="P828" s="6">
        <f t="shared" si="112"/>
        <v>0.99009900990099009</v>
      </c>
      <c r="Q828" s="6">
        <f t="shared" si="113"/>
        <v>0.04</v>
      </c>
      <c r="R828">
        <f t="shared" si="114"/>
        <v>1</v>
      </c>
      <c r="S828">
        <f t="shared" si="115"/>
        <v>0</v>
      </c>
      <c r="T828">
        <f t="shared" si="116"/>
        <v>0</v>
      </c>
    </row>
    <row r="829" spans="1:20">
      <c r="A829" t="s">
        <v>1342</v>
      </c>
      <c r="B829" t="s">
        <v>67</v>
      </c>
      <c r="C829" t="s">
        <v>12</v>
      </c>
      <c r="D829">
        <v>718</v>
      </c>
      <c r="E829" s="4">
        <v>46084</v>
      </c>
      <c r="F829" s="4">
        <v>46095</v>
      </c>
      <c r="G829" s="4">
        <v>46098</v>
      </c>
      <c r="H829">
        <v>708</v>
      </c>
      <c r="I829" t="s">
        <v>84</v>
      </c>
      <c r="J829">
        <v>9</v>
      </c>
      <c r="K829" t="s">
        <v>1563</v>
      </c>
      <c r="L829" t="str">
        <f t="shared" si="108"/>
        <v>N</v>
      </c>
      <c r="M829" t="str">
        <f t="shared" si="109"/>
        <v>Y</v>
      </c>
      <c r="N829" t="str">
        <f t="shared" si="110"/>
        <v>N</v>
      </c>
      <c r="O829">
        <f t="shared" si="111"/>
        <v>14</v>
      </c>
      <c r="P829" s="6">
        <f t="shared" si="112"/>
        <v>0.98607242339832868</v>
      </c>
      <c r="Q829" s="6">
        <f t="shared" si="113"/>
        <v>1.2711864406779662E-2</v>
      </c>
      <c r="R829">
        <f t="shared" si="114"/>
        <v>0</v>
      </c>
      <c r="S829">
        <f t="shared" si="115"/>
        <v>3</v>
      </c>
      <c r="T829">
        <f t="shared" si="116"/>
        <v>1500</v>
      </c>
    </row>
    <row r="830" spans="1:20">
      <c r="A830" t="s">
        <v>1343</v>
      </c>
      <c r="B830" t="s">
        <v>43</v>
      </c>
      <c r="C830" t="s">
        <v>16</v>
      </c>
      <c r="D830">
        <v>319</v>
      </c>
      <c r="E830" s="4">
        <v>46057</v>
      </c>
      <c r="F830" s="4">
        <v>46066</v>
      </c>
      <c r="G830" s="4">
        <v>46072</v>
      </c>
      <c r="H830">
        <v>319</v>
      </c>
      <c r="I830" t="s">
        <v>815</v>
      </c>
      <c r="J830">
        <v>1</v>
      </c>
      <c r="K830" t="s">
        <v>1563</v>
      </c>
      <c r="L830" t="str">
        <f t="shared" si="108"/>
        <v>N</v>
      </c>
      <c r="M830" t="str">
        <f t="shared" si="109"/>
        <v>Y</v>
      </c>
      <c r="N830" t="str">
        <f t="shared" si="110"/>
        <v>N</v>
      </c>
      <c r="O830">
        <f t="shared" si="111"/>
        <v>15</v>
      </c>
      <c r="P830" s="6">
        <f t="shared" si="112"/>
        <v>1</v>
      </c>
      <c r="Q830" s="6">
        <f t="shared" si="113"/>
        <v>3.134796238244514E-3</v>
      </c>
      <c r="R830">
        <f t="shared" si="114"/>
        <v>0</v>
      </c>
      <c r="S830">
        <f t="shared" si="115"/>
        <v>6</v>
      </c>
      <c r="T830">
        <f t="shared" si="116"/>
        <v>3000</v>
      </c>
    </row>
    <row r="831" spans="1:20">
      <c r="A831" t="s">
        <v>1344</v>
      </c>
      <c r="B831" t="s">
        <v>81</v>
      </c>
      <c r="C831" t="s">
        <v>12</v>
      </c>
      <c r="D831">
        <v>342</v>
      </c>
      <c r="E831" s="4">
        <v>46099</v>
      </c>
      <c r="F831" s="4">
        <v>46106</v>
      </c>
      <c r="G831" s="4">
        <v>46106</v>
      </c>
      <c r="H831">
        <v>344</v>
      </c>
      <c r="I831" t="s">
        <v>167</v>
      </c>
      <c r="J831">
        <v>1</v>
      </c>
      <c r="K831" t="s">
        <v>1563</v>
      </c>
      <c r="L831" t="str">
        <f t="shared" si="108"/>
        <v>Y</v>
      </c>
      <c r="M831" t="str">
        <f t="shared" si="109"/>
        <v>Y</v>
      </c>
      <c r="N831" t="str">
        <f t="shared" si="110"/>
        <v>Y</v>
      </c>
      <c r="O831">
        <f t="shared" si="111"/>
        <v>7</v>
      </c>
      <c r="P831" s="6">
        <f t="shared" si="112"/>
        <v>1.0058479532163742</v>
      </c>
      <c r="Q831" s="6">
        <f t="shared" si="113"/>
        <v>2.9069767441860465E-3</v>
      </c>
      <c r="R831">
        <f t="shared" si="114"/>
        <v>1</v>
      </c>
      <c r="S831">
        <f t="shared" si="115"/>
        <v>0</v>
      </c>
      <c r="T831">
        <f t="shared" si="116"/>
        <v>0</v>
      </c>
    </row>
    <row r="832" spans="1:20">
      <c r="A832" t="s">
        <v>1345</v>
      </c>
      <c r="B832" t="s">
        <v>67</v>
      </c>
      <c r="C832" t="s">
        <v>16</v>
      </c>
      <c r="D832">
        <v>691</v>
      </c>
      <c r="E832" s="4">
        <v>46092</v>
      </c>
      <c r="F832" s="4">
        <v>46101</v>
      </c>
      <c r="G832" s="4">
        <v>46100</v>
      </c>
      <c r="H832">
        <v>565</v>
      </c>
      <c r="I832" t="s">
        <v>426</v>
      </c>
      <c r="J832">
        <v>6</v>
      </c>
      <c r="K832" t="s">
        <v>1563</v>
      </c>
      <c r="L832" t="str">
        <f t="shared" si="108"/>
        <v>Y</v>
      </c>
      <c r="M832" t="str">
        <f t="shared" si="109"/>
        <v>N</v>
      </c>
      <c r="N832" t="str">
        <f t="shared" si="110"/>
        <v>N</v>
      </c>
      <c r="O832">
        <f t="shared" si="111"/>
        <v>8</v>
      </c>
      <c r="P832" s="6">
        <f t="shared" si="112"/>
        <v>0.81765557163531111</v>
      </c>
      <c r="Q832" s="6">
        <f t="shared" si="113"/>
        <v>1.0619469026548672E-2</v>
      </c>
      <c r="R832">
        <f t="shared" si="114"/>
        <v>0</v>
      </c>
      <c r="S832">
        <f t="shared" si="115"/>
        <v>0</v>
      </c>
      <c r="T832">
        <f t="shared" si="116"/>
        <v>0</v>
      </c>
    </row>
    <row r="833" spans="1:20">
      <c r="A833" t="s">
        <v>1346</v>
      </c>
      <c r="B833" t="s">
        <v>46</v>
      </c>
      <c r="C833" t="s">
        <v>16</v>
      </c>
      <c r="D833">
        <v>498</v>
      </c>
      <c r="E833" s="4">
        <v>46080</v>
      </c>
      <c r="F833" s="4">
        <v>46086</v>
      </c>
      <c r="G833" s="4">
        <v>46083</v>
      </c>
      <c r="H833">
        <v>497</v>
      </c>
      <c r="I833" t="s">
        <v>1347</v>
      </c>
      <c r="J833">
        <v>13</v>
      </c>
      <c r="K833" t="s">
        <v>1563</v>
      </c>
      <c r="L833" t="str">
        <f t="shared" si="108"/>
        <v>Y</v>
      </c>
      <c r="M833" t="str">
        <f t="shared" si="109"/>
        <v>Y</v>
      </c>
      <c r="N833" t="str">
        <f t="shared" si="110"/>
        <v>Y</v>
      </c>
      <c r="O833">
        <f t="shared" si="111"/>
        <v>3</v>
      </c>
      <c r="P833" s="6">
        <f t="shared" si="112"/>
        <v>0.99799196787148592</v>
      </c>
      <c r="Q833" s="6">
        <f t="shared" si="113"/>
        <v>2.6156941649899398E-2</v>
      </c>
      <c r="R833">
        <f t="shared" si="114"/>
        <v>1</v>
      </c>
      <c r="S833">
        <f t="shared" si="115"/>
        <v>0</v>
      </c>
      <c r="T833">
        <f t="shared" si="116"/>
        <v>0</v>
      </c>
    </row>
    <row r="834" spans="1:20">
      <c r="A834" t="s">
        <v>1348</v>
      </c>
      <c r="B834" t="s">
        <v>64</v>
      </c>
      <c r="C834" t="s">
        <v>12</v>
      </c>
      <c r="D834">
        <v>817</v>
      </c>
      <c r="E834" s="4">
        <v>46122</v>
      </c>
      <c r="F834" s="4">
        <v>46135</v>
      </c>
      <c r="G834" s="4">
        <v>46134</v>
      </c>
      <c r="H834">
        <v>815</v>
      </c>
      <c r="I834" t="s">
        <v>310</v>
      </c>
      <c r="J834">
        <v>37</v>
      </c>
      <c r="K834" t="s">
        <v>1563</v>
      </c>
      <c r="L834" t="str">
        <f t="shared" ref="L834:L897" si="117">IF(G834="","N/A",IF(G834&lt;=F834,"Y","N"))</f>
        <v>Y</v>
      </c>
      <c r="M834" t="str">
        <f t="shared" ref="M834:M897" si="118">IF(H834="","N/A",IF(H834&gt;=D834*0.98,"Y","N"))</f>
        <v>Y</v>
      </c>
      <c r="N834" t="str">
        <f t="shared" ref="N834:N897" si="119">IF(OR(L834="N/A",M834="N/A"),"N/A",IF(AND(L834="Y",M834="Y"),"Y","N"))</f>
        <v>Y</v>
      </c>
      <c r="O834">
        <f t="shared" ref="O834:O897" si="120">IF(G834="","N/A",G834-E834)</f>
        <v>12</v>
      </c>
      <c r="P834" s="6">
        <f t="shared" ref="P834:P897" si="121">IF(H834="","N/A",H834/D834)</f>
        <v>0.99755201958384332</v>
      </c>
      <c r="Q834" s="6">
        <f t="shared" ref="Q834:Q897" si="122">IF(H834="","N/A",IF(H834=0,0,J834/H834))</f>
        <v>4.5398773006134971E-2</v>
      </c>
      <c r="R834">
        <f t="shared" ref="R834:R897" si="123">IF(N834="Y",1,IF(N834="N",0,""))</f>
        <v>1</v>
      </c>
      <c r="S834">
        <f t="shared" ref="S834:S897" si="124">IF(G834="","N/A",MAX(G834-F834,0))</f>
        <v>0</v>
      </c>
      <c r="T834">
        <f t="shared" ref="T834:T897" si="125">IF(S834="N/A",0,S834*500)</f>
        <v>0</v>
      </c>
    </row>
    <row r="835" spans="1:20">
      <c r="A835" t="s">
        <v>1349</v>
      </c>
      <c r="B835" t="s">
        <v>32</v>
      </c>
      <c r="C835" t="s">
        <v>16</v>
      </c>
      <c r="D835">
        <v>361</v>
      </c>
      <c r="E835" s="4">
        <v>46037</v>
      </c>
      <c r="F835" s="4">
        <v>46046</v>
      </c>
      <c r="G835" s="4"/>
      <c r="I835" t="s">
        <v>484</v>
      </c>
      <c r="K835" t="s">
        <v>1565</v>
      </c>
      <c r="L835" t="str">
        <f t="shared" si="117"/>
        <v>N/A</v>
      </c>
      <c r="M835" t="str">
        <f t="shared" si="118"/>
        <v>N/A</v>
      </c>
      <c r="N835" t="str">
        <f t="shared" si="119"/>
        <v>N/A</v>
      </c>
      <c r="O835" t="str">
        <f t="shared" si="120"/>
        <v>N/A</v>
      </c>
      <c r="P835" s="6" t="str">
        <f t="shared" si="121"/>
        <v>N/A</v>
      </c>
      <c r="Q835" s="6" t="str">
        <f t="shared" si="122"/>
        <v>N/A</v>
      </c>
      <c r="R835" t="str">
        <f t="shared" si="123"/>
        <v/>
      </c>
      <c r="S835" t="str">
        <f t="shared" si="124"/>
        <v>N/A</v>
      </c>
      <c r="T835">
        <f t="shared" si="125"/>
        <v>0</v>
      </c>
    </row>
    <row r="836" spans="1:20">
      <c r="A836" t="s">
        <v>1350</v>
      </c>
      <c r="B836" t="s">
        <v>22</v>
      </c>
      <c r="C836" t="s">
        <v>12</v>
      </c>
      <c r="D836">
        <v>971</v>
      </c>
      <c r="E836" s="4">
        <v>46081</v>
      </c>
      <c r="F836" s="4">
        <v>46092</v>
      </c>
      <c r="G836" s="4">
        <v>46089</v>
      </c>
      <c r="H836">
        <v>897</v>
      </c>
      <c r="I836" t="s">
        <v>407</v>
      </c>
      <c r="J836">
        <v>3</v>
      </c>
      <c r="K836" t="s">
        <v>1563</v>
      </c>
      <c r="L836" t="str">
        <f t="shared" si="117"/>
        <v>Y</v>
      </c>
      <c r="M836" t="str">
        <f t="shared" si="118"/>
        <v>N</v>
      </c>
      <c r="N836" t="str">
        <f t="shared" si="119"/>
        <v>N</v>
      </c>
      <c r="O836">
        <f t="shared" si="120"/>
        <v>8</v>
      </c>
      <c r="P836" s="6">
        <f t="shared" si="121"/>
        <v>0.92378990731204946</v>
      </c>
      <c r="Q836" s="6">
        <f t="shared" si="122"/>
        <v>3.3444816053511705E-3</v>
      </c>
      <c r="R836">
        <f t="shared" si="123"/>
        <v>0</v>
      </c>
      <c r="S836">
        <f t="shared" si="124"/>
        <v>0</v>
      </c>
      <c r="T836">
        <f t="shared" si="125"/>
        <v>0</v>
      </c>
    </row>
    <row r="837" spans="1:20">
      <c r="A837" t="s">
        <v>1351</v>
      </c>
      <c r="B837" t="s">
        <v>26</v>
      </c>
      <c r="C837" t="s">
        <v>16</v>
      </c>
      <c r="D837">
        <v>778</v>
      </c>
      <c r="E837" s="4">
        <v>46039</v>
      </c>
      <c r="F837" s="4">
        <v>46050</v>
      </c>
      <c r="G837" s="4">
        <v>46050</v>
      </c>
      <c r="H837">
        <v>788</v>
      </c>
      <c r="I837" t="s">
        <v>1352</v>
      </c>
      <c r="J837">
        <v>17</v>
      </c>
      <c r="K837" t="s">
        <v>1563</v>
      </c>
      <c r="L837" t="str">
        <f t="shared" si="117"/>
        <v>Y</v>
      </c>
      <c r="M837" t="str">
        <f t="shared" si="118"/>
        <v>Y</v>
      </c>
      <c r="N837" t="str">
        <f t="shared" si="119"/>
        <v>Y</v>
      </c>
      <c r="O837">
        <f t="shared" si="120"/>
        <v>11</v>
      </c>
      <c r="P837" s="6">
        <f t="shared" si="121"/>
        <v>1.012853470437018</v>
      </c>
      <c r="Q837" s="6">
        <f t="shared" si="122"/>
        <v>2.1573604060913704E-2</v>
      </c>
      <c r="R837">
        <f t="shared" si="123"/>
        <v>1</v>
      </c>
      <c r="S837">
        <f t="shared" si="124"/>
        <v>0</v>
      </c>
      <c r="T837">
        <f t="shared" si="125"/>
        <v>0</v>
      </c>
    </row>
    <row r="838" spans="1:20">
      <c r="A838" t="s">
        <v>1353</v>
      </c>
      <c r="B838" t="s">
        <v>26</v>
      </c>
      <c r="C838" t="s">
        <v>12</v>
      </c>
      <c r="D838">
        <v>617</v>
      </c>
      <c r="E838" s="4">
        <v>46116</v>
      </c>
      <c r="F838" s="4">
        <v>46124</v>
      </c>
      <c r="G838" s="4">
        <v>46122</v>
      </c>
      <c r="H838">
        <v>559</v>
      </c>
      <c r="I838" t="s">
        <v>714</v>
      </c>
      <c r="J838">
        <v>15</v>
      </c>
      <c r="K838" t="s">
        <v>1563</v>
      </c>
      <c r="L838" t="str">
        <f t="shared" si="117"/>
        <v>Y</v>
      </c>
      <c r="M838" t="str">
        <f t="shared" si="118"/>
        <v>N</v>
      </c>
      <c r="N838" t="str">
        <f t="shared" si="119"/>
        <v>N</v>
      </c>
      <c r="O838">
        <f t="shared" si="120"/>
        <v>6</v>
      </c>
      <c r="P838" s="6">
        <f t="shared" si="121"/>
        <v>0.90599675850891415</v>
      </c>
      <c r="Q838" s="6">
        <f t="shared" si="122"/>
        <v>2.6833631484794274E-2</v>
      </c>
      <c r="R838">
        <f t="shared" si="123"/>
        <v>0</v>
      </c>
      <c r="S838">
        <f t="shared" si="124"/>
        <v>0</v>
      </c>
      <c r="T838">
        <f t="shared" si="125"/>
        <v>0</v>
      </c>
    </row>
    <row r="839" spans="1:20">
      <c r="A839" t="s">
        <v>1355</v>
      </c>
      <c r="B839" t="s">
        <v>11</v>
      </c>
      <c r="C839" t="s">
        <v>12</v>
      </c>
      <c r="D839">
        <v>675</v>
      </c>
      <c r="E839" s="4">
        <v>46056</v>
      </c>
      <c r="F839" s="4">
        <v>46071</v>
      </c>
      <c r="G839" s="4">
        <v>46079</v>
      </c>
      <c r="H839">
        <v>686</v>
      </c>
      <c r="I839" t="s">
        <v>407</v>
      </c>
      <c r="J839">
        <v>8</v>
      </c>
      <c r="K839" t="s">
        <v>1563</v>
      </c>
      <c r="L839" t="str">
        <f t="shared" si="117"/>
        <v>N</v>
      </c>
      <c r="M839" t="str">
        <f t="shared" si="118"/>
        <v>Y</v>
      </c>
      <c r="N839" t="str">
        <f t="shared" si="119"/>
        <v>N</v>
      </c>
      <c r="O839">
        <f t="shared" si="120"/>
        <v>23</v>
      </c>
      <c r="P839" s="6">
        <f t="shared" si="121"/>
        <v>1.0162962962962963</v>
      </c>
      <c r="Q839" s="6">
        <f t="shared" si="122"/>
        <v>1.1661807580174927E-2</v>
      </c>
      <c r="R839">
        <f t="shared" si="123"/>
        <v>0</v>
      </c>
      <c r="S839">
        <f t="shared" si="124"/>
        <v>8</v>
      </c>
      <c r="T839">
        <f t="shared" si="125"/>
        <v>4000</v>
      </c>
    </row>
    <row r="840" spans="1:20">
      <c r="A840" t="s">
        <v>1356</v>
      </c>
      <c r="B840" t="s">
        <v>19</v>
      </c>
      <c r="C840" t="s">
        <v>16</v>
      </c>
      <c r="D840">
        <v>89</v>
      </c>
      <c r="E840" s="4">
        <v>46065</v>
      </c>
      <c r="F840" s="4">
        <v>46079</v>
      </c>
      <c r="G840" s="4">
        <v>46079</v>
      </c>
      <c r="H840">
        <v>87</v>
      </c>
      <c r="I840" t="s">
        <v>1357</v>
      </c>
      <c r="J840">
        <v>2</v>
      </c>
      <c r="K840" t="s">
        <v>1563</v>
      </c>
      <c r="L840" t="str">
        <f t="shared" si="117"/>
        <v>Y</v>
      </c>
      <c r="M840" t="str">
        <f t="shared" si="118"/>
        <v>N</v>
      </c>
      <c r="N840" t="str">
        <f t="shared" si="119"/>
        <v>N</v>
      </c>
      <c r="O840">
        <f t="shared" si="120"/>
        <v>14</v>
      </c>
      <c r="P840" s="6">
        <f t="shared" si="121"/>
        <v>0.97752808988764039</v>
      </c>
      <c r="Q840" s="6">
        <f t="shared" si="122"/>
        <v>2.2988505747126436E-2</v>
      </c>
      <c r="R840">
        <f t="shared" si="123"/>
        <v>0</v>
      </c>
      <c r="S840">
        <f t="shared" si="124"/>
        <v>0</v>
      </c>
      <c r="T840">
        <f t="shared" si="125"/>
        <v>0</v>
      </c>
    </row>
    <row r="841" spans="1:20">
      <c r="A841" t="s">
        <v>1358</v>
      </c>
      <c r="B841" t="s">
        <v>67</v>
      </c>
      <c r="C841" t="s">
        <v>16</v>
      </c>
      <c r="D841">
        <v>702</v>
      </c>
      <c r="E841" s="4">
        <v>46168</v>
      </c>
      <c r="F841" s="4">
        <v>46182</v>
      </c>
      <c r="G841" s="4">
        <v>46180</v>
      </c>
      <c r="H841">
        <v>691</v>
      </c>
      <c r="I841" t="s">
        <v>1359</v>
      </c>
      <c r="J841">
        <v>39</v>
      </c>
      <c r="K841" t="s">
        <v>1563</v>
      </c>
      <c r="L841" t="str">
        <f t="shared" si="117"/>
        <v>Y</v>
      </c>
      <c r="M841" t="str">
        <f t="shared" si="118"/>
        <v>Y</v>
      </c>
      <c r="N841" t="str">
        <f t="shared" si="119"/>
        <v>Y</v>
      </c>
      <c r="O841">
        <f t="shared" si="120"/>
        <v>12</v>
      </c>
      <c r="P841" s="6">
        <f t="shared" si="121"/>
        <v>0.98433048433048431</v>
      </c>
      <c r="Q841" s="6">
        <f t="shared" si="122"/>
        <v>5.6439942112879886E-2</v>
      </c>
      <c r="R841">
        <f t="shared" si="123"/>
        <v>1</v>
      </c>
      <c r="S841">
        <f t="shared" si="124"/>
        <v>0</v>
      </c>
      <c r="T841">
        <f t="shared" si="125"/>
        <v>0</v>
      </c>
    </row>
    <row r="842" spans="1:20">
      <c r="A842" t="s">
        <v>1360</v>
      </c>
      <c r="B842" t="s">
        <v>67</v>
      </c>
      <c r="C842" t="s">
        <v>12</v>
      </c>
      <c r="D842">
        <v>407</v>
      </c>
      <c r="E842" s="4">
        <v>46129</v>
      </c>
      <c r="F842" s="4">
        <v>46144</v>
      </c>
      <c r="G842" s="4">
        <v>46144</v>
      </c>
      <c r="H842">
        <v>413</v>
      </c>
      <c r="I842" t="s">
        <v>38</v>
      </c>
      <c r="J842">
        <v>3</v>
      </c>
      <c r="K842" t="s">
        <v>1563</v>
      </c>
      <c r="L842" t="str">
        <f t="shared" si="117"/>
        <v>Y</v>
      </c>
      <c r="M842" t="str">
        <f t="shared" si="118"/>
        <v>Y</v>
      </c>
      <c r="N842" t="str">
        <f t="shared" si="119"/>
        <v>Y</v>
      </c>
      <c r="O842">
        <f t="shared" si="120"/>
        <v>15</v>
      </c>
      <c r="P842" s="6">
        <f t="shared" si="121"/>
        <v>1.0147420147420148</v>
      </c>
      <c r="Q842" s="6">
        <f t="shared" si="122"/>
        <v>7.2639225181598066E-3</v>
      </c>
      <c r="R842">
        <f t="shared" si="123"/>
        <v>1</v>
      </c>
      <c r="S842">
        <f t="shared" si="124"/>
        <v>0</v>
      </c>
      <c r="T842">
        <f t="shared" si="125"/>
        <v>0</v>
      </c>
    </row>
    <row r="843" spans="1:20">
      <c r="A843" t="s">
        <v>1361</v>
      </c>
      <c r="B843" t="s">
        <v>67</v>
      </c>
      <c r="C843" t="s">
        <v>12</v>
      </c>
      <c r="D843">
        <v>427</v>
      </c>
      <c r="E843" s="4">
        <v>46158</v>
      </c>
      <c r="F843" s="4">
        <v>46164</v>
      </c>
      <c r="G843" s="4">
        <v>46164</v>
      </c>
      <c r="H843">
        <v>426</v>
      </c>
      <c r="I843" t="s">
        <v>1043</v>
      </c>
      <c r="J843">
        <v>2</v>
      </c>
      <c r="K843" t="s">
        <v>1563</v>
      </c>
      <c r="L843" t="str">
        <f t="shared" si="117"/>
        <v>Y</v>
      </c>
      <c r="M843" t="str">
        <f t="shared" si="118"/>
        <v>Y</v>
      </c>
      <c r="N843" t="str">
        <f t="shared" si="119"/>
        <v>Y</v>
      </c>
      <c r="O843">
        <f t="shared" si="120"/>
        <v>6</v>
      </c>
      <c r="P843" s="6">
        <f t="shared" si="121"/>
        <v>0.99765807962529274</v>
      </c>
      <c r="Q843" s="6">
        <f t="shared" si="122"/>
        <v>4.6948356807511738E-3</v>
      </c>
      <c r="R843">
        <f t="shared" si="123"/>
        <v>1</v>
      </c>
      <c r="S843">
        <f t="shared" si="124"/>
        <v>0</v>
      </c>
      <c r="T843">
        <f t="shared" si="125"/>
        <v>0</v>
      </c>
    </row>
    <row r="844" spans="1:20">
      <c r="A844" t="s">
        <v>1362</v>
      </c>
      <c r="B844" t="s">
        <v>100</v>
      </c>
      <c r="C844" t="s">
        <v>23</v>
      </c>
      <c r="D844">
        <v>605</v>
      </c>
      <c r="E844" s="4">
        <v>46129</v>
      </c>
      <c r="F844" s="4">
        <v>46134</v>
      </c>
      <c r="G844" s="4">
        <v>46133</v>
      </c>
      <c r="H844">
        <v>605</v>
      </c>
      <c r="I844" t="s">
        <v>86</v>
      </c>
      <c r="J844">
        <v>21</v>
      </c>
      <c r="K844" t="s">
        <v>1563</v>
      </c>
      <c r="L844" t="str">
        <f t="shared" si="117"/>
        <v>Y</v>
      </c>
      <c r="M844" t="str">
        <f t="shared" si="118"/>
        <v>Y</v>
      </c>
      <c r="N844" t="str">
        <f t="shared" si="119"/>
        <v>Y</v>
      </c>
      <c r="O844">
        <f t="shared" si="120"/>
        <v>4</v>
      </c>
      <c r="P844" s="6">
        <f t="shared" si="121"/>
        <v>1</v>
      </c>
      <c r="Q844" s="6">
        <f t="shared" si="122"/>
        <v>3.4710743801652892E-2</v>
      </c>
      <c r="R844">
        <f t="shared" si="123"/>
        <v>1</v>
      </c>
      <c r="S844">
        <f t="shared" si="124"/>
        <v>0</v>
      </c>
      <c r="T844">
        <f t="shared" si="125"/>
        <v>0</v>
      </c>
    </row>
    <row r="845" spans="1:20">
      <c r="A845" t="s">
        <v>1363</v>
      </c>
      <c r="B845" t="s">
        <v>26</v>
      </c>
      <c r="C845" t="s">
        <v>16</v>
      </c>
      <c r="D845">
        <v>451</v>
      </c>
      <c r="E845" s="4">
        <v>46135</v>
      </c>
      <c r="F845" s="4">
        <v>46150</v>
      </c>
      <c r="G845" s="4">
        <v>46150</v>
      </c>
      <c r="H845">
        <v>444</v>
      </c>
      <c r="I845" t="s">
        <v>666</v>
      </c>
      <c r="J845">
        <v>0</v>
      </c>
      <c r="K845" t="s">
        <v>1563</v>
      </c>
      <c r="L845" t="str">
        <f t="shared" si="117"/>
        <v>Y</v>
      </c>
      <c r="M845" t="str">
        <f t="shared" si="118"/>
        <v>Y</v>
      </c>
      <c r="N845" t="str">
        <f t="shared" si="119"/>
        <v>Y</v>
      </c>
      <c r="O845">
        <f t="shared" si="120"/>
        <v>15</v>
      </c>
      <c r="P845" s="6">
        <f t="shared" si="121"/>
        <v>0.98447893569844791</v>
      </c>
      <c r="Q845" s="6">
        <f t="shared" si="122"/>
        <v>0</v>
      </c>
      <c r="R845">
        <f t="shared" si="123"/>
        <v>1</v>
      </c>
      <c r="S845">
        <f t="shared" si="124"/>
        <v>0</v>
      </c>
      <c r="T845">
        <f t="shared" si="125"/>
        <v>0</v>
      </c>
    </row>
    <row r="846" spans="1:20">
      <c r="A846" t="s">
        <v>1364</v>
      </c>
      <c r="B846" t="s">
        <v>70</v>
      </c>
      <c r="C846" t="s">
        <v>16</v>
      </c>
      <c r="D846">
        <v>684</v>
      </c>
      <c r="E846" s="4">
        <v>46137</v>
      </c>
      <c r="F846" s="4">
        <v>46143</v>
      </c>
      <c r="G846" s="4">
        <v>46141</v>
      </c>
      <c r="H846">
        <v>676</v>
      </c>
      <c r="I846" t="s">
        <v>1365</v>
      </c>
      <c r="J846">
        <v>2</v>
      </c>
      <c r="K846" t="s">
        <v>1563</v>
      </c>
      <c r="L846" t="str">
        <f t="shared" si="117"/>
        <v>Y</v>
      </c>
      <c r="M846" t="str">
        <f t="shared" si="118"/>
        <v>Y</v>
      </c>
      <c r="N846" t="str">
        <f t="shared" si="119"/>
        <v>Y</v>
      </c>
      <c r="O846">
        <f t="shared" si="120"/>
        <v>4</v>
      </c>
      <c r="P846" s="6">
        <f t="shared" si="121"/>
        <v>0.98830409356725146</v>
      </c>
      <c r="Q846" s="6">
        <f t="shared" si="122"/>
        <v>2.9585798816568047E-3</v>
      </c>
      <c r="R846">
        <f t="shared" si="123"/>
        <v>1</v>
      </c>
      <c r="S846">
        <f t="shared" si="124"/>
        <v>0</v>
      </c>
      <c r="T846">
        <f t="shared" si="125"/>
        <v>0</v>
      </c>
    </row>
    <row r="847" spans="1:20">
      <c r="A847" t="s">
        <v>1366</v>
      </c>
      <c r="B847" t="s">
        <v>22</v>
      </c>
      <c r="C847" t="s">
        <v>12</v>
      </c>
      <c r="D847">
        <v>760</v>
      </c>
      <c r="E847" s="4">
        <v>46052</v>
      </c>
      <c r="F847" s="4">
        <v>46062</v>
      </c>
      <c r="G847" s="4">
        <v>46063</v>
      </c>
      <c r="H847">
        <v>771</v>
      </c>
      <c r="I847" t="s">
        <v>625</v>
      </c>
      <c r="J847">
        <v>15</v>
      </c>
      <c r="K847" t="s">
        <v>1563</v>
      </c>
      <c r="L847" t="str">
        <f t="shared" si="117"/>
        <v>N</v>
      </c>
      <c r="M847" t="str">
        <f t="shared" si="118"/>
        <v>Y</v>
      </c>
      <c r="N847" t="str">
        <f t="shared" si="119"/>
        <v>N</v>
      </c>
      <c r="O847">
        <f t="shared" si="120"/>
        <v>11</v>
      </c>
      <c r="P847" s="6">
        <f t="shared" si="121"/>
        <v>1.0144736842105264</v>
      </c>
      <c r="Q847" s="6">
        <f t="shared" si="122"/>
        <v>1.9455252918287938E-2</v>
      </c>
      <c r="R847">
        <f t="shared" si="123"/>
        <v>0</v>
      </c>
      <c r="S847">
        <f t="shared" si="124"/>
        <v>1</v>
      </c>
      <c r="T847">
        <f t="shared" si="125"/>
        <v>500</v>
      </c>
    </row>
    <row r="848" spans="1:20">
      <c r="A848" t="s">
        <v>1367</v>
      </c>
      <c r="B848" t="s">
        <v>19</v>
      </c>
      <c r="C848" t="s">
        <v>16</v>
      </c>
      <c r="D848">
        <v>482</v>
      </c>
      <c r="E848" s="4">
        <v>46174</v>
      </c>
      <c r="F848" s="4">
        <v>46189</v>
      </c>
      <c r="G848" s="4">
        <v>46188</v>
      </c>
      <c r="H848">
        <v>485</v>
      </c>
      <c r="I848" t="s">
        <v>978</v>
      </c>
      <c r="J848">
        <v>5</v>
      </c>
      <c r="K848" t="s">
        <v>1563</v>
      </c>
      <c r="L848" t="str">
        <f t="shared" si="117"/>
        <v>Y</v>
      </c>
      <c r="M848" t="str">
        <f t="shared" si="118"/>
        <v>Y</v>
      </c>
      <c r="N848" t="str">
        <f t="shared" si="119"/>
        <v>Y</v>
      </c>
      <c r="O848">
        <f t="shared" si="120"/>
        <v>14</v>
      </c>
      <c r="P848" s="6">
        <f t="shared" si="121"/>
        <v>1.0062240663900415</v>
      </c>
      <c r="Q848" s="6">
        <f t="shared" si="122"/>
        <v>1.0309278350515464E-2</v>
      </c>
      <c r="R848">
        <f t="shared" si="123"/>
        <v>1</v>
      </c>
      <c r="S848">
        <f t="shared" si="124"/>
        <v>0</v>
      </c>
      <c r="T848">
        <f t="shared" si="125"/>
        <v>0</v>
      </c>
    </row>
    <row r="849" spans="1:20">
      <c r="A849" t="s">
        <v>1368</v>
      </c>
      <c r="B849" t="s">
        <v>22</v>
      </c>
      <c r="C849" t="s">
        <v>12</v>
      </c>
      <c r="D849">
        <v>750</v>
      </c>
      <c r="E849" s="4">
        <v>46136</v>
      </c>
      <c r="F849" s="4">
        <v>46143</v>
      </c>
      <c r="G849" s="4">
        <v>46147</v>
      </c>
      <c r="H849">
        <v>747</v>
      </c>
      <c r="I849" t="s">
        <v>700</v>
      </c>
      <c r="J849">
        <v>58</v>
      </c>
      <c r="K849" t="s">
        <v>1563</v>
      </c>
      <c r="L849" t="str">
        <f t="shared" si="117"/>
        <v>N</v>
      </c>
      <c r="M849" t="str">
        <f t="shared" si="118"/>
        <v>Y</v>
      </c>
      <c r="N849" t="str">
        <f t="shared" si="119"/>
        <v>N</v>
      </c>
      <c r="O849">
        <f t="shared" si="120"/>
        <v>11</v>
      </c>
      <c r="P849" s="6">
        <f t="shared" si="121"/>
        <v>0.996</v>
      </c>
      <c r="Q849" s="6">
        <f t="shared" si="122"/>
        <v>7.7643908969210168E-2</v>
      </c>
      <c r="R849">
        <f t="shared" si="123"/>
        <v>0</v>
      </c>
      <c r="S849">
        <f t="shared" si="124"/>
        <v>4</v>
      </c>
      <c r="T849">
        <f t="shared" si="125"/>
        <v>2000</v>
      </c>
    </row>
    <row r="850" spans="1:20">
      <c r="A850" t="s">
        <v>1369</v>
      </c>
      <c r="B850" t="s">
        <v>11</v>
      </c>
      <c r="C850" t="s">
        <v>12</v>
      </c>
      <c r="D850">
        <v>487</v>
      </c>
      <c r="E850" s="4">
        <v>46155</v>
      </c>
      <c r="F850" s="4">
        <v>46162</v>
      </c>
      <c r="G850" s="4">
        <v>46163</v>
      </c>
      <c r="H850">
        <v>492</v>
      </c>
      <c r="I850" t="s">
        <v>1370</v>
      </c>
      <c r="J850">
        <v>7</v>
      </c>
      <c r="K850" t="s">
        <v>1563</v>
      </c>
      <c r="L850" t="str">
        <f t="shared" si="117"/>
        <v>N</v>
      </c>
      <c r="M850" t="str">
        <f t="shared" si="118"/>
        <v>Y</v>
      </c>
      <c r="N850" t="str">
        <f t="shared" si="119"/>
        <v>N</v>
      </c>
      <c r="O850">
        <f t="shared" si="120"/>
        <v>8</v>
      </c>
      <c r="P850" s="6">
        <f t="shared" si="121"/>
        <v>1.0102669404517455</v>
      </c>
      <c r="Q850" s="6">
        <f t="shared" si="122"/>
        <v>1.4227642276422764E-2</v>
      </c>
      <c r="R850">
        <f t="shared" si="123"/>
        <v>0</v>
      </c>
      <c r="S850">
        <f t="shared" si="124"/>
        <v>1</v>
      </c>
      <c r="T850">
        <f t="shared" si="125"/>
        <v>500</v>
      </c>
    </row>
    <row r="851" spans="1:20">
      <c r="A851" t="s">
        <v>1371</v>
      </c>
      <c r="B851" t="s">
        <v>49</v>
      </c>
      <c r="C851" t="s">
        <v>12</v>
      </c>
      <c r="D851">
        <v>226</v>
      </c>
      <c r="E851" s="4">
        <v>46100</v>
      </c>
      <c r="F851" s="4">
        <v>46113</v>
      </c>
      <c r="G851" s="4">
        <v>46112</v>
      </c>
      <c r="H851">
        <v>228</v>
      </c>
      <c r="I851" t="s">
        <v>807</v>
      </c>
      <c r="J851">
        <v>1</v>
      </c>
      <c r="K851" t="s">
        <v>1563</v>
      </c>
      <c r="L851" t="str">
        <f t="shared" si="117"/>
        <v>Y</v>
      </c>
      <c r="M851" t="str">
        <f t="shared" si="118"/>
        <v>Y</v>
      </c>
      <c r="N851" t="str">
        <f t="shared" si="119"/>
        <v>Y</v>
      </c>
      <c r="O851">
        <f t="shared" si="120"/>
        <v>12</v>
      </c>
      <c r="P851" s="6">
        <f t="shared" si="121"/>
        <v>1.0088495575221239</v>
      </c>
      <c r="Q851" s="6">
        <f t="shared" si="122"/>
        <v>4.3859649122807015E-3</v>
      </c>
      <c r="R851">
        <f t="shared" si="123"/>
        <v>1</v>
      </c>
      <c r="S851">
        <f t="shared" si="124"/>
        <v>0</v>
      </c>
      <c r="T851">
        <f t="shared" si="125"/>
        <v>0</v>
      </c>
    </row>
    <row r="852" spans="1:20">
      <c r="A852" t="s">
        <v>1372</v>
      </c>
      <c r="B852" t="s">
        <v>100</v>
      </c>
      <c r="C852" t="s">
        <v>16</v>
      </c>
      <c r="D852">
        <v>992</v>
      </c>
      <c r="E852" s="4">
        <v>46063</v>
      </c>
      <c r="F852" s="4">
        <v>46077</v>
      </c>
      <c r="G852" s="4">
        <v>46077</v>
      </c>
      <c r="H852">
        <v>1007</v>
      </c>
      <c r="I852" t="s">
        <v>1373</v>
      </c>
      <c r="J852">
        <v>19</v>
      </c>
      <c r="K852" t="s">
        <v>1563</v>
      </c>
      <c r="L852" t="str">
        <f t="shared" si="117"/>
        <v>Y</v>
      </c>
      <c r="M852" t="str">
        <f t="shared" si="118"/>
        <v>Y</v>
      </c>
      <c r="N852" t="str">
        <f t="shared" si="119"/>
        <v>Y</v>
      </c>
      <c r="O852">
        <f t="shared" si="120"/>
        <v>14</v>
      </c>
      <c r="P852" s="6">
        <f t="shared" si="121"/>
        <v>1.0151209677419355</v>
      </c>
      <c r="Q852" s="6">
        <f t="shared" si="122"/>
        <v>1.8867924528301886E-2</v>
      </c>
      <c r="R852">
        <f t="shared" si="123"/>
        <v>1</v>
      </c>
      <c r="S852">
        <f t="shared" si="124"/>
        <v>0</v>
      </c>
      <c r="T852">
        <f t="shared" si="125"/>
        <v>0</v>
      </c>
    </row>
    <row r="853" spans="1:20">
      <c r="A853" t="s">
        <v>1374</v>
      </c>
      <c r="B853" t="s">
        <v>70</v>
      </c>
      <c r="C853" t="s">
        <v>16</v>
      </c>
      <c r="D853">
        <v>735</v>
      </c>
      <c r="E853" s="4">
        <v>46102</v>
      </c>
      <c r="F853" s="4">
        <v>46116</v>
      </c>
      <c r="G853" s="4">
        <v>46122</v>
      </c>
      <c r="H853">
        <v>603</v>
      </c>
      <c r="I853" t="s">
        <v>650</v>
      </c>
      <c r="J853">
        <v>1</v>
      </c>
      <c r="K853" t="s">
        <v>1563</v>
      </c>
      <c r="L853" t="str">
        <f t="shared" si="117"/>
        <v>N</v>
      </c>
      <c r="M853" t="str">
        <f t="shared" si="118"/>
        <v>N</v>
      </c>
      <c r="N853" t="str">
        <f t="shared" si="119"/>
        <v>N</v>
      </c>
      <c r="O853">
        <f t="shared" si="120"/>
        <v>20</v>
      </c>
      <c r="P853" s="6">
        <f t="shared" si="121"/>
        <v>0.82040816326530608</v>
      </c>
      <c r="Q853" s="6">
        <f t="shared" si="122"/>
        <v>1.658374792703151E-3</v>
      </c>
      <c r="R853">
        <f t="shared" si="123"/>
        <v>0</v>
      </c>
      <c r="S853">
        <f t="shared" si="124"/>
        <v>6</v>
      </c>
      <c r="T853">
        <f t="shared" si="125"/>
        <v>3000</v>
      </c>
    </row>
    <row r="854" spans="1:20">
      <c r="A854" t="s">
        <v>1375</v>
      </c>
      <c r="B854" t="s">
        <v>70</v>
      </c>
      <c r="C854" t="s">
        <v>23</v>
      </c>
      <c r="D854">
        <v>432</v>
      </c>
      <c r="E854" s="4">
        <v>46099</v>
      </c>
      <c r="F854" s="4">
        <v>46111</v>
      </c>
      <c r="G854" s="4">
        <v>46120</v>
      </c>
      <c r="H854">
        <v>431</v>
      </c>
      <c r="I854" t="s">
        <v>1376</v>
      </c>
      <c r="J854">
        <v>9</v>
      </c>
      <c r="K854" t="s">
        <v>1563</v>
      </c>
      <c r="L854" t="str">
        <f t="shared" si="117"/>
        <v>N</v>
      </c>
      <c r="M854" t="str">
        <f t="shared" si="118"/>
        <v>Y</v>
      </c>
      <c r="N854" t="str">
        <f t="shared" si="119"/>
        <v>N</v>
      </c>
      <c r="O854">
        <f t="shared" si="120"/>
        <v>21</v>
      </c>
      <c r="P854" s="6">
        <f t="shared" si="121"/>
        <v>0.99768518518518523</v>
      </c>
      <c r="Q854" s="6">
        <f t="shared" si="122"/>
        <v>2.0881670533642691E-2</v>
      </c>
      <c r="R854">
        <f t="shared" si="123"/>
        <v>0</v>
      </c>
      <c r="S854">
        <f t="shared" si="124"/>
        <v>9</v>
      </c>
      <c r="T854">
        <f t="shared" si="125"/>
        <v>4500</v>
      </c>
    </row>
    <row r="855" spans="1:20">
      <c r="A855" t="s">
        <v>1377</v>
      </c>
      <c r="B855" t="s">
        <v>43</v>
      </c>
      <c r="C855" t="s">
        <v>16</v>
      </c>
      <c r="D855">
        <v>737</v>
      </c>
      <c r="E855" s="4">
        <v>46154</v>
      </c>
      <c r="F855" s="4">
        <v>46162</v>
      </c>
      <c r="G855" s="4">
        <v>46161</v>
      </c>
      <c r="H855">
        <v>729</v>
      </c>
      <c r="I855" t="s">
        <v>1160</v>
      </c>
      <c r="J855">
        <v>32</v>
      </c>
      <c r="K855" t="s">
        <v>1563</v>
      </c>
      <c r="L855" t="str">
        <f t="shared" si="117"/>
        <v>Y</v>
      </c>
      <c r="M855" t="str">
        <f t="shared" si="118"/>
        <v>Y</v>
      </c>
      <c r="N855" t="str">
        <f t="shared" si="119"/>
        <v>Y</v>
      </c>
      <c r="O855">
        <f t="shared" si="120"/>
        <v>7</v>
      </c>
      <c r="P855" s="6">
        <f t="shared" si="121"/>
        <v>0.98914518317503397</v>
      </c>
      <c r="Q855" s="6">
        <f t="shared" si="122"/>
        <v>4.38957475994513E-2</v>
      </c>
      <c r="R855">
        <f t="shared" si="123"/>
        <v>1</v>
      </c>
      <c r="S855">
        <f t="shared" si="124"/>
        <v>0</v>
      </c>
      <c r="T855">
        <f t="shared" si="125"/>
        <v>0</v>
      </c>
    </row>
    <row r="856" spans="1:20">
      <c r="A856" t="s">
        <v>1378</v>
      </c>
      <c r="B856" t="s">
        <v>54</v>
      </c>
      <c r="C856" t="s">
        <v>12</v>
      </c>
      <c r="D856">
        <v>391</v>
      </c>
      <c r="E856" s="4">
        <v>46176</v>
      </c>
      <c r="F856" s="4">
        <v>46185</v>
      </c>
      <c r="G856" s="4">
        <v>46189</v>
      </c>
      <c r="H856">
        <v>386</v>
      </c>
      <c r="I856" t="s">
        <v>520</v>
      </c>
      <c r="J856">
        <v>8</v>
      </c>
      <c r="K856" t="s">
        <v>1563</v>
      </c>
      <c r="L856" t="str">
        <f t="shared" si="117"/>
        <v>N</v>
      </c>
      <c r="M856" t="str">
        <f t="shared" si="118"/>
        <v>Y</v>
      </c>
      <c r="N856" t="str">
        <f t="shared" si="119"/>
        <v>N</v>
      </c>
      <c r="O856">
        <f t="shared" si="120"/>
        <v>13</v>
      </c>
      <c r="P856" s="6">
        <f t="shared" si="121"/>
        <v>0.98721227621483376</v>
      </c>
      <c r="Q856" s="6">
        <f t="shared" si="122"/>
        <v>2.072538860103627E-2</v>
      </c>
      <c r="R856">
        <f t="shared" si="123"/>
        <v>0</v>
      </c>
      <c r="S856">
        <f t="shared" si="124"/>
        <v>4</v>
      </c>
      <c r="T856">
        <f t="shared" si="125"/>
        <v>2000</v>
      </c>
    </row>
    <row r="857" spans="1:20">
      <c r="A857" t="s">
        <v>1379</v>
      </c>
      <c r="B857" t="s">
        <v>11</v>
      </c>
      <c r="C857" t="s">
        <v>16</v>
      </c>
      <c r="D857">
        <v>314</v>
      </c>
      <c r="E857" s="4">
        <v>46112</v>
      </c>
      <c r="F857" s="4">
        <v>46122</v>
      </c>
      <c r="G857" s="4">
        <v>46122</v>
      </c>
      <c r="H857">
        <v>260</v>
      </c>
      <c r="I857" t="s">
        <v>1380</v>
      </c>
      <c r="J857">
        <v>1</v>
      </c>
      <c r="K857" t="s">
        <v>1563</v>
      </c>
      <c r="L857" t="str">
        <f t="shared" si="117"/>
        <v>Y</v>
      </c>
      <c r="M857" t="str">
        <f t="shared" si="118"/>
        <v>N</v>
      </c>
      <c r="N857" t="str">
        <f t="shared" si="119"/>
        <v>N</v>
      </c>
      <c r="O857">
        <f t="shared" si="120"/>
        <v>10</v>
      </c>
      <c r="P857" s="6">
        <f t="shared" si="121"/>
        <v>0.82802547770700641</v>
      </c>
      <c r="Q857" s="6">
        <f t="shared" si="122"/>
        <v>3.8461538461538464E-3</v>
      </c>
      <c r="R857">
        <f t="shared" si="123"/>
        <v>0</v>
      </c>
      <c r="S857">
        <f t="shared" si="124"/>
        <v>0</v>
      </c>
      <c r="T857">
        <f t="shared" si="125"/>
        <v>0</v>
      </c>
    </row>
    <row r="858" spans="1:20">
      <c r="A858" t="s">
        <v>1381</v>
      </c>
      <c r="B858" t="s">
        <v>43</v>
      </c>
      <c r="C858" t="s">
        <v>23</v>
      </c>
      <c r="D858">
        <v>627</v>
      </c>
      <c r="E858" s="4">
        <v>46036</v>
      </c>
      <c r="F858" s="4">
        <v>46042</v>
      </c>
      <c r="G858" s="4">
        <v>46050</v>
      </c>
      <c r="H858">
        <v>636</v>
      </c>
      <c r="I858" t="s">
        <v>1382</v>
      </c>
      <c r="J858">
        <v>15</v>
      </c>
      <c r="K858" t="s">
        <v>1563</v>
      </c>
      <c r="L858" t="str">
        <f t="shared" si="117"/>
        <v>N</v>
      </c>
      <c r="M858" t="str">
        <f t="shared" si="118"/>
        <v>Y</v>
      </c>
      <c r="N858" t="str">
        <f t="shared" si="119"/>
        <v>N</v>
      </c>
      <c r="O858">
        <f t="shared" si="120"/>
        <v>14</v>
      </c>
      <c r="P858" s="6">
        <f t="shared" si="121"/>
        <v>1.0143540669856459</v>
      </c>
      <c r="Q858" s="6">
        <f t="shared" si="122"/>
        <v>2.358490566037736E-2</v>
      </c>
      <c r="R858">
        <f t="shared" si="123"/>
        <v>0</v>
      </c>
      <c r="S858">
        <f t="shared" si="124"/>
        <v>8</v>
      </c>
      <c r="T858">
        <f t="shared" si="125"/>
        <v>4000</v>
      </c>
    </row>
    <row r="859" spans="1:20">
      <c r="A859" t="s">
        <v>1383</v>
      </c>
      <c r="B859" t="s">
        <v>29</v>
      </c>
      <c r="C859" t="s">
        <v>16</v>
      </c>
      <c r="D859">
        <v>495</v>
      </c>
      <c r="E859" s="4">
        <v>46068</v>
      </c>
      <c r="F859" s="4">
        <v>46082</v>
      </c>
      <c r="G859" s="4">
        <v>46079</v>
      </c>
      <c r="H859">
        <v>501</v>
      </c>
      <c r="I859" t="s">
        <v>1227</v>
      </c>
      <c r="J859">
        <v>2</v>
      </c>
      <c r="K859" t="s">
        <v>1563</v>
      </c>
      <c r="L859" t="str">
        <f t="shared" si="117"/>
        <v>Y</v>
      </c>
      <c r="M859" t="str">
        <f t="shared" si="118"/>
        <v>Y</v>
      </c>
      <c r="N859" t="str">
        <f t="shared" si="119"/>
        <v>Y</v>
      </c>
      <c r="O859">
        <f t="shared" si="120"/>
        <v>11</v>
      </c>
      <c r="P859" s="6">
        <f t="shared" si="121"/>
        <v>1.0121212121212122</v>
      </c>
      <c r="Q859" s="6">
        <f t="shared" si="122"/>
        <v>3.9920159680638719E-3</v>
      </c>
      <c r="R859">
        <f t="shared" si="123"/>
        <v>1</v>
      </c>
      <c r="S859">
        <f t="shared" si="124"/>
        <v>0</v>
      </c>
      <c r="T859">
        <f t="shared" si="125"/>
        <v>0</v>
      </c>
    </row>
    <row r="860" spans="1:20">
      <c r="A860" t="s">
        <v>1384</v>
      </c>
      <c r="B860" t="s">
        <v>67</v>
      </c>
      <c r="C860" t="s">
        <v>12</v>
      </c>
      <c r="D860">
        <v>869</v>
      </c>
      <c r="E860" s="4">
        <v>46061</v>
      </c>
      <c r="F860" s="4">
        <v>46070</v>
      </c>
      <c r="G860" s="4"/>
      <c r="I860" t="s">
        <v>204</v>
      </c>
      <c r="K860" t="s">
        <v>1565</v>
      </c>
      <c r="L860" t="str">
        <f t="shared" si="117"/>
        <v>N/A</v>
      </c>
      <c r="M860" t="str">
        <f t="shared" si="118"/>
        <v>N/A</v>
      </c>
      <c r="N860" t="str">
        <f t="shared" si="119"/>
        <v>N/A</v>
      </c>
      <c r="O860" t="str">
        <f t="shared" si="120"/>
        <v>N/A</v>
      </c>
      <c r="P860" s="6" t="str">
        <f t="shared" si="121"/>
        <v>N/A</v>
      </c>
      <c r="Q860" s="6" t="str">
        <f t="shared" si="122"/>
        <v>N/A</v>
      </c>
      <c r="R860" t="str">
        <f t="shared" si="123"/>
        <v/>
      </c>
      <c r="S860" t="str">
        <f t="shared" si="124"/>
        <v>N/A</v>
      </c>
      <c r="T860">
        <f t="shared" si="125"/>
        <v>0</v>
      </c>
    </row>
    <row r="861" spans="1:20">
      <c r="A861" t="s">
        <v>1385</v>
      </c>
      <c r="B861" t="s">
        <v>64</v>
      </c>
      <c r="C861" t="s">
        <v>23</v>
      </c>
      <c r="D861">
        <v>332</v>
      </c>
      <c r="E861" s="4">
        <v>46081</v>
      </c>
      <c r="F861" s="4">
        <v>46087</v>
      </c>
      <c r="G861" s="4">
        <v>46088</v>
      </c>
      <c r="H861">
        <v>338</v>
      </c>
      <c r="I861" t="s">
        <v>1387</v>
      </c>
      <c r="J861">
        <v>25</v>
      </c>
      <c r="K861" t="s">
        <v>1563</v>
      </c>
      <c r="L861" t="str">
        <f t="shared" si="117"/>
        <v>N</v>
      </c>
      <c r="M861" t="str">
        <f t="shared" si="118"/>
        <v>Y</v>
      </c>
      <c r="N861" t="str">
        <f t="shared" si="119"/>
        <v>N</v>
      </c>
      <c r="O861">
        <f t="shared" si="120"/>
        <v>7</v>
      </c>
      <c r="P861" s="6">
        <f t="shared" si="121"/>
        <v>1.0180722891566265</v>
      </c>
      <c r="Q861" s="6">
        <f t="shared" si="122"/>
        <v>7.3964497041420121E-2</v>
      </c>
      <c r="R861">
        <f t="shared" si="123"/>
        <v>0</v>
      </c>
      <c r="S861">
        <f t="shared" si="124"/>
        <v>1</v>
      </c>
      <c r="T861">
        <f t="shared" si="125"/>
        <v>500</v>
      </c>
    </row>
    <row r="862" spans="1:20">
      <c r="A862" t="s">
        <v>1388</v>
      </c>
      <c r="B862" t="s">
        <v>120</v>
      </c>
      <c r="C862" t="s">
        <v>12</v>
      </c>
      <c r="D862">
        <v>427</v>
      </c>
      <c r="E862" s="4">
        <v>46102</v>
      </c>
      <c r="F862" s="4">
        <v>46109</v>
      </c>
      <c r="G862" s="4">
        <v>46107</v>
      </c>
      <c r="H862">
        <v>359</v>
      </c>
      <c r="I862" t="s">
        <v>1098</v>
      </c>
      <c r="J862">
        <v>6</v>
      </c>
      <c r="K862" t="s">
        <v>1563</v>
      </c>
      <c r="L862" t="str">
        <f t="shared" si="117"/>
        <v>Y</v>
      </c>
      <c r="M862" t="str">
        <f t="shared" si="118"/>
        <v>N</v>
      </c>
      <c r="N862" t="str">
        <f t="shared" si="119"/>
        <v>N</v>
      </c>
      <c r="O862">
        <f t="shared" si="120"/>
        <v>5</v>
      </c>
      <c r="P862" s="6">
        <f t="shared" si="121"/>
        <v>0.84074941451990637</v>
      </c>
      <c r="Q862" s="6">
        <f t="shared" si="122"/>
        <v>1.6713091922005572E-2</v>
      </c>
      <c r="R862">
        <f t="shared" si="123"/>
        <v>0</v>
      </c>
      <c r="S862">
        <f t="shared" si="124"/>
        <v>0</v>
      </c>
      <c r="T862">
        <f t="shared" si="125"/>
        <v>0</v>
      </c>
    </row>
    <row r="863" spans="1:20">
      <c r="A863" t="s">
        <v>1389</v>
      </c>
      <c r="B863" t="s">
        <v>32</v>
      </c>
      <c r="C863" t="s">
        <v>12</v>
      </c>
      <c r="D863">
        <v>914</v>
      </c>
      <c r="E863" s="4">
        <v>46147</v>
      </c>
      <c r="F863" s="4">
        <v>46159</v>
      </c>
      <c r="G863" s="4">
        <v>46158</v>
      </c>
      <c r="H863">
        <v>910</v>
      </c>
      <c r="I863" t="s">
        <v>175</v>
      </c>
      <c r="J863">
        <v>63</v>
      </c>
      <c r="K863" t="s">
        <v>1563</v>
      </c>
      <c r="L863" t="str">
        <f t="shared" si="117"/>
        <v>Y</v>
      </c>
      <c r="M863" t="str">
        <f t="shared" si="118"/>
        <v>Y</v>
      </c>
      <c r="N863" t="str">
        <f t="shared" si="119"/>
        <v>Y</v>
      </c>
      <c r="O863">
        <f t="shared" si="120"/>
        <v>11</v>
      </c>
      <c r="P863" s="6">
        <f t="shared" si="121"/>
        <v>0.99562363238512031</v>
      </c>
      <c r="Q863" s="6">
        <f t="shared" si="122"/>
        <v>6.9230769230769235E-2</v>
      </c>
      <c r="R863">
        <f t="shared" si="123"/>
        <v>1</v>
      </c>
      <c r="S863">
        <f t="shared" si="124"/>
        <v>0</v>
      </c>
      <c r="T863">
        <f t="shared" si="125"/>
        <v>0</v>
      </c>
    </row>
    <row r="864" spans="1:20">
      <c r="A864" t="s">
        <v>1390</v>
      </c>
      <c r="B864" t="s">
        <v>43</v>
      </c>
      <c r="C864" t="s">
        <v>16</v>
      </c>
      <c r="D864">
        <v>517</v>
      </c>
      <c r="E864" s="4">
        <v>46092</v>
      </c>
      <c r="F864" s="4">
        <v>46100</v>
      </c>
      <c r="G864" s="4">
        <v>46100</v>
      </c>
      <c r="H864">
        <v>519</v>
      </c>
      <c r="I864" t="s">
        <v>484</v>
      </c>
      <c r="J864">
        <v>26</v>
      </c>
      <c r="K864" t="s">
        <v>1563</v>
      </c>
      <c r="L864" t="str">
        <f t="shared" si="117"/>
        <v>Y</v>
      </c>
      <c r="M864" t="str">
        <f t="shared" si="118"/>
        <v>Y</v>
      </c>
      <c r="N864" t="str">
        <f t="shared" si="119"/>
        <v>Y</v>
      </c>
      <c r="O864">
        <f t="shared" si="120"/>
        <v>8</v>
      </c>
      <c r="P864" s="6">
        <f t="shared" si="121"/>
        <v>1.0038684719535784</v>
      </c>
      <c r="Q864" s="6">
        <f t="shared" si="122"/>
        <v>5.0096339113680152E-2</v>
      </c>
      <c r="R864">
        <f t="shared" si="123"/>
        <v>1</v>
      </c>
      <c r="S864">
        <f t="shared" si="124"/>
        <v>0</v>
      </c>
      <c r="T864">
        <f t="shared" si="125"/>
        <v>0</v>
      </c>
    </row>
    <row r="865" spans="1:20">
      <c r="A865" t="s">
        <v>1391</v>
      </c>
      <c r="B865" t="s">
        <v>22</v>
      </c>
      <c r="C865" t="s">
        <v>23</v>
      </c>
      <c r="D865">
        <v>833</v>
      </c>
      <c r="E865" s="4">
        <v>46080</v>
      </c>
      <c r="F865" s="4">
        <v>46088</v>
      </c>
      <c r="G865" s="4">
        <v>46088</v>
      </c>
      <c r="H865">
        <v>840</v>
      </c>
      <c r="I865" t="s">
        <v>726</v>
      </c>
      <c r="J865">
        <v>28</v>
      </c>
      <c r="K865" t="s">
        <v>1563</v>
      </c>
      <c r="L865" t="str">
        <f t="shared" si="117"/>
        <v>Y</v>
      </c>
      <c r="M865" t="str">
        <f t="shared" si="118"/>
        <v>Y</v>
      </c>
      <c r="N865" t="str">
        <f t="shared" si="119"/>
        <v>Y</v>
      </c>
      <c r="O865">
        <f t="shared" si="120"/>
        <v>8</v>
      </c>
      <c r="P865" s="6">
        <f t="shared" si="121"/>
        <v>1.0084033613445378</v>
      </c>
      <c r="Q865" s="6">
        <f t="shared" si="122"/>
        <v>3.3333333333333333E-2</v>
      </c>
      <c r="R865">
        <f t="shared" si="123"/>
        <v>1</v>
      </c>
      <c r="S865">
        <f t="shared" si="124"/>
        <v>0</v>
      </c>
      <c r="T865">
        <f t="shared" si="125"/>
        <v>0</v>
      </c>
    </row>
    <row r="866" spans="1:20">
      <c r="A866" t="s">
        <v>1392</v>
      </c>
      <c r="B866" t="s">
        <v>70</v>
      </c>
      <c r="C866" t="s">
        <v>12</v>
      </c>
      <c r="D866">
        <v>771</v>
      </c>
      <c r="E866" s="4">
        <v>46157</v>
      </c>
      <c r="F866" s="4">
        <v>46164</v>
      </c>
      <c r="G866" s="4">
        <v>46164</v>
      </c>
      <c r="H866">
        <v>756</v>
      </c>
      <c r="I866" t="s">
        <v>129</v>
      </c>
      <c r="J866">
        <v>12</v>
      </c>
      <c r="K866" t="s">
        <v>1563</v>
      </c>
      <c r="L866" t="str">
        <f t="shared" si="117"/>
        <v>Y</v>
      </c>
      <c r="M866" t="str">
        <f t="shared" si="118"/>
        <v>Y</v>
      </c>
      <c r="N866" t="str">
        <f t="shared" si="119"/>
        <v>Y</v>
      </c>
      <c r="O866">
        <f t="shared" si="120"/>
        <v>7</v>
      </c>
      <c r="P866" s="6">
        <f t="shared" si="121"/>
        <v>0.98054474708171202</v>
      </c>
      <c r="Q866" s="6">
        <f t="shared" si="122"/>
        <v>1.5873015873015872E-2</v>
      </c>
      <c r="R866">
        <f t="shared" si="123"/>
        <v>1</v>
      </c>
      <c r="S866">
        <f t="shared" si="124"/>
        <v>0</v>
      </c>
      <c r="T866">
        <f t="shared" si="125"/>
        <v>0</v>
      </c>
    </row>
    <row r="867" spans="1:20">
      <c r="A867" t="s">
        <v>1393</v>
      </c>
      <c r="B867" t="s">
        <v>70</v>
      </c>
      <c r="C867" t="s">
        <v>16</v>
      </c>
      <c r="D867">
        <v>963</v>
      </c>
      <c r="E867" s="4">
        <v>46042</v>
      </c>
      <c r="F867" s="4">
        <v>46048</v>
      </c>
      <c r="G867" s="4">
        <v>46055</v>
      </c>
      <c r="H867">
        <v>979</v>
      </c>
      <c r="I867" t="s">
        <v>643</v>
      </c>
      <c r="J867">
        <v>20</v>
      </c>
      <c r="K867" t="s">
        <v>1563</v>
      </c>
      <c r="L867" t="str">
        <f t="shared" si="117"/>
        <v>N</v>
      </c>
      <c r="M867" t="str">
        <f t="shared" si="118"/>
        <v>Y</v>
      </c>
      <c r="N867" t="str">
        <f t="shared" si="119"/>
        <v>N</v>
      </c>
      <c r="O867">
        <f t="shared" si="120"/>
        <v>13</v>
      </c>
      <c r="P867" s="6">
        <f t="shared" si="121"/>
        <v>1.0166147455867083</v>
      </c>
      <c r="Q867" s="6">
        <f t="shared" si="122"/>
        <v>2.0429009193054137E-2</v>
      </c>
      <c r="R867">
        <f t="shared" si="123"/>
        <v>0</v>
      </c>
      <c r="S867">
        <f t="shared" si="124"/>
        <v>7</v>
      </c>
      <c r="T867">
        <f t="shared" si="125"/>
        <v>3500</v>
      </c>
    </row>
    <row r="868" spans="1:20">
      <c r="A868" t="s">
        <v>1394</v>
      </c>
      <c r="B868" t="s">
        <v>54</v>
      </c>
      <c r="C868" t="s">
        <v>16</v>
      </c>
      <c r="D868">
        <v>284</v>
      </c>
      <c r="E868" s="4">
        <v>46152</v>
      </c>
      <c r="F868" s="4">
        <v>46166</v>
      </c>
      <c r="G868" s="4">
        <v>46173</v>
      </c>
      <c r="H868">
        <v>282</v>
      </c>
      <c r="I868" t="s">
        <v>277</v>
      </c>
      <c r="J868">
        <v>2</v>
      </c>
      <c r="K868" t="s">
        <v>1563</v>
      </c>
      <c r="L868" t="str">
        <f t="shared" si="117"/>
        <v>N</v>
      </c>
      <c r="M868" t="str">
        <f t="shared" si="118"/>
        <v>Y</v>
      </c>
      <c r="N868" t="str">
        <f t="shared" si="119"/>
        <v>N</v>
      </c>
      <c r="O868">
        <f t="shared" si="120"/>
        <v>21</v>
      </c>
      <c r="P868" s="6">
        <f t="shared" si="121"/>
        <v>0.99295774647887325</v>
      </c>
      <c r="Q868" s="6">
        <f t="shared" si="122"/>
        <v>7.0921985815602835E-3</v>
      </c>
      <c r="R868">
        <f t="shared" si="123"/>
        <v>0</v>
      </c>
      <c r="S868">
        <f t="shared" si="124"/>
        <v>7</v>
      </c>
      <c r="T868">
        <f t="shared" si="125"/>
        <v>3500</v>
      </c>
    </row>
    <row r="869" spans="1:20">
      <c r="A869" t="s">
        <v>1395</v>
      </c>
      <c r="B869" t="s">
        <v>64</v>
      </c>
      <c r="C869" t="s">
        <v>16</v>
      </c>
      <c r="D869">
        <v>814</v>
      </c>
      <c r="E869" s="4">
        <v>46110</v>
      </c>
      <c r="F869" s="4">
        <v>46116</v>
      </c>
      <c r="G869" s="4">
        <v>46122</v>
      </c>
      <c r="H869">
        <v>819</v>
      </c>
      <c r="I869" t="s">
        <v>1396</v>
      </c>
      <c r="J869">
        <v>14</v>
      </c>
      <c r="K869" t="s">
        <v>1563</v>
      </c>
      <c r="L869" t="str">
        <f t="shared" si="117"/>
        <v>N</v>
      </c>
      <c r="M869" t="str">
        <f t="shared" si="118"/>
        <v>Y</v>
      </c>
      <c r="N869" t="str">
        <f t="shared" si="119"/>
        <v>N</v>
      </c>
      <c r="O869">
        <f t="shared" si="120"/>
        <v>12</v>
      </c>
      <c r="P869" s="6">
        <f t="shared" si="121"/>
        <v>1.0061425061425062</v>
      </c>
      <c r="Q869" s="6">
        <f t="shared" si="122"/>
        <v>1.7094017094017096E-2</v>
      </c>
      <c r="R869">
        <f t="shared" si="123"/>
        <v>0</v>
      </c>
      <c r="S869">
        <f t="shared" si="124"/>
        <v>6</v>
      </c>
      <c r="T869">
        <f t="shared" si="125"/>
        <v>3000</v>
      </c>
    </row>
    <row r="870" spans="1:20">
      <c r="A870" t="s">
        <v>1397</v>
      </c>
      <c r="B870" t="s">
        <v>177</v>
      </c>
      <c r="C870" t="s">
        <v>12</v>
      </c>
      <c r="D870">
        <v>638</v>
      </c>
      <c r="E870" s="4">
        <v>46042</v>
      </c>
      <c r="F870" s="4">
        <v>46049</v>
      </c>
      <c r="G870" s="4">
        <v>46048</v>
      </c>
      <c r="H870">
        <v>627</v>
      </c>
      <c r="I870" t="s">
        <v>212</v>
      </c>
      <c r="J870">
        <v>32</v>
      </c>
      <c r="K870" t="s">
        <v>1563</v>
      </c>
      <c r="L870" t="str">
        <f t="shared" si="117"/>
        <v>Y</v>
      </c>
      <c r="M870" t="str">
        <f t="shared" si="118"/>
        <v>Y</v>
      </c>
      <c r="N870" t="str">
        <f t="shared" si="119"/>
        <v>Y</v>
      </c>
      <c r="O870">
        <f t="shared" si="120"/>
        <v>6</v>
      </c>
      <c r="P870" s="6">
        <f t="shared" si="121"/>
        <v>0.98275862068965514</v>
      </c>
      <c r="Q870" s="6">
        <f t="shared" si="122"/>
        <v>5.1036682615629984E-2</v>
      </c>
      <c r="R870">
        <f t="shared" si="123"/>
        <v>1</v>
      </c>
      <c r="S870">
        <f t="shared" si="124"/>
        <v>0</v>
      </c>
      <c r="T870">
        <f t="shared" si="125"/>
        <v>0</v>
      </c>
    </row>
    <row r="871" spans="1:20">
      <c r="A871" t="s">
        <v>1398</v>
      </c>
      <c r="B871" t="s">
        <v>46</v>
      </c>
      <c r="C871" t="s">
        <v>23</v>
      </c>
      <c r="D871">
        <v>879</v>
      </c>
      <c r="E871" s="4">
        <v>46091</v>
      </c>
      <c r="F871" s="4">
        <v>46098</v>
      </c>
      <c r="G871" s="4">
        <v>46096</v>
      </c>
      <c r="H871">
        <v>885</v>
      </c>
      <c r="I871" t="s">
        <v>878</v>
      </c>
      <c r="J871">
        <v>6</v>
      </c>
      <c r="K871" t="s">
        <v>1563</v>
      </c>
      <c r="L871" t="str">
        <f t="shared" si="117"/>
        <v>Y</v>
      </c>
      <c r="M871" t="str">
        <f t="shared" si="118"/>
        <v>Y</v>
      </c>
      <c r="N871" t="str">
        <f t="shared" si="119"/>
        <v>Y</v>
      </c>
      <c r="O871">
        <f t="shared" si="120"/>
        <v>5</v>
      </c>
      <c r="P871" s="6">
        <f t="shared" si="121"/>
        <v>1.006825938566553</v>
      </c>
      <c r="Q871" s="6">
        <f t="shared" si="122"/>
        <v>6.7796610169491523E-3</v>
      </c>
      <c r="R871">
        <f t="shared" si="123"/>
        <v>1</v>
      </c>
      <c r="S871">
        <f t="shared" si="124"/>
        <v>0</v>
      </c>
      <c r="T871">
        <f t="shared" si="125"/>
        <v>0</v>
      </c>
    </row>
    <row r="872" spans="1:20">
      <c r="A872" t="s">
        <v>1399</v>
      </c>
      <c r="B872" t="s">
        <v>54</v>
      </c>
      <c r="C872" t="s">
        <v>16</v>
      </c>
      <c r="D872">
        <v>151</v>
      </c>
      <c r="E872" s="4">
        <v>46090</v>
      </c>
      <c r="F872" s="4">
        <v>46095</v>
      </c>
      <c r="G872" s="4">
        <v>46093</v>
      </c>
      <c r="H872">
        <v>151</v>
      </c>
      <c r="I872" t="s">
        <v>1400</v>
      </c>
      <c r="J872">
        <v>2</v>
      </c>
      <c r="K872" t="s">
        <v>1563</v>
      </c>
      <c r="L872" t="str">
        <f t="shared" si="117"/>
        <v>Y</v>
      </c>
      <c r="M872" t="str">
        <f t="shared" si="118"/>
        <v>Y</v>
      </c>
      <c r="N872" t="str">
        <f t="shared" si="119"/>
        <v>Y</v>
      </c>
      <c r="O872">
        <f t="shared" si="120"/>
        <v>3</v>
      </c>
      <c r="P872" s="6">
        <f t="shared" si="121"/>
        <v>1</v>
      </c>
      <c r="Q872" s="6">
        <f t="shared" si="122"/>
        <v>1.3245033112582781E-2</v>
      </c>
      <c r="R872">
        <f t="shared" si="123"/>
        <v>1</v>
      </c>
      <c r="S872">
        <f t="shared" si="124"/>
        <v>0</v>
      </c>
      <c r="T872">
        <f t="shared" si="125"/>
        <v>0</v>
      </c>
    </row>
    <row r="873" spans="1:20">
      <c r="A873" t="s">
        <v>1401</v>
      </c>
      <c r="B873" t="s">
        <v>40</v>
      </c>
      <c r="C873" t="s">
        <v>23</v>
      </c>
      <c r="D873">
        <v>188</v>
      </c>
      <c r="E873" s="4">
        <v>46083</v>
      </c>
      <c r="F873" s="4">
        <v>46094</v>
      </c>
      <c r="G873" s="4">
        <v>46092</v>
      </c>
      <c r="H873">
        <v>168</v>
      </c>
      <c r="I873" t="s">
        <v>1402</v>
      </c>
      <c r="J873">
        <v>7</v>
      </c>
      <c r="K873" t="s">
        <v>1563</v>
      </c>
      <c r="L873" t="str">
        <f t="shared" si="117"/>
        <v>Y</v>
      </c>
      <c r="M873" t="str">
        <f t="shared" si="118"/>
        <v>N</v>
      </c>
      <c r="N873" t="str">
        <f t="shared" si="119"/>
        <v>N</v>
      </c>
      <c r="O873">
        <f t="shared" si="120"/>
        <v>9</v>
      </c>
      <c r="P873" s="6">
        <f t="shared" si="121"/>
        <v>0.8936170212765957</v>
      </c>
      <c r="Q873" s="6">
        <f t="shared" si="122"/>
        <v>4.1666666666666664E-2</v>
      </c>
      <c r="R873">
        <f t="shared" si="123"/>
        <v>0</v>
      </c>
      <c r="S873">
        <f t="shared" si="124"/>
        <v>0</v>
      </c>
      <c r="T873">
        <f t="shared" si="125"/>
        <v>0</v>
      </c>
    </row>
    <row r="874" spans="1:20">
      <c r="A874" t="s">
        <v>1403</v>
      </c>
      <c r="B874" t="s">
        <v>32</v>
      </c>
      <c r="C874" t="s">
        <v>16</v>
      </c>
      <c r="D874">
        <v>465</v>
      </c>
      <c r="E874" s="4">
        <v>46132</v>
      </c>
      <c r="F874" s="4">
        <v>46143</v>
      </c>
      <c r="G874" s="4">
        <v>46143</v>
      </c>
      <c r="H874">
        <v>382</v>
      </c>
      <c r="I874" t="s">
        <v>158</v>
      </c>
      <c r="J874">
        <v>28</v>
      </c>
      <c r="K874" t="s">
        <v>1563</v>
      </c>
      <c r="L874" t="str">
        <f t="shared" si="117"/>
        <v>Y</v>
      </c>
      <c r="M874" t="str">
        <f t="shared" si="118"/>
        <v>N</v>
      </c>
      <c r="N874" t="str">
        <f t="shared" si="119"/>
        <v>N</v>
      </c>
      <c r="O874">
        <f t="shared" si="120"/>
        <v>11</v>
      </c>
      <c r="P874" s="6">
        <f t="shared" si="121"/>
        <v>0.82150537634408605</v>
      </c>
      <c r="Q874" s="6">
        <f t="shared" si="122"/>
        <v>7.3298429319371722E-2</v>
      </c>
      <c r="R874">
        <f t="shared" si="123"/>
        <v>0</v>
      </c>
      <c r="S874">
        <f t="shared" si="124"/>
        <v>0</v>
      </c>
      <c r="T874">
        <f t="shared" si="125"/>
        <v>0</v>
      </c>
    </row>
    <row r="875" spans="1:20">
      <c r="A875" t="s">
        <v>1404</v>
      </c>
      <c r="B875" t="s">
        <v>64</v>
      </c>
      <c r="C875" t="s">
        <v>16</v>
      </c>
      <c r="D875">
        <v>393</v>
      </c>
      <c r="E875" s="4">
        <v>46083</v>
      </c>
      <c r="F875" s="4">
        <v>46092</v>
      </c>
      <c r="G875" s="4">
        <v>46089</v>
      </c>
      <c r="H875">
        <v>388</v>
      </c>
      <c r="I875" t="s">
        <v>1227</v>
      </c>
      <c r="J875">
        <v>18</v>
      </c>
      <c r="K875" t="s">
        <v>1563</v>
      </c>
      <c r="L875" t="str">
        <f t="shared" si="117"/>
        <v>Y</v>
      </c>
      <c r="M875" t="str">
        <f t="shared" si="118"/>
        <v>Y</v>
      </c>
      <c r="N875" t="str">
        <f t="shared" si="119"/>
        <v>Y</v>
      </c>
      <c r="O875">
        <f t="shared" si="120"/>
        <v>6</v>
      </c>
      <c r="P875" s="6">
        <f t="shared" si="121"/>
        <v>0.98727735368956748</v>
      </c>
      <c r="Q875" s="6">
        <f t="shared" si="122"/>
        <v>4.6391752577319589E-2</v>
      </c>
      <c r="R875">
        <f t="shared" si="123"/>
        <v>1</v>
      </c>
      <c r="S875">
        <f t="shared" si="124"/>
        <v>0</v>
      </c>
      <c r="T875">
        <f t="shared" si="125"/>
        <v>0</v>
      </c>
    </row>
    <row r="876" spans="1:20">
      <c r="A876" t="s">
        <v>1405</v>
      </c>
      <c r="B876" t="s">
        <v>49</v>
      </c>
      <c r="C876" t="s">
        <v>16</v>
      </c>
      <c r="D876">
        <v>298</v>
      </c>
      <c r="E876" s="4">
        <v>46111</v>
      </c>
      <c r="F876" s="4">
        <v>46116</v>
      </c>
      <c r="G876" s="4">
        <v>46113</v>
      </c>
      <c r="H876">
        <v>294</v>
      </c>
      <c r="I876" t="s">
        <v>805</v>
      </c>
      <c r="J876">
        <v>4</v>
      </c>
      <c r="K876" t="s">
        <v>1563</v>
      </c>
      <c r="L876" t="str">
        <f t="shared" si="117"/>
        <v>Y</v>
      </c>
      <c r="M876" t="str">
        <f t="shared" si="118"/>
        <v>Y</v>
      </c>
      <c r="N876" t="str">
        <f t="shared" si="119"/>
        <v>Y</v>
      </c>
      <c r="O876">
        <f t="shared" si="120"/>
        <v>2</v>
      </c>
      <c r="P876" s="6">
        <f t="shared" si="121"/>
        <v>0.98657718120805371</v>
      </c>
      <c r="Q876" s="6">
        <f t="shared" si="122"/>
        <v>1.3605442176870748E-2</v>
      </c>
      <c r="R876">
        <f t="shared" si="123"/>
        <v>1</v>
      </c>
      <c r="S876">
        <f t="shared" si="124"/>
        <v>0</v>
      </c>
      <c r="T876">
        <f t="shared" si="125"/>
        <v>0</v>
      </c>
    </row>
    <row r="877" spans="1:20">
      <c r="A877" t="s">
        <v>1406</v>
      </c>
      <c r="B877" t="s">
        <v>67</v>
      </c>
      <c r="C877" t="s">
        <v>16</v>
      </c>
      <c r="D877">
        <v>493</v>
      </c>
      <c r="E877" s="4">
        <v>46063</v>
      </c>
      <c r="F877" s="4">
        <v>46070</v>
      </c>
      <c r="G877" s="4">
        <v>46068</v>
      </c>
      <c r="H877">
        <v>419</v>
      </c>
      <c r="I877" t="s">
        <v>1407</v>
      </c>
      <c r="J877">
        <v>19</v>
      </c>
      <c r="K877" t="s">
        <v>1563</v>
      </c>
      <c r="L877" t="str">
        <f t="shared" si="117"/>
        <v>Y</v>
      </c>
      <c r="M877" t="str">
        <f t="shared" si="118"/>
        <v>N</v>
      </c>
      <c r="N877" t="str">
        <f t="shared" si="119"/>
        <v>N</v>
      </c>
      <c r="O877">
        <f t="shared" si="120"/>
        <v>5</v>
      </c>
      <c r="P877" s="6">
        <f t="shared" si="121"/>
        <v>0.84989858012170383</v>
      </c>
      <c r="Q877" s="6">
        <f t="shared" si="122"/>
        <v>4.5346062052505964E-2</v>
      </c>
      <c r="R877">
        <f t="shared" si="123"/>
        <v>0</v>
      </c>
      <c r="S877">
        <f t="shared" si="124"/>
        <v>0</v>
      </c>
      <c r="T877">
        <f t="shared" si="125"/>
        <v>0</v>
      </c>
    </row>
    <row r="878" spans="1:20">
      <c r="A878" t="s">
        <v>1408</v>
      </c>
      <c r="B878" t="s">
        <v>32</v>
      </c>
      <c r="C878" t="s">
        <v>16</v>
      </c>
      <c r="D878">
        <v>424</v>
      </c>
      <c r="E878" s="4">
        <v>46116</v>
      </c>
      <c r="F878" s="4">
        <v>46130</v>
      </c>
      <c r="G878" s="4">
        <v>46128</v>
      </c>
      <c r="H878">
        <v>371</v>
      </c>
      <c r="I878" t="s">
        <v>813</v>
      </c>
      <c r="J878">
        <v>18</v>
      </c>
      <c r="K878" t="s">
        <v>1563</v>
      </c>
      <c r="L878" t="str">
        <f t="shared" si="117"/>
        <v>Y</v>
      </c>
      <c r="M878" t="str">
        <f t="shared" si="118"/>
        <v>N</v>
      </c>
      <c r="N878" t="str">
        <f t="shared" si="119"/>
        <v>N</v>
      </c>
      <c r="O878">
        <f t="shared" si="120"/>
        <v>12</v>
      </c>
      <c r="P878" s="6">
        <f t="shared" si="121"/>
        <v>0.875</v>
      </c>
      <c r="Q878" s="6">
        <f t="shared" si="122"/>
        <v>4.8517520215633422E-2</v>
      </c>
      <c r="R878">
        <f t="shared" si="123"/>
        <v>0</v>
      </c>
      <c r="S878">
        <f t="shared" si="124"/>
        <v>0</v>
      </c>
      <c r="T878">
        <f t="shared" si="125"/>
        <v>0</v>
      </c>
    </row>
    <row r="879" spans="1:20">
      <c r="A879" t="s">
        <v>1409</v>
      </c>
      <c r="B879" t="s">
        <v>43</v>
      </c>
      <c r="C879" t="s">
        <v>12</v>
      </c>
      <c r="D879">
        <v>446</v>
      </c>
      <c r="E879" s="4">
        <v>46144</v>
      </c>
      <c r="F879" s="4">
        <v>46150</v>
      </c>
      <c r="G879" s="4">
        <v>46148</v>
      </c>
      <c r="H879">
        <v>446</v>
      </c>
      <c r="I879" t="s">
        <v>1244</v>
      </c>
      <c r="J879">
        <v>29</v>
      </c>
      <c r="K879" t="s">
        <v>1563</v>
      </c>
      <c r="L879" t="str">
        <f t="shared" si="117"/>
        <v>Y</v>
      </c>
      <c r="M879" t="str">
        <f t="shared" si="118"/>
        <v>Y</v>
      </c>
      <c r="N879" t="str">
        <f t="shared" si="119"/>
        <v>Y</v>
      </c>
      <c r="O879">
        <f t="shared" si="120"/>
        <v>4</v>
      </c>
      <c r="P879" s="6">
        <f t="shared" si="121"/>
        <v>1</v>
      </c>
      <c r="Q879" s="6">
        <f t="shared" si="122"/>
        <v>6.5022421524663671E-2</v>
      </c>
      <c r="R879">
        <f t="shared" si="123"/>
        <v>1</v>
      </c>
      <c r="S879">
        <f t="shared" si="124"/>
        <v>0</v>
      </c>
      <c r="T879">
        <f t="shared" si="125"/>
        <v>0</v>
      </c>
    </row>
    <row r="880" spans="1:20">
      <c r="A880" t="s">
        <v>1410</v>
      </c>
      <c r="B880" t="s">
        <v>177</v>
      </c>
      <c r="C880" t="s">
        <v>12</v>
      </c>
      <c r="D880">
        <v>296</v>
      </c>
      <c r="E880" s="4">
        <v>46105</v>
      </c>
      <c r="F880" s="4">
        <v>46117</v>
      </c>
      <c r="G880" s="4">
        <v>46115</v>
      </c>
      <c r="H880">
        <v>297</v>
      </c>
      <c r="I880" t="s">
        <v>221</v>
      </c>
      <c r="J880">
        <v>7</v>
      </c>
      <c r="K880" t="s">
        <v>1563</v>
      </c>
      <c r="L880" t="str">
        <f t="shared" si="117"/>
        <v>Y</v>
      </c>
      <c r="M880" t="str">
        <f t="shared" si="118"/>
        <v>Y</v>
      </c>
      <c r="N880" t="str">
        <f t="shared" si="119"/>
        <v>Y</v>
      </c>
      <c r="O880">
        <f t="shared" si="120"/>
        <v>10</v>
      </c>
      <c r="P880" s="6">
        <f t="shared" si="121"/>
        <v>1.0033783783783783</v>
      </c>
      <c r="Q880" s="6">
        <f t="shared" si="122"/>
        <v>2.3569023569023569E-2</v>
      </c>
      <c r="R880">
        <f t="shared" si="123"/>
        <v>1</v>
      </c>
      <c r="S880">
        <f t="shared" si="124"/>
        <v>0</v>
      </c>
      <c r="T880">
        <f t="shared" si="125"/>
        <v>0</v>
      </c>
    </row>
    <row r="881" spans="1:20">
      <c r="A881" t="s">
        <v>1411</v>
      </c>
      <c r="B881" t="s">
        <v>40</v>
      </c>
      <c r="C881" t="s">
        <v>23</v>
      </c>
      <c r="D881">
        <v>885</v>
      </c>
      <c r="E881" s="4">
        <v>46147</v>
      </c>
      <c r="F881" s="4">
        <v>46156</v>
      </c>
      <c r="G881" s="4">
        <v>46154</v>
      </c>
      <c r="H881">
        <v>876</v>
      </c>
      <c r="I881" t="s">
        <v>824</v>
      </c>
      <c r="J881">
        <v>75</v>
      </c>
      <c r="K881" t="s">
        <v>1563</v>
      </c>
      <c r="L881" t="str">
        <f t="shared" si="117"/>
        <v>Y</v>
      </c>
      <c r="M881" t="str">
        <f t="shared" si="118"/>
        <v>Y</v>
      </c>
      <c r="N881" t="str">
        <f t="shared" si="119"/>
        <v>Y</v>
      </c>
      <c r="O881">
        <f t="shared" si="120"/>
        <v>7</v>
      </c>
      <c r="P881" s="6">
        <f t="shared" si="121"/>
        <v>0.98983050847457632</v>
      </c>
      <c r="Q881" s="6">
        <f t="shared" si="122"/>
        <v>8.5616438356164379E-2</v>
      </c>
      <c r="R881">
        <f t="shared" si="123"/>
        <v>1</v>
      </c>
      <c r="S881">
        <f t="shared" si="124"/>
        <v>0</v>
      </c>
      <c r="T881">
        <f t="shared" si="125"/>
        <v>0</v>
      </c>
    </row>
    <row r="882" spans="1:20">
      <c r="A882" t="s">
        <v>1412</v>
      </c>
      <c r="B882" t="s">
        <v>70</v>
      </c>
      <c r="C882" t="s">
        <v>16</v>
      </c>
      <c r="D882">
        <v>900</v>
      </c>
      <c r="E882" s="4">
        <v>46135</v>
      </c>
      <c r="F882" s="4">
        <v>46145</v>
      </c>
      <c r="G882" s="4">
        <v>46144</v>
      </c>
      <c r="H882">
        <v>912</v>
      </c>
      <c r="I882" t="s">
        <v>904</v>
      </c>
      <c r="J882">
        <v>17</v>
      </c>
      <c r="K882" t="s">
        <v>1563</v>
      </c>
      <c r="L882" t="str">
        <f t="shared" si="117"/>
        <v>Y</v>
      </c>
      <c r="M882" t="str">
        <f t="shared" si="118"/>
        <v>Y</v>
      </c>
      <c r="N882" t="str">
        <f t="shared" si="119"/>
        <v>Y</v>
      </c>
      <c r="O882">
        <f t="shared" si="120"/>
        <v>9</v>
      </c>
      <c r="P882" s="6">
        <f t="shared" si="121"/>
        <v>1.0133333333333334</v>
      </c>
      <c r="Q882" s="6">
        <f t="shared" si="122"/>
        <v>1.8640350877192981E-2</v>
      </c>
      <c r="R882">
        <f t="shared" si="123"/>
        <v>1</v>
      </c>
      <c r="S882">
        <f t="shared" si="124"/>
        <v>0</v>
      </c>
      <c r="T882">
        <f t="shared" si="125"/>
        <v>0</v>
      </c>
    </row>
    <row r="883" spans="1:20">
      <c r="A883" t="s">
        <v>1413</v>
      </c>
      <c r="B883" t="s">
        <v>29</v>
      </c>
      <c r="C883" t="s">
        <v>23</v>
      </c>
      <c r="D883">
        <v>565</v>
      </c>
      <c r="E883" s="4">
        <v>46150</v>
      </c>
      <c r="F883" s="4">
        <v>46163</v>
      </c>
      <c r="G883" s="4">
        <v>46163</v>
      </c>
      <c r="H883">
        <v>575</v>
      </c>
      <c r="I883" t="s">
        <v>1414</v>
      </c>
      <c r="J883">
        <v>3</v>
      </c>
      <c r="K883" t="s">
        <v>1563</v>
      </c>
      <c r="L883" t="str">
        <f t="shared" si="117"/>
        <v>Y</v>
      </c>
      <c r="M883" t="str">
        <f t="shared" si="118"/>
        <v>Y</v>
      </c>
      <c r="N883" t="str">
        <f t="shared" si="119"/>
        <v>Y</v>
      </c>
      <c r="O883">
        <f t="shared" si="120"/>
        <v>13</v>
      </c>
      <c r="P883" s="6">
        <f t="shared" si="121"/>
        <v>1.0176991150442478</v>
      </c>
      <c r="Q883" s="6">
        <f t="shared" si="122"/>
        <v>5.2173913043478265E-3</v>
      </c>
      <c r="R883">
        <f t="shared" si="123"/>
        <v>1</v>
      </c>
      <c r="S883">
        <f t="shared" si="124"/>
        <v>0</v>
      </c>
      <c r="T883">
        <f t="shared" si="125"/>
        <v>0</v>
      </c>
    </row>
    <row r="884" spans="1:20">
      <c r="A884" t="s">
        <v>1415</v>
      </c>
      <c r="B884" t="s">
        <v>40</v>
      </c>
      <c r="C884" t="s">
        <v>16</v>
      </c>
      <c r="D884">
        <v>499</v>
      </c>
      <c r="E884" s="4">
        <v>46101</v>
      </c>
      <c r="F884" s="4">
        <v>46113</v>
      </c>
      <c r="G884" s="4">
        <v>46110</v>
      </c>
      <c r="H884">
        <v>493</v>
      </c>
      <c r="I884" t="s">
        <v>1290</v>
      </c>
      <c r="J884">
        <v>36</v>
      </c>
      <c r="K884" t="s">
        <v>1563</v>
      </c>
      <c r="L884" t="str">
        <f t="shared" si="117"/>
        <v>Y</v>
      </c>
      <c r="M884" t="str">
        <f t="shared" si="118"/>
        <v>Y</v>
      </c>
      <c r="N884" t="str">
        <f t="shared" si="119"/>
        <v>Y</v>
      </c>
      <c r="O884">
        <f t="shared" si="120"/>
        <v>9</v>
      </c>
      <c r="P884" s="6">
        <f t="shared" si="121"/>
        <v>0.9879759519038076</v>
      </c>
      <c r="Q884" s="6">
        <f t="shared" si="122"/>
        <v>7.3022312373225151E-2</v>
      </c>
      <c r="R884">
        <f t="shared" si="123"/>
        <v>1</v>
      </c>
      <c r="S884">
        <f t="shared" si="124"/>
        <v>0</v>
      </c>
      <c r="T884">
        <f t="shared" si="125"/>
        <v>0</v>
      </c>
    </row>
    <row r="885" spans="1:20">
      <c r="A885" t="s">
        <v>1416</v>
      </c>
      <c r="B885" t="s">
        <v>29</v>
      </c>
      <c r="C885" t="s">
        <v>16</v>
      </c>
      <c r="D885">
        <v>774</v>
      </c>
      <c r="E885" s="4">
        <v>46067</v>
      </c>
      <c r="F885" s="4">
        <v>46073</v>
      </c>
      <c r="G885" s="4">
        <v>46079</v>
      </c>
      <c r="H885">
        <v>774</v>
      </c>
      <c r="I885" t="s">
        <v>1417</v>
      </c>
      <c r="J885">
        <v>2</v>
      </c>
      <c r="K885" t="s">
        <v>1563</v>
      </c>
      <c r="L885" t="str">
        <f t="shared" si="117"/>
        <v>N</v>
      </c>
      <c r="M885" t="str">
        <f t="shared" si="118"/>
        <v>Y</v>
      </c>
      <c r="N885" t="str">
        <f t="shared" si="119"/>
        <v>N</v>
      </c>
      <c r="O885">
        <f t="shared" si="120"/>
        <v>12</v>
      </c>
      <c r="P885" s="6">
        <f t="shared" si="121"/>
        <v>1</v>
      </c>
      <c r="Q885" s="6">
        <f t="shared" si="122"/>
        <v>2.5839793281653748E-3</v>
      </c>
      <c r="R885">
        <f t="shared" si="123"/>
        <v>0</v>
      </c>
      <c r="S885">
        <f t="shared" si="124"/>
        <v>6</v>
      </c>
      <c r="T885">
        <f t="shared" si="125"/>
        <v>3000</v>
      </c>
    </row>
    <row r="886" spans="1:20">
      <c r="A886" t="s">
        <v>1418</v>
      </c>
      <c r="B886" t="s">
        <v>54</v>
      </c>
      <c r="C886" t="s">
        <v>16</v>
      </c>
      <c r="D886">
        <v>369</v>
      </c>
      <c r="E886" s="4">
        <v>46030</v>
      </c>
      <c r="F886" s="4">
        <v>46037</v>
      </c>
      <c r="G886" s="4">
        <v>46036</v>
      </c>
      <c r="H886">
        <v>313</v>
      </c>
      <c r="I886" t="s">
        <v>301</v>
      </c>
      <c r="J886">
        <v>7</v>
      </c>
      <c r="K886" t="s">
        <v>1563</v>
      </c>
      <c r="L886" t="str">
        <f t="shared" si="117"/>
        <v>Y</v>
      </c>
      <c r="M886" t="str">
        <f t="shared" si="118"/>
        <v>N</v>
      </c>
      <c r="N886" t="str">
        <f t="shared" si="119"/>
        <v>N</v>
      </c>
      <c r="O886">
        <f t="shared" si="120"/>
        <v>6</v>
      </c>
      <c r="P886" s="6">
        <f t="shared" si="121"/>
        <v>0.8482384823848238</v>
      </c>
      <c r="Q886" s="6">
        <f t="shared" si="122"/>
        <v>2.2364217252396165E-2</v>
      </c>
      <c r="R886">
        <f t="shared" si="123"/>
        <v>0</v>
      </c>
      <c r="S886">
        <f t="shared" si="124"/>
        <v>0</v>
      </c>
      <c r="T886">
        <f t="shared" si="125"/>
        <v>0</v>
      </c>
    </row>
    <row r="887" spans="1:20">
      <c r="A887" t="s">
        <v>1419</v>
      </c>
      <c r="B887" t="s">
        <v>40</v>
      </c>
      <c r="C887" t="s">
        <v>16</v>
      </c>
      <c r="D887">
        <v>93</v>
      </c>
      <c r="E887" s="4">
        <v>46174</v>
      </c>
      <c r="F887" s="4">
        <v>46180</v>
      </c>
      <c r="G887" s="4">
        <v>46178</v>
      </c>
      <c r="H887">
        <v>94</v>
      </c>
      <c r="I887" t="s">
        <v>472</v>
      </c>
      <c r="J887">
        <v>5</v>
      </c>
      <c r="K887" t="s">
        <v>1563</v>
      </c>
      <c r="L887" t="str">
        <f t="shared" si="117"/>
        <v>Y</v>
      </c>
      <c r="M887" t="str">
        <f t="shared" si="118"/>
        <v>Y</v>
      </c>
      <c r="N887" t="str">
        <f t="shared" si="119"/>
        <v>Y</v>
      </c>
      <c r="O887">
        <f t="shared" si="120"/>
        <v>4</v>
      </c>
      <c r="P887" s="6">
        <f t="shared" si="121"/>
        <v>1.010752688172043</v>
      </c>
      <c r="Q887" s="6">
        <f t="shared" si="122"/>
        <v>5.3191489361702128E-2</v>
      </c>
      <c r="R887">
        <f t="shared" si="123"/>
        <v>1</v>
      </c>
      <c r="S887">
        <f t="shared" si="124"/>
        <v>0</v>
      </c>
      <c r="T887">
        <f t="shared" si="125"/>
        <v>0</v>
      </c>
    </row>
    <row r="888" spans="1:20">
      <c r="A888" t="s">
        <v>1420</v>
      </c>
      <c r="B888" t="s">
        <v>67</v>
      </c>
      <c r="C888" t="s">
        <v>12</v>
      </c>
      <c r="D888">
        <v>312</v>
      </c>
      <c r="E888" s="4">
        <v>46115</v>
      </c>
      <c r="F888" s="4">
        <v>46124</v>
      </c>
      <c r="G888" s="4">
        <v>46131</v>
      </c>
      <c r="H888">
        <v>308</v>
      </c>
      <c r="I888" t="s">
        <v>231</v>
      </c>
      <c r="J888">
        <v>7</v>
      </c>
      <c r="K888" t="s">
        <v>1563</v>
      </c>
      <c r="L888" t="str">
        <f t="shared" si="117"/>
        <v>N</v>
      </c>
      <c r="M888" t="str">
        <f t="shared" si="118"/>
        <v>Y</v>
      </c>
      <c r="N888" t="str">
        <f t="shared" si="119"/>
        <v>N</v>
      </c>
      <c r="O888">
        <f t="shared" si="120"/>
        <v>16</v>
      </c>
      <c r="P888" s="6">
        <f t="shared" si="121"/>
        <v>0.98717948717948723</v>
      </c>
      <c r="Q888" s="6">
        <f t="shared" si="122"/>
        <v>2.2727272727272728E-2</v>
      </c>
      <c r="R888">
        <f t="shared" si="123"/>
        <v>0</v>
      </c>
      <c r="S888">
        <f t="shared" si="124"/>
        <v>7</v>
      </c>
      <c r="T888">
        <f t="shared" si="125"/>
        <v>3500</v>
      </c>
    </row>
    <row r="889" spans="1:20">
      <c r="A889" t="s">
        <v>1422</v>
      </c>
      <c r="B889" t="s">
        <v>29</v>
      </c>
      <c r="C889" t="s">
        <v>16</v>
      </c>
      <c r="D889">
        <v>524</v>
      </c>
      <c r="E889" s="4">
        <v>46117</v>
      </c>
      <c r="F889" s="4">
        <v>46131</v>
      </c>
      <c r="G889" s="4">
        <v>46130</v>
      </c>
      <c r="H889">
        <v>481</v>
      </c>
      <c r="I889" t="s">
        <v>150</v>
      </c>
      <c r="J889">
        <v>6</v>
      </c>
      <c r="K889" t="s">
        <v>1563</v>
      </c>
      <c r="L889" t="str">
        <f t="shared" si="117"/>
        <v>Y</v>
      </c>
      <c r="M889" t="str">
        <f t="shared" si="118"/>
        <v>N</v>
      </c>
      <c r="N889" t="str">
        <f t="shared" si="119"/>
        <v>N</v>
      </c>
      <c r="O889">
        <f t="shared" si="120"/>
        <v>13</v>
      </c>
      <c r="P889" s="6">
        <f t="shared" si="121"/>
        <v>0.91793893129770987</v>
      </c>
      <c r="Q889" s="6">
        <f t="shared" si="122"/>
        <v>1.2474012474012475E-2</v>
      </c>
      <c r="R889">
        <f t="shared" si="123"/>
        <v>0</v>
      </c>
      <c r="S889">
        <f t="shared" si="124"/>
        <v>0</v>
      </c>
      <c r="T889">
        <f t="shared" si="125"/>
        <v>0</v>
      </c>
    </row>
    <row r="890" spans="1:20">
      <c r="A890" t="s">
        <v>1423</v>
      </c>
      <c r="B890" t="s">
        <v>67</v>
      </c>
      <c r="C890" t="s">
        <v>23</v>
      </c>
      <c r="D890">
        <v>399</v>
      </c>
      <c r="E890" s="4">
        <v>46140</v>
      </c>
      <c r="F890" s="4">
        <v>46154</v>
      </c>
      <c r="G890" s="4">
        <v>46156</v>
      </c>
      <c r="H890">
        <v>394</v>
      </c>
      <c r="I890" t="s">
        <v>1376</v>
      </c>
      <c r="J890">
        <v>0</v>
      </c>
      <c r="K890" t="s">
        <v>1563</v>
      </c>
      <c r="L890" t="str">
        <f t="shared" si="117"/>
        <v>N</v>
      </c>
      <c r="M890" t="str">
        <f t="shared" si="118"/>
        <v>Y</v>
      </c>
      <c r="N890" t="str">
        <f t="shared" si="119"/>
        <v>N</v>
      </c>
      <c r="O890">
        <f t="shared" si="120"/>
        <v>16</v>
      </c>
      <c r="P890" s="6">
        <f t="shared" si="121"/>
        <v>0.98746867167919794</v>
      </c>
      <c r="Q890" s="6">
        <f t="shared" si="122"/>
        <v>0</v>
      </c>
      <c r="R890">
        <f t="shared" si="123"/>
        <v>0</v>
      </c>
      <c r="S890">
        <f t="shared" si="124"/>
        <v>2</v>
      </c>
      <c r="T890">
        <f t="shared" si="125"/>
        <v>1000</v>
      </c>
    </row>
    <row r="891" spans="1:20">
      <c r="A891" t="s">
        <v>1424</v>
      </c>
      <c r="B891" t="s">
        <v>70</v>
      </c>
      <c r="C891" t="s">
        <v>12</v>
      </c>
      <c r="D891">
        <v>385</v>
      </c>
      <c r="E891" s="4">
        <v>46135</v>
      </c>
      <c r="F891" s="4">
        <v>46142</v>
      </c>
      <c r="G891" s="4">
        <v>46143</v>
      </c>
      <c r="H891">
        <v>357</v>
      </c>
      <c r="I891" t="s">
        <v>105</v>
      </c>
      <c r="J891">
        <v>8</v>
      </c>
      <c r="K891" t="s">
        <v>1563</v>
      </c>
      <c r="L891" t="str">
        <f t="shared" si="117"/>
        <v>N</v>
      </c>
      <c r="M891" t="str">
        <f t="shared" si="118"/>
        <v>N</v>
      </c>
      <c r="N891" t="str">
        <f t="shared" si="119"/>
        <v>N</v>
      </c>
      <c r="O891">
        <f t="shared" si="120"/>
        <v>8</v>
      </c>
      <c r="P891" s="6">
        <f t="shared" si="121"/>
        <v>0.92727272727272725</v>
      </c>
      <c r="Q891" s="6">
        <f t="shared" si="122"/>
        <v>2.2408963585434174E-2</v>
      </c>
      <c r="R891">
        <f t="shared" si="123"/>
        <v>0</v>
      </c>
      <c r="S891">
        <f t="shared" si="124"/>
        <v>1</v>
      </c>
      <c r="T891">
        <f t="shared" si="125"/>
        <v>500</v>
      </c>
    </row>
    <row r="892" spans="1:20">
      <c r="A892" t="s">
        <v>1425</v>
      </c>
      <c r="B892" t="s">
        <v>52</v>
      </c>
      <c r="C892" t="s">
        <v>16</v>
      </c>
      <c r="D892">
        <v>948</v>
      </c>
      <c r="E892" s="4">
        <v>46102</v>
      </c>
      <c r="F892" s="4">
        <v>46111</v>
      </c>
      <c r="G892" s="4">
        <v>46111</v>
      </c>
      <c r="H892">
        <v>939</v>
      </c>
      <c r="I892" t="s">
        <v>1115</v>
      </c>
      <c r="J892">
        <v>1</v>
      </c>
      <c r="K892" t="s">
        <v>1563</v>
      </c>
      <c r="L892" t="str">
        <f t="shared" si="117"/>
        <v>Y</v>
      </c>
      <c r="M892" t="str">
        <f t="shared" si="118"/>
        <v>Y</v>
      </c>
      <c r="N892" t="str">
        <f t="shared" si="119"/>
        <v>Y</v>
      </c>
      <c r="O892">
        <f t="shared" si="120"/>
        <v>9</v>
      </c>
      <c r="P892" s="6">
        <f t="shared" si="121"/>
        <v>0.990506329113924</v>
      </c>
      <c r="Q892" s="6">
        <f t="shared" si="122"/>
        <v>1.0649627263045794E-3</v>
      </c>
      <c r="R892">
        <f t="shared" si="123"/>
        <v>1</v>
      </c>
      <c r="S892">
        <f t="shared" si="124"/>
        <v>0</v>
      </c>
      <c r="T892">
        <f t="shared" si="125"/>
        <v>0</v>
      </c>
    </row>
    <row r="893" spans="1:20">
      <c r="A893" t="s">
        <v>1426</v>
      </c>
      <c r="B893" t="s">
        <v>26</v>
      </c>
      <c r="C893" t="s">
        <v>16</v>
      </c>
      <c r="D893">
        <v>746</v>
      </c>
      <c r="E893" s="4">
        <v>46162</v>
      </c>
      <c r="F893" s="4">
        <v>46174</v>
      </c>
      <c r="G893" s="4">
        <v>46171</v>
      </c>
      <c r="H893">
        <v>737</v>
      </c>
      <c r="I893" t="s">
        <v>767</v>
      </c>
      <c r="J893">
        <v>1</v>
      </c>
      <c r="K893" t="s">
        <v>1563</v>
      </c>
      <c r="L893" t="str">
        <f t="shared" si="117"/>
        <v>Y</v>
      </c>
      <c r="M893" t="str">
        <f t="shared" si="118"/>
        <v>Y</v>
      </c>
      <c r="N893" t="str">
        <f t="shared" si="119"/>
        <v>Y</v>
      </c>
      <c r="O893">
        <f t="shared" si="120"/>
        <v>9</v>
      </c>
      <c r="P893" s="6">
        <f t="shared" si="121"/>
        <v>0.98793565683646112</v>
      </c>
      <c r="Q893" s="6">
        <f t="shared" si="122"/>
        <v>1.3568521031207597E-3</v>
      </c>
      <c r="R893">
        <f t="shared" si="123"/>
        <v>1</v>
      </c>
      <c r="S893">
        <f t="shared" si="124"/>
        <v>0</v>
      </c>
      <c r="T893">
        <f t="shared" si="125"/>
        <v>0</v>
      </c>
    </row>
    <row r="894" spans="1:20">
      <c r="A894" t="s">
        <v>1427</v>
      </c>
      <c r="B894" t="s">
        <v>11</v>
      </c>
      <c r="C894" t="s">
        <v>16</v>
      </c>
      <c r="D894">
        <v>195</v>
      </c>
      <c r="E894" s="4">
        <v>46132</v>
      </c>
      <c r="F894" s="4">
        <v>46140</v>
      </c>
      <c r="G894" s="4">
        <v>46137</v>
      </c>
      <c r="H894">
        <v>195</v>
      </c>
      <c r="I894" t="s">
        <v>1061</v>
      </c>
      <c r="J894">
        <v>0</v>
      </c>
      <c r="K894" t="s">
        <v>1563</v>
      </c>
      <c r="L894" t="str">
        <f t="shared" si="117"/>
        <v>Y</v>
      </c>
      <c r="M894" t="str">
        <f t="shared" si="118"/>
        <v>Y</v>
      </c>
      <c r="N894" t="str">
        <f t="shared" si="119"/>
        <v>Y</v>
      </c>
      <c r="O894">
        <f t="shared" si="120"/>
        <v>5</v>
      </c>
      <c r="P894" s="6">
        <f t="shared" si="121"/>
        <v>1</v>
      </c>
      <c r="Q894" s="6">
        <f t="shared" si="122"/>
        <v>0</v>
      </c>
      <c r="R894">
        <f t="shared" si="123"/>
        <v>1</v>
      </c>
      <c r="S894">
        <f t="shared" si="124"/>
        <v>0</v>
      </c>
      <c r="T894">
        <f t="shared" si="125"/>
        <v>0</v>
      </c>
    </row>
    <row r="895" spans="1:20">
      <c r="A895" t="s">
        <v>1428</v>
      </c>
      <c r="B895" t="s">
        <v>49</v>
      </c>
      <c r="C895" t="s">
        <v>12</v>
      </c>
      <c r="D895">
        <v>606</v>
      </c>
      <c r="E895" s="4">
        <v>46134</v>
      </c>
      <c r="F895" s="4">
        <v>46145</v>
      </c>
      <c r="G895" s="4">
        <v>46145</v>
      </c>
      <c r="H895">
        <v>602</v>
      </c>
      <c r="I895" t="s">
        <v>605</v>
      </c>
      <c r="J895">
        <v>6</v>
      </c>
      <c r="K895" t="s">
        <v>1563</v>
      </c>
      <c r="L895" t="str">
        <f t="shared" si="117"/>
        <v>Y</v>
      </c>
      <c r="M895" t="str">
        <f t="shared" si="118"/>
        <v>Y</v>
      </c>
      <c r="N895" t="str">
        <f t="shared" si="119"/>
        <v>Y</v>
      </c>
      <c r="O895">
        <f t="shared" si="120"/>
        <v>11</v>
      </c>
      <c r="P895" s="6">
        <f t="shared" si="121"/>
        <v>0.99339933993399343</v>
      </c>
      <c r="Q895" s="6">
        <f t="shared" si="122"/>
        <v>9.9667774086378731E-3</v>
      </c>
      <c r="R895">
        <f t="shared" si="123"/>
        <v>1</v>
      </c>
      <c r="S895">
        <f t="shared" si="124"/>
        <v>0</v>
      </c>
      <c r="T895">
        <f t="shared" si="125"/>
        <v>0</v>
      </c>
    </row>
    <row r="896" spans="1:20">
      <c r="A896" t="s">
        <v>1429</v>
      </c>
      <c r="B896" t="s">
        <v>54</v>
      </c>
      <c r="C896" t="s">
        <v>16</v>
      </c>
      <c r="D896">
        <v>975</v>
      </c>
      <c r="E896" s="4">
        <v>46051</v>
      </c>
      <c r="F896" s="4">
        <v>46057</v>
      </c>
      <c r="G896" s="4">
        <v>46062</v>
      </c>
      <c r="H896">
        <v>981</v>
      </c>
      <c r="I896" t="s">
        <v>1430</v>
      </c>
      <c r="J896">
        <v>10</v>
      </c>
      <c r="K896" t="s">
        <v>1563</v>
      </c>
      <c r="L896" t="str">
        <f t="shared" si="117"/>
        <v>N</v>
      </c>
      <c r="M896" t="str">
        <f t="shared" si="118"/>
        <v>Y</v>
      </c>
      <c r="N896" t="str">
        <f t="shared" si="119"/>
        <v>N</v>
      </c>
      <c r="O896">
        <f t="shared" si="120"/>
        <v>11</v>
      </c>
      <c r="P896" s="6">
        <f t="shared" si="121"/>
        <v>1.0061538461538462</v>
      </c>
      <c r="Q896" s="6">
        <f t="shared" si="122"/>
        <v>1.0193679918450561E-2</v>
      </c>
      <c r="R896">
        <f t="shared" si="123"/>
        <v>0</v>
      </c>
      <c r="S896">
        <f t="shared" si="124"/>
        <v>5</v>
      </c>
      <c r="T896">
        <f t="shared" si="125"/>
        <v>2500</v>
      </c>
    </row>
    <row r="897" spans="1:20">
      <c r="A897" t="s">
        <v>1431</v>
      </c>
      <c r="B897" t="s">
        <v>26</v>
      </c>
      <c r="C897" t="s">
        <v>16</v>
      </c>
      <c r="D897">
        <v>577</v>
      </c>
      <c r="E897" s="4">
        <v>46090</v>
      </c>
      <c r="F897" s="4">
        <v>46105</v>
      </c>
      <c r="G897" s="4">
        <v>46104</v>
      </c>
      <c r="H897">
        <v>548</v>
      </c>
      <c r="I897" t="s">
        <v>1256</v>
      </c>
      <c r="J897">
        <v>6</v>
      </c>
      <c r="K897" t="s">
        <v>1563</v>
      </c>
      <c r="L897" t="str">
        <f t="shared" si="117"/>
        <v>Y</v>
      </c>
      <c r="M897" t="str">
        <f t="shared" si="118"/>
        <v>N</v>
      </c>
      <c r="N897" t="str">
        <f t="shared" si="119"/>
        <v>N</v>
      </c>
      <c r="O897">
        <f t="shared" si="120"/>
        <v>14</v>
      </c>
      <c r="P897" s="6">
        <f t="shared" si="121"/>
        <v>0.94974003466204504</v>
      </c>
      <c r="Q897" s="6">
        <f t="shared" si="122"/>
        <v>1.0948905109489052E-2</v>
      </c>
      <c r="R897">
        <f t="shared" si="123"/>
        <v>0</v>
      </c>
      <c r="S897">
        <f t="shared" si="124"/>
        <v>0</v>
      </c>
      <c r="T897">
        <f t="shared" si="125"/>
        <v>0</v>
      </c>
    </row>
    <row r="898" spans="1:20">
      <c r="A898" t="s">
        <v>1432</v>
      </c>
      <c r="B898" t="s">
        <v>29</v>
      </c>
      <c r="C898" t="s">
        <v>12</v>
      </c>
      <c r="D898">
        <v>319</v>
      </c>
      <c r="E898" s="4">
        <v>46082</v>
      </c>
      <c r="F898" s="4">
        <v>46096</v>
      </c>
      <c r="G898" s="4">
        <v>46093</v>
      </c>
      <c r="H898">
        <v>266</v>
      </c>
      <c r="I898" t="s">
        <v>44</v>
      </c>
      <c r="J898">
        <v>3</v>
      </c>
      <c r="K898" t="s">
        <v>1563</v>
      </c>
      <c r="L898" t="str">
        <f t="shared" ref="L898:L961" si="126">IF(G898="","N/A",IF(G898&lt;=F898,"Y","N"))</f>
        <v>Y</v>
      </c>
      <c r="M898" t="str">
        <f t="shared" ref="M898:M961" si="127">IF(H898="","N/A",IF(H898&gt;=D898*0.98,"Y","N"))</f>
        <v>N</v>
      </c>
      <c r="N898" t="str">
        <f t="shared" ref="N898:N961" si="128">IF(OR(L898="N/A",M898="N/A"),"N/A",IF(AND(L898="Y",M898="Y"),"Y","N"))</f>
        <v>N</v>
      </c>
      <c r="O898">
        <f t="shared" ref="O898:O961" si="129">IF(G898="","N/A",G898-E898)</f>
        <v>11</v>
      </c>
      <c r="P898" s="6">
        <f t="shared" ref="P898:P961" si="130">IF(H898="","N/A",H898/D898)</f>
        <v>0.83385579937304077</v>
      </c>
      <c r="Q898" s="6">
        <f t="shared" ref="Q898:Q961" si="131">IF(H898="","N/A",IF(H898=0,0,J898/H898))</f>
        <v>1.1278195488721804E-2</v>
      </c>
      <c r="R898">
        <f t="shared" ref="R898:R961" si="132">IF(N898="Y",1,IF(N898="N",0,""))</f>
        <v>0</v>
      </c>
      <c r="S898">
        <f t="shared" ref="S898:S961" si="133">IF(G898="","N/A",MAX(G898-F898,0))</f>
        <v>0</v>
      </c>
      <c r="T898">
        <f t="shared" ref="T898:T961" si="134">IF(S898="N/A",0,S898*500)</f>
        <v>0</v>
      </c>
    </row>
    <row r="899" spans="1:20">
      <c r="A899" t="s">
        <v>1433</v>
      </c>
      <c r="B899" t="s">
        <v>70</v>
      </c>
      <c r="C899" t="s">
        <v>23</v>
      </c>
      <c r="D899">
        <v>803</v>
      </c>
      <c r="E899" s="4">
        <v>46171</v>
      </c>
      <c r="F899" s="4">
        <v>46184</v>
      </c>
      <c r="G899" s="4">
        <v>46184</v>
      </c>
      <c r="H899">
        <v>816</v>
      </c>
      <c r="I899" t="s">
        <v>296</v>
      </c>
      <c r="J899">
        <v>18</v>
      </c>
      <c r="K899" t="s">
        <v>1563</v>
      </c>
      <c r="L899" t="str">
        <f t="shared" si="126"/>
        <v>Y</v>
      </c>
      <c r="M899" t="str">
        <f t="shared" si="127"/>
        <v>Y</v>
      </c>
      <c r="N899" t="str">
        <f t="shared" si="128"/>
        <v>Y</v>
      </c>
      <c r="O899">
        <f t="shared" si="129"/>
        <v>13</v>
      </c>
      <c r="P899" s="6">
        <f t="shared" si="130"/>
        <v>1.016189290161893</v>
      </c>
      <c r="Q899" s="6">
        <f t="shared" si="131"/>
        <v>2.2058823529411766E-2</v>
      </c>
      <c r="R899">
        <f t="shared" si="132"/>
        <v>1</v>
      </c>
      <c r="S899">
        <f t="shared" si="133"/>
        <v>0</v>
      </c>
      <c r="T899">
        <f t="shared" si="134"/>
        <v>0</v>
      </c>
    </row>
    <row r="900" spans="1:20">
      <c r="A900" t="s">
        <v>1434</v>
      </c>
      <c r="B900" t="s">
        <v>40</v>
      </c>
      <c r="C900" t="s">
        <v>12</v>
      </c>
      <c r="D900">
        <v>615</v>
      </c>
      <c r="E900" s="4">
        <v>46046</v>
      </c>
      <c r="F900" s="4">
        <v>46060</v>
      </c>
      <c r="G900" s="4">
        <v>46065</v>
      </c>
      <c r="H900">
        <v>603</v>
      </c>
      <c r="I900" t="s">
        <v>645</v>
      </c>
      <c r="J900">
        <v>10</v>
      </c>
      <c r="K900" t="s">
        <v>1563</v>
      </c>
      <c r="L900" t="str">
        <f t="shared" si="126"/>
        <v>N</v>
      </c>
      <c r="M900" t="str">
        <f t="shared" si="127"/>
        <v>Y</v>
      </c>
      <c r="N900" t="str">
        <f t="shared" si="128"/>
        <v>N</v>
      </c>
      <c r="O900">
        <f t="shared" si="129"/>
        <v>19</v>
      </c>
      <c r="P900" s="6">
        <f t="shared" si="130"/>
        <v>0.98048780487804876</v>
      </c>
      <c r="Q900" s="6">
        <f t="shared" si="131"/>
        <v>1.658374792703151E-2</v>
      </c>
      <c r="R900">
        <f t="shared" si="132"/>
        <v>0</v>
      </c>
      <c r="S900">
        <f t="shared" si="133"/>
        <v>5</v>
      </c>
      <c r="T900">
        <f t="shared" si="134"/>
        <v>2500</v>
      </c>
    </row>
    <row r="901" spans="1:20">
      <c r="A901" t="s">
        <v>1435</v>
      </c>
      <c r="B901" t="s">
        <v>43</v>
      </c>
      <c r="C901" t="s">
        <v>16</v>
      </c>
      <c r="D901">
        <v>322</v>
      </c>
      <c r="E901" s="4">
        <v>46045</v>
      </c>
      <c r="F901" s="4">
        <v>46060</v>
      </c>
      <c r="G901" s="4">
        <v>46058</v>
      </c>
      <c r="H901">
        <v>267</v>
      </c>
      <c r="I901" t="s">
        <v>1436</v>
      </c>
      <c r="J901">
        <v>12</v>
      </c>
      <c r="K901" t="s">
        <v>1563</v>
      </c>
      <c r="L901" t="str">
        <f t="shared" si="126"/>
        <v>Y</v>
      </c>
      <c r="M901" t="str">
        <f t="shared" si="127"/>
        <v>N</v>
      </c>
      <c r="N901" t="str">
        <f t="shared" si="128"/>
        <v>N</v>
      </c>
      <c r="O901">
        <f t="shared" si="129"/>
        <v>13</v>
      </c>
      <c r="P901" s="6">
        <f t="shared" si="130"/>
        <v>0.82919254658385089</v>
      </c>
      <c r="Q901" s="6">
        <f t="shared" si="131"/>
        <v>4.49438202247191E-2</v>
      </c>
      <c r="R901">
        <f t="shared" si="132"/>
        <v>0</v>
      </c>
      <c r="S901">
        <f t="shared" si="133"/>
        <v>0</v>
      </c>
      <c r="T901">
        <f t="shared" si="134"/>
        <v>0</v>
      </c>
    </row>
    <row r="902" spans="1:20">
      <c r="A902" t="s">
        <v>1437</v>
      </c>
      <c r="B902" t="s">
        <v>11</v>
      </c>
      <c r="C902" t="s">
        <v>16</v>
      </c>
      <c r="D902">
        <v>761</v>
      </c>
      <c r="E902" s="4">
        <v>46109</v>
      </c>
      <c r="F902" s="4">
        <v>46115</v>
      </c>
      <c r="G902" s="4">
        <v>46115</v>
      </c>
      <c r="H902">
        <v>759</v>
      </c>
      <c r="I902" t="s">
        <v>1347</v>
      </c>
      <c r="J902">
        <v>24</v>
      </c>
      <c r="K902" t="s">
        <v>1563</v>
      </c>
      <c r="L902" t="str">
        <f t="shared" si="126"/>
        <v>Y</v>
      </c>
      <c r="M902" t="str">
        <f t="shared" si="127"/>
        <v>Y</v>
      </c>
      <c r="N902" t="str">
        <f t="shared" si="128"/>
        <v>Y</v>
      </c>
      <c r="O902">
        <f t="shared" si="129"/>
        <v>6</v>
      </c>
      <c r="P902" s="6">
        <f t="shared" si="130"/>
        <v>0.99737187910643887</v>
      </c>
      <c r="Q902" s="6">
        <f t="shared" si="131"/>
        <v>3.1620553359683792E-2</v>
      </c>
      <c r="R902">
        <f t="shared" si="132"/>
        <v>1</v>
      </c>
      <c r="S902">
        <f t="shared" si="133"/>
        <v>0</v>
      </c>
      <c r="T902">
        <f t="shared" si="134"/>
        <v>0</v>
      </c>
    </row>
    <row r="903" spans="1:20">
      <c r="A903" t="s">
        <v>1438</v>
      </c>
      <c r="B903" t="s">
        <v>120</v>
      </c>
      <c r="C903" t="s">
        <v>23</v>
      </c>
      <c r="D903">
        <v>872</v>
      </c>
      <c r="E903" s="4">
        <v>46093</v>
      </c>
      <c r="F903" s="4">
        <v>46099</v>
      </c>
      <c r="G903" s="4">
        <v>46097</v>
      </c>
      <c r="H903">
        <v>874</v>
      </c>
      <c r="I903" t="s">
        <v>201</v>
      </c>
      <c r="J903">
        <v>5</v>
      </c>
      <c r="K903" t="s">
        <v>1563</v>
      </c>
      <c r="L903" t="str">
        <f t="shared" si="126"/>
        <v>Y</v>
      </c>
      <c r="M903" t="str">
        <f t="shared" si="127"/>
        <v>Y</v>
      </c>
      <c r="N903" t="str">
        <f t="shared" si="128"/>
        <v>Y</v>
      </c>
      <c r="O903">
        <f t="shared" si="129"/>
        <v>4</v>
      </c>
      <c r="P903" s="6">
        <f t="shared" si="130"/>
        <v>1.0022935779816513</v>
      </c>
      <c r="Q903" s="6">
        <f t="shared" si="131"/>
        <v>5.7208237986270021E-3</v>
      </c>
      <c r="R903">
        <f t="shared" si="132"/>
        <v>1</v>
      </c>
      <c r="S903">
        <f t="shared" si="133"/>
        <v>0</v>
      </c>
      <c r="T903">
        <f t="shared" si="134"/>
        <v>0</v>
      </c>
    </row>
    <row r="904" spans="1:20">
      <c r="A904" t="s">
        <v>1439</v>
      </c>
      <c r="B904" t="s">
        <v>67</v>
      </c>
      <c r="C904" t="s">
        <v>16</v>
      </c>
      <c r="D904">
        <v>749</v>
      </c>
      <c r="E904" s="4">
        <v>46115</v>
      </c>
      <c r="F904" s="4">
        <v>46121</v>
      </c>
      <c r="G904" s="4">
        <v>46118</v>
      </c>
      <c r="H904">
        <v>759</v>
      </c>
      <c r="I904" t="s">
        <v>1440</v>
      </c>
      <c r="J904">
        <v>5</v>
      </c>
      <c r="K904" t="s">
        <v>1563</v>
      </c>
      <c r="L904" t="str">
        <f t="shared" si="126"/>
        <v>Y</v>
      </c>
      <c r="M904" t="str">
        <f t="shared" si="127"/>
        <v>Y</v>
      </c>
      <c r="N904" t="str">
        <f t="shared" si="128"/>
        <v>Y</v>
      </c>
      <c r="O904">
        <f t="shared" si="129"/>
        <v>3</v>
      </c>
      <c r="P904" s="6">
        <f t="shared" si="130"/>
        <v>1.0133511348464619</v>
      </c>
      <c r="Q904" s="6">
        <f t="shared" si="131"/>
        <v>6.587615283267457E-3</v>
      </c>
      <c r="R904">
        <f t="shared" si="132"/>
        <v>1</v>
      </c>
      <c r="S904">
        <f t="shared" si="133"/>
        <v>0</v>
      </c>
      <c r="T904">
        <f t="shared" si="134"/>
        <v>0</v>
      </c>
    </row>
    <row r="905" spans="1:20">
      <c r="A905" t="s">
        <v>1441</v>
      </c>
      <c r="B905" t="s">
        <v>32</v>
      </c>
      <c r="C905" t="s">
        <v>23</v>
      </c>
      <c r="D905">
        <v>990</v>
      </c>
      <c r="E905" s="4">
        <v>46141</v>
      </c>
      <c r="F905" s="4">
        <v>46153</v>
      </c>
      <c r="G905" s="4">
        <v>46150</v>
      </c>
      <c r="H905">
        <v>978</v>
      </c>
      <c r="I905" t="s">
        <v>739</v>
      </c>
      <c r="J905">
        <v>58</v>
      </c>
      <c r="K905" t="s">
        <v>1563</v>
      </c>
      <c r="L905" t="str">
        <f t="shared" si="126"/>
        <v>Y</v>
      </c>
      <c r="M905" t="str">
        <f t="shared" si="127"/>
        <v>Y</v>
      </c>
      <c r="N905" t="str">
        <f t="shared" si="128"/>
        <v>Y</v>
      </c>
      <c r="O905">
        <f t="shared" si="129"/>
        <v>9</v>
      </c>
      <c r="P905" s="6">
        <f t="shared" si="130"/>
        <v>0.98787878787878791</v>
      </c>
      <c r="Q905" s="6">
        <f t="shared" si="131"/>
        <v>5.9304703476482618E-2</v>
      </c>
      <c r="R905">
        <f t="shared" si="132"/>
        <v>1</v>
      </c>
      <c r="S905">
        <f t="shared" si="133"/>
        <v>0</v>
      </c>
      <c r="T905">
        <f t="shared" si="134"/>
        <v>0</v>
      </c>
    </row>
    <row r="906" spans="1:20">
      <c r="A906" t="s">
        <v>1442</v>
      </c>
      <c r="B906" t="s">
        <v>100</v>
      </c>
      <c r="C906" t="s">
        <v>16</v>
      </c>
      <c r="D906">
        <v>819</v>
      </c>
      <c r="E906" s="4">
        <v>46043</v>
      </c>
      <c r="F906" s="4">
        <v>46051</v>
      </c>
      <c r="G906" s="4">
        <v>46051</v>
      </c>
      <c r="H906">
        <v>805</v>
      </c>
      <c r="I906" t="s">
        <v>207</v>
      </c>
      <c r="J906">
        <v>18</v>
      </c>
      <c r="K906" t="s">
        <v>1563</v>
      </c>
      <c r="L906" t="str">
        <f t="shared" si="126"/>
        <v>Y</v>
      </c>
      <c r="M906" t="str">
        <f t="shared" si="127"/>
        <v>Y</v>
      </c>
      <c r="N906" t="str">
        <f t="shared" si="128"/>
        <v>Y</v>
      </c>
      <c r="O906">
        <f t="shared" si="129"/>
        <v>8</v>
      </c>
      <c r="P906" s="6">
        <f t="shared" si="130"/>
        <v>0.98290598290598286</v>
      </c>
      <c r="Q906" s="6">
        <f t="shared" si="131"/>
        <v>2.236024844720497E-2</v>
      </c>
      <c r="R906">
        <f t="shared" si="132"/>
        <v>1</v>
      </c>
      <c r="S906">
        <f t="shared" si="133"/>
        <v>0</v>
      </c>
      <c r="T906">
        <f t="shared" si="134"/>
        <v>0</v>
      </c>
    </row>
    <row r="907" spans="1:20">
      <c r="A907" t="s">
        <v>1443</v>
      </c>
      <c r="B907" t="s">
        <v>26</v>
      </c>
      <c r="C907" t="s">
        <v>16</v>
      </c>
      <c r="D907">
        <v>583</v>
      </c>
      <c r="E907" s="4">
        <v>46034</v>
      </c>
      <c r="F907" s="4">
        <v>46045</v>
      </c>
      <c r="G907" s="4">
        <v>46044</v>
      </c>
      <c r="H907">
        <v>586</v>
      </c>
      <c r="I907" t="s">
        <v>578</v>
      </c>
      <c r="J907">
        <v>8</v>
      </c>
      <c r="K907" t="s">
        <v>1563</v>
      </c>
      <c r="L907" t="str">
        <f t="shared" si="126"/>
        <v>Y</v>
      </c>
      <c r="M907" t="str">
        <f t="shared" si="127"/>
        <v>Y</v>
      </c>
      <c r="N907" t="str">
        <f t="shared" si="128"/>
        <v>Y</v>
      </c>
      <c r="O907">
        <f t="shared" si="129"/>
        <v>10</v>
      </c>
      <c r="P907" s="6">
        <f t="shared" si="130"/>
        <v>1.0051457975986278</v>
      </c>
      <c r="Q907" s="6">
        <f t="shared" si="131"/>
        <v>1.3651877133105802E-2</v>
      </c>
      <c r="R907">
        <f t="shared" si="132"/>
        <v>1</v>
      </c>
      <c r="S907">
        <f t="shared" si="133"/>
        <v>0</v>
      </c>
      <c r="T907">
        <f t="shared" si="134"/>
        <v>0</v>
      </c>
    </row>
    <row r="908" spans="1:20">
      <c r="A908" t="s">
        <v>1444</v>
      </c>
      <c r="B908" t="s">
        <v>46</v>
      </c>
      <c r="C908" t="s">
        <v>12</v>
      </c>
      <c r="D908">
        <v>866</v>
      </c>
      <c r="E908" s="4">
        <v>46093</v>
      </c>
      <c r="F908" s="4">
        <v>46103</v>
      </c>
      <c r="G908" s="4">
        <v>46101</v>
      </c>
      <c r="H908">
        <v>881</v>
      </c>
      <c r="I908" t="s">
        <v>444</v>
      </c>
      <c r="J908">
        <v>6</v>
      </c>
      <c r="K908" t="s">
        <v>1563</v>
      </c>
      <c r="L908" t="str">
        <f t="shared" si="126"/>
        <v>Y</v>
      </c>
      <c r="M908" t="str">
        <f t="shared" si="127"/>
        <v>Y</v>
      </c>
      <c r="N908" t="str">
        <f t="shared" si="128"/>
        <v>Y</v>
      </c>
      <c r="O908">
        <f t="shared" si="129"/>
        <v>8</v>
      </c>
      <c r="P908" s="6">
        <f t="shared" si="130"/>
        <v>1.0173210161662818</v>
      </c>
      <c r="Q908" s="6">
        <f t="shared" si="131"/>
        <v>6.8104426787741201E-3</v>
      </c>
      <c r="R908">
        <f t="shared" si="132"/>
        <v>1</v>
      </c>
      <c r="S908">
        <f t="shared" si="133"/>
        <v>0</v>
      </c>
      <c r="T908">
        <f t="shared" si="134"/>
        <v>0</v>
      </c>
    </row>
    <row r="909" spans="1:20">
      <c r="A909" t="s">
        <v>1445</v>
      </c>
      <c r="B909" t="s">
        <v>67</v>
      </c>
      <c r="C909" t="s">
        <v>23</v>
      </c>
      <c r="D909">
        <v>754</v>
      </c>
      <c r="E909" s="4">
        <v>46127</v>
      </c>
      <c r="F909" s="4">
        <v>46138</v>
      </c>
      <c r="G909" s="4">
        <v>46136</v>
      </c>
      <c r="H909">
        <v>740</v>
      </c>
      <c r="I909" t="s">
        <v>1446</v>
      </c>
      <c r="J909">
        <v>37</v>
      </c>
      <c r="K909" t="s">
        <v>1563</v>
      </c>
      <c r="L909" t="str">
        <f t="shared" si="126"/>
        <v>Y</v>
      </c>
      <c r="M909" t="str">
        <f t="shared" si="127"/>
        <v>Y</v>
      </c>
      <c r="N909" t="str">
        <f t="shared" si="128"/>
        <v>Y</v>
      </c>
      <c r="O909">
        <f t="shared" si="129"/>
        <v>9</v>
      </c>
      <c r="P909" s="6">
        <f t="shared" si="130"/>
        <v>0.98143236074270557</v>
      </c>
      <c r="Q909" s="6">
        <f t="shared" si="131"/>
        <v>0.05</v>
      </c>
      <c r="R909">
        <f t="shared" si="132"/>
        <v>1</v>
      </c>
      <c r="S909">
        <f t="shared" si="133"/>
        <v>0</v>
      </c>
      <c r="T909">
        <f t="shared" si="134"/>
        <v>0</v>
      </c>
    </row>
    <row r="910" spans="1:20">
      <c r="A910" t="s">
        <v>1447</v>
      </c>
      <c r="B910" t="s">
        <v>54</v>
      </c>
      <c r="C910" t="s">
        <v>16</v>
      </c>
      <c r="D910">
        <v>760</v>
      </c>
      <c r="E910" s="4">
        <v>46103</v>
      </c>
      <c r="F910" s="4">
        <v>46110</v>
      </c>
      <c r="G910" s="4">
        <v>46115</v>
      </c>
      <c r="H910">
        <v>755</v>
      </c>
      <c r="I910" t="s">
        <v>1019</v>
      </c>
      <c r="J910">
        <v>5</v>
      </c>
      <c r="K910" t="s">
        <v>1563</v>
      </c>
      <c r="L910" t="str">
        <f t="shared" si="126"/>
        <v>N</v>
      </c>
      <c r="M910" t="str">
        <f t="shared" si="127"/>
        <v>Y</v>
      </c>
      <c r="N910" t="str">
        <f t="shared" si="128"/>
        <v>N</v>
      </c>
      <c r="O910">
        <f t="shared" si="129"/>
        <v>12</v>
      </c>
      <c r="P910" s="6">
        <f t="shared" si="130"/>
        <v>0.99342105263157898</v>
      </c>
      <c r="Q910" s="6">
        <f t="shared" si="131"/>
        <v>6.6225165562913907E-3</v>
      </c>
      <c r="R910">
        <f t="shared" si="132"/>
        <v>0</v>
      </c>
      <c r="S910">
        <f t="shared" si="133"/>
        <v>5</v>
      </c>
      <c r="T910">
        <f t="shared" si="134"/>
        <v>2500</v>
      </c>
    </row>
    <row r="911" spans="1:20">
      <c r="A911" t="s">
        <v>1448</v>
      </c>
      <c r="B911" t="s">
        <v>46</v>
      </c>
      <c r="C911" t="s">
        <v>16</v>
      </c>
      <c r="D911">
        <v>949</v>
      </c>
      <c r="E911" s="4">
        <v>46164</v>
      </c>
      <c r="F911" s="4">
        <v>46179</v>
      </c>
      <c r="G911" s="4">
        <v>46176</v>
      </c>
      <c r="H911">
        <v>965</v>
      </c>
      <c r="I911" t="s">
        <v>843</v>
      </c>
      <c r="J911">
        <v>49</v>
      </c>
      <c r="K911" t="s">
        <v>1563</v>
      </c>
      <c r="L911" t="str">
        <f t="shared" si="126"/>
        <v>Y</v>
      </c>
      <c r="M911" t="str">
        <f t="shared" si="127"/>
        <v>Y</v>
      </c>
      <c r="N911" t="str">
        <f t="shared" si="128"/>
        <v>Y</v>
      </c>
      <c r="O911">
        <f t="shared" si="129"/>
        <v>12</v>
      </c>
      <c r="P911" s="6">
        <f t="shared" si="130"/>
        <v>1.0168598524762908</v>
      </c>
      <c r="Q911" s="6">
        <f t="shared" si="131"/>
        <v>5.0777202072538857E-2</v>
      </c>
      <c r="R911">
        <f t="shared" si="132"/>
        <v>1</v>
      </c>
      <c r="S911">
        <f t="shared" si="133"/>
        <v>0</v>
      </c>
      <c r="T911">
        <f t="shared" si="134"/>
        <v>0</v>
      </c>
    </row>
    <row r="912" spans="1:20">
      <c r="A912" t="s">
        <v>1449</v>
      </c>
      <c r="B912" t="s">
        <v>64</v>
      </c>
      <c r="C912" t="s">
        <v>12</v>
      </c>
      <c r="D912">
        <v>101</v>
      </c>
      <c r="E912" s="4">
        <v>46144</v>
      </c>
      <c r="F912" s="4">
        <v>46149</v>
      </c>
      <c r="G912" s="4">
        <v>46148</v>
      </c>
      <c r="H912">
        <v>103</v>
      </c>
      <c r="I912" t="s">
        <v>936</v>
      </c>
      <c r="J912">
        <v>6</v>
      </c>
      <c r="K912" t="s">
        <v>1563</v>
      </c>
      <c r="L912" t="str">
        <f t="shared" si="126"/>
        <v>Y</v>
      </c>
      <c r="M912" t="str">
        <f t="shared" si="127"/>
        <v>Y</v>
      </c>
      <c r="N912" t="str">
        <f t="shared" si="128"/>
        <v>Y</v>
      </c>
      <c r="O912">
        <f t="shared" si="129"/>
        <v>4</v>
      </c>
      <c r="P912" s="6">
        <f t="shared" si="130"/>
        <v>1.0198019801980198</v>
      </c>
      <c r="Q912" s="6">
        <f t="shared" si="131"/>
        <v>5.8252427184466021E-2</v>
      </c>
      <c r="R912">
        <f t="shared" si="132"/>
        <v>1</v>
      </c>
      <c r="S912">
        <f t="shared" si="133"/>
        <v>0</v>
      </c>
      <c r="T912">
        <f t="shared" si="134"/>
        <v>0</v>
      </c>
    </row>
    <row r="913" spans="1:20">
      <c r="A913" t="s">
        <v>1450</v>
      </c>
      <c r="B913" t="s">
        <v>32</v>
      </c>
      <c r="C913" t="s">
        <v>23</v>
      </c>
      <c r="D913">
        <v>656</v>
      </c>
      <c r="E913" s="4">
        <v>46127</v>
      </c>
      <c r="F913" s="4">
        <v>46134</v>
      </c>
      <c r="G913" s="4">
        <v>46132</v>
      </c>
      <c r="H913">
        <v>555</v>
      </c>
      <c r="I913" t="s">
        <v>672</v>
      </c>
      <c r="J913">
        <v>9</v>
      </c>
      <c r="K913" t="s">
        <v>1563</v>
      </c>
      <c r="L913" t="str">
        <f t="shared" si="126"/>
        <v>Y</v>
      </c>
      <c r="M913" t="str">
        <f t="shared" si="127"/>
        <v>N</v>
      </c>
      <c r="N913" t="str">
        <f t="shared" si="128"/>
        <v>N</v>
      </c>
      <c r="O913">
        <f t="shared" si="129"/>
        <v>5</v>
      </c>
      <c r="P913" s="6">
        <f t="shared" si="130"/>
        <v>0.84603658536585369</v>
      </c>
      <c r="Q913" s="6">
        <f t="shared" si="131"/>
        <v>1.6216216216216217E-2</v>
      </c>
      <c r="R913">
        <f t="shared" si="132"/>
        <v>0</v>
      </c>
      <c r="S913">
        <f t="shared" si="133"/>
        <v>0</v>
      </c>
      <c r="T913">
        <f t="shared" si="134"/>
        <v>0</v>
      </c>
    </row>
    <row r="914" spans="1:20">
      <c r="A914" t="s">
        <v>1451</v>
      </c>
      <c r="B914" t="s">
        <v>29</v>
      </c>
      <c r="C914" t="s">
        <v>16</v>
      </c>
      <c r="D914">
        <v>481</v>
      </c>
      <c r="E914" s="4">
        <v>46074</v>
      </c>
      <c r="F914" s="4">
        <v>46089</v>
      </c>
      <c r="G914" s="4">
        <v>46087</v>
      </c>
      <c r="H914">
        <v>463</v>
      </c>
      <c r="I914" t="s">
        <v>1090</v>
      </c>
      <c r="J914">
        <v>3</v>
      </c>
      <c r="K914" t="s">
        <v>1563</v>
      </c>
      <c r="L914" t="str">
        <f t="shared" si="126"/>
        <v>Y</v>
      </c>
      <c r="M914" t="str">
        <f t="shared" si="127"/>
        <v>N</v>
      </c>
      <c r="N914" t="str">
        <f t="shared" si="128"/>
        <v>N</v>
      </c>
      <c r="O914">
        <f t="shared" si="129"/>
        <v>13</v>
      </c>
      <c r="P914" s="6">
        <f t="shared" si="130"/>
        <v>0.96257796257796258</v>
      </c>
      <c r="Q914" s="6">
        <f t="shared" si="131"/>
        <v>6.4794816414686825E-3</v>
      </c>
      <c r="R914">
        <f t="shared" si="132"/>
        <v>0</v>
      </c>
      <c r="S914">
        <f t="shared" si="133"/>
        <v>0</v>
      </c>
      <c r="T914">
        <f t="shared" si="134"/>
        <v>0</v>
      </c>
    </row>
    <row r="915" spans="1:20">
      <c r="A915" t="s">
        <v>1452</v>
      </c>
      <c r="B915" t="s">
        <v>19</v>
      </c>
      <c r="C915" t="s">
        <v>12</v>
      </c>
      <c r="D915">
        <v>868</v>
      </c>
      <c r="E915" s="4">
        <v>46155</v>
      </c>
      <c r="F915" s="4">
        <v>46170</v>
      </c>
      <c r="G915" s="4">
        <v>46170</v>
      </c>
      <c r="H915">
        <v>867</v>
      </c>
      <c r="I915" t="s">
        <v>821</v>
      </c>
      <c r="J915">
        <v>11</v>
      </c>
      <c r="K915" t="s">
        <v>1563</v>
      </c>
      <c r="L915" t="str">
        <f t="shared" si="126"/>
        <v>Y</v>
      </c>
      <c r="M915" t="str">
        <f t="shared" si="127"/>
        <v>Y</v>
      </c>
      <c r="N915" t="str">
        <f t="shared" si="128"/>
        <v>Y</v>
      </c>
      <c r="O915">
        <f t="shared" si="129"/>
        <v>15</v>
      </c>
      <c r="P915" s="6">
        <f t="shared" si="130"/>
        <v>0.99884792626728114</v>
      </c>
      <c r="Q915" s="6">
        <f t="shared" si="131"/>
        <v>1.2687427912341407E-2</v>
      </c>
      <c r="R915">
        <f t="shared" si="132"/>
        <v>1</v>
      </c>
      <c r="S915">
        <f t="shared" si="133"/>
        <v>0</v>
      </c>
      <c r="T915">
        <f t="shared" si="134"/>
        <v>0</v>
      </c>
    </row>
    <row r="916" spans="1:20">
      <c r="A916" t="s">
        <v>1453</v>
      </c>
      <c r="B916" t="s">
        <v>40</v>
      </c>
      <c r="C916" t="s">
        <v>12</v>
      </c>
      <c r="D916">
        <v>734</v>
      </c>
      <c r="E916" s="4">
        <v>46051</v>
      </c>
      <c r="F916" s="4">
        <v>46062</v>
      </c>
      <c r="G916" s="4">
        <v>46063</v>
      </c>
      <c r="H916">
        <v>736</v>
      </c>
      <c r="I916" t="s">
        <v>167</v>
      </c>
      <c r="J916">
        <v>11</v>
      </c>
      <c r="K916" t="s">
        <v>1563</v>
      </c>
      <c r="L916" t="str">
        <f t="shared" si="126"/>
        <v>N</v>
      </c>
      <c r="M916" t="str">
        <f t="shared" si="127"/>
        <v>Y</v>
      </c>
      <c r="N916" t="str">
        <f t="shared" si="128"/>
        <v>N</v>
      </c>
      <c r="O916">
        <f t="shared" si="129"/>
        <v>12</v>
      </c>
      <c r="P916" s="6">
        <f t="shared" si="130"/>
        <v>1.0027247956403269</v>
      </c>
      <c r="Q916" s="6">
        <f t="shared" si="131"/>
        <v>1.4945652173913044E-2</v>
      </c>
      <c r="R916">
        <f t="shared" si="132"/>
        <v>0</v>
      </c>
      <c r="S916">
        <f t="shared" si="133"/>
        <v>1</v>
      </c>
      <c r="T916">
        <f t="shared" si="134"/>
        <v>500</v>
      </c>
    </row>
    <row r="917" spans="1:20">
      <c r="A917" t="s">
        <v>1454</v>
      </c>
      <c r="B917" t="s">
        <v>54</v>
      </c>
      <c r="C917" t="s">
        <v>12</v>
      </c>
      <c r="D917">
        <v>532</v>
      </c>
      <c r="E917" s="4">
        <v>46054</v>
      </c>
      <c r="F917" s="4">
        <v>46059</v>
      </c>
      <c r="G917" s="4">
        <v>46062</v>
      </c>
      <c r="H917">
        <v>538</v>
      </c>
      <c r="I917" t="s">
        <v>1455</v>
      </c>
      <c r="J917">
        <v>1</v>
      </c>
      <c r="K917" t="s">
        <v>1563</v>
      </c>
      <c r="L917" t="str">
        <f t="shared" si="126"/>
        <v>N</v>
      </c>
      <c r="M917" t="str">
        <f t="shared" si="127"/>
        <v>Y</v>
      </c>
      <c r="N917" t="str">
        <f t="shared" si="128"/>
        <v>N</v>
      </c>
      <c r="O917">
        <f t="shared" si="129"/>
        <v>8</v>
      </c>
      <c r="P917" s="6">
        <f t="shared" si="130"/>
        <v>1.0112781954887218</v>
      </c>
      <c r="Q917" s="6">
        <f t="shared" si="131"/>
        <v>1.8587360594795538E-3</v>
      </c>
      <c r="R917">
        <f t="shared" si="132"/>
        <v>0</v>
      </c>
      <c r="S917">
        <f t="shared" si="133"/>
        <v>3</v>
      </c>
      <c r="T917">
        <f t="shared" si="134"/>
        <v>1500</v>
      </c>
    </row>
    <row r="918" spans="1:20">
      <c r="A918" t="s">
        <v>1456</v>
      </c>
      <c r="B918" t="s">
        <v>22</v>
      </c>
      <c r="C918" t="s">
        <v>23</v>
      </c>
      <c r="D918">
        <v>254</v>
      </c>
      <c r="E918" s="4">
        <v>46052</v>
      </c>
      <c r="F918" s="4">
        <v>46066</v>
      </c>
      <c r="G918" s="4">
        <v>46064</v>
      </c>
      <c r="H918">
        <v>211</v>
      </c>
      <c r="I918" t="s">
        <v>619</v>
      </c>
      <c r="J918">
        <v>10</v>
      </c>
      <c r="K918" t="s">
        <v>1563</v>
      </c>
      <c r="L918" t="str">
        <f t="shared" si="126"/>
        <v>Y</v>
      </c>
      <c r="M918" t="str">
        <f t="shared" si="127"/>
        <v>N</v>
      </c>
      <c r="N918" t="str">
        <f t="shared" si="128"/>
        <v>N</v>
      </c>
      <c r="O918">
        <f t="shared" si="129"/>
        <v>12</v>
      </c>
      <c r="P918" s="6">
        <f t="shared" si="130"/>
        <v>0.8307086614173228</v>
      </c>
      <c r="Q918" s="6">
        <f t="shared" si="131"/>
        <v>4.7393364928909949E-2</v>
      </c>
      <c r="R918">
        <f t="shared" si="132"/>
        <v>0</v>
      </c>
      <c r="S918">
        <f t="shared" si="133"/>
        <v>0</v>
      </c>
      <c r="T918">
        <f t="shared" si="134"/>
        <v>0</v>
      </c>
    </row>
    <row r="919" spans="1:20">
      <c r="A919" t="s">
        <v>1457</v>
      </c>
      <c r="B919" t="s">
        <v>81</v>
      </c>
      <c r="C919" t="s">
        <v>16</v>
      </c>
      <c r="D919">
        <v>373</v>
      </c>
      <c r="E919" s="4">
        <v>46102</v>
      </c>
      <c r="F919" s="4">
        <v>46114</v>
      </c>
      <c r="G919" s="4">
        <v>46112</v>
      </c>
      <c r="H919">
        <v>377</v>
      </c>
      <c r="I919" t="s">
        <v>934</v>
      </c>
      <c r="J919">
        <v>3</v>
      </c>
      <c r="K919" t="s">
        <v>1563</v>
      </c>
      <c r="L919" t="str">
        <f t="shared" si="126"/>
        <v>Y</v>
      </c>
      <c r="M919" t="str">
        <f t="shared" si="127"/>
        <v>Y</v>
      </c>
      <c r="N919" t="str">
        <f t="shared" si="128"/>
        <v>Y</v>
      </c>
      <c r="O919">
        <f t="shared" si="129"/>
        <v>10</v>
      </c>
      <c r="P919" s="6">
        <f t="shared" si="130"/>
        <v>1.0107238605898123</v>
      </c>
      <c r="Q919" s="6">
        <f t="shared" si="131"/>
        <v>7.9575596816976128E-3</v>
      </c>
      <c r="R919">
        <f t="shared" si="132"/>
        <v>1</v>
      </c>
      <c r="S919">
        <f t="shared" si="133"/>
        <v>0</v>
      </c>
      <c r="T919">
        <f t="shared" si="134"/>
        <v>0</v>
      </c>
    </row>
    <row r="920" spans="1:20">
      <c r="A920" t="s">
        <v>1458</v>
      </c>
      <c r="B920" t="s">
        <v>70</v>
      </c>
      <c r="C920" t="s">
        <v>12</v>
      </c>
      <c r="D920">
        <v>672</v>
      </c>
      <c r="E920" s="4">
        <v>46044</v>
      </c>
      <c r="F920" s="4">
        <v>46051</v>
      </c>
      <c r="G920" s="4">
        <v>46059</v>
      </c>
      <c r="H920">
        <v>585</v>
      </c>
      <c r="I920" t="s">
        <v>690</v>
      </c>
      <c r="J920">
        <v>5</v>
      </c>
      <c r="K920" t="s">
        <v>1563</v>
      </c>
      <c r="L920" t="str">
        <f t="shared" si="126"/>
        <v>N</v>
      </c>
      <c r="M920" t="str">
        <f t="shared" si="127"/>
        <v>N</v>
      </c>
      <c r="N920" t="str">
        <f t="shared" si="128"/>
        <v>N</v>
      </c>
      <c r="O920">
        <f t="shared" si="129"/>
        <v>15</v>
      </c>
      <c r="P920" s="6">
        <f t="shared" si="130"/>
        <v>0.8705357142857143</v>
      </c>
      <c r="Q920" s="6">
        <f t="shared" si="131"/>
        <v>8.5470085470085479E-3</v>
      </c>
      <c r="R920">
        <f t="shared" si="132"/>
        <v>0</v>
      </c>
      <c r="S920">
        <f t="shared" si="133"/>
        <v>8</v>
      </c>
      <c r="T920">
        <f t="shared" si="134"/>
        <v>4000</v>
      </c>
    </row>
    <row r="921" spans="1:20">
      <c r="A921" t="s">
        <v>1459</v>
      </c>
      <c r="B921" t="s">
        <v>52</v>
      </c>
      <c r="C921" t="s">
        <v>16</v>
      </c>
      <c r="D921">
        <v>169</v>
      </c>
      <c r="E921" s="4">
        <v>46057</v>
      </c>
      <c r="F921" s="4">
        <v>46066</v>
      </c>
      <c r="G921" s="4">
        <v>46063</v>
      </c>
      <c r="H921">
        <v>167</v>
      </c>
      <c r="I921" t="s">
        <v>383</v>
      </c>
      <c r="J921">
        <v>1</v>
      </c>
      <c r="K921" t="s">
        <v>1563</v>
      </c>
      <c r="L921" t="str">
        <f t="shared" si="126"/>
        <v>Y</v>
      </c>
      <c r="M921" t="str">
        <f t="shared" si="127"/>
        <v>Y</v>
      </c>
      <c r="N921" t="str">
        <f t="shared" si="128"/>
        <v>Y</v>
      </c>
      <c r="O921">
        <f t="shared" si="129"/>
        <v>6</v>
      </c>
      <c r="P921" s="6">
        <f t="shared" si="130"/>
        <v>0.98816568047337283</v>
      </c>
      <c r="Q921" s="6">
        <f t="shared" si="131"/>
        <v>5.9880239520958087E-3</v>
      </c>
      <c r="R921">
        <f t="shared" si="132"/>
        <v>1</v>
      </c>
      <c r="S921">
        <f t="shared" si="133"/>
        <v>0</v>
      </c>
      <c r="T921">
        <f t="shared" si="134"/>
        <v>0</v>
      </c>
    </row>
    <row r="922" spans="1:20">
      <c r="A922" t="s">
        <v>1460</v>
      </c>
      <c r="B922" t="s">
        <v>26</v>
      </c>
      <c r="C922" t="s">
        <v>12</v>
      </c>
      <c r="D922">
        <v>696</v>
      </c>
      <c r="E922" s="4">
        <v>46100</v>
      </c>
      <c r="F922" s="4">
        <v>46108</v>
      </c>
      <c r="G922" s="4">
        <v>46105</v>
      </c>
      <c r="H922">
        <v>698</v>
      </c>
      <c r="I922" t="s">
        <v>38</v>
      </c>
      <c r="J922">
        <v>21</v>
      </c>
      <c r="K922" t="s">
        <v>1563</v>
      </c>
      <c r="L922" t="str">
        <f t="shared" si="126"/>
        <v>Y</v>
      </c>
      <c r="M922" t="str">
        <f t="shared" si="127"/>
        <v>Y</v>
      </c>
      <c r="N922" t="str">
        <f t="shared" si="128"/>
        <v>Y</v>
      </c>
      <c r="O922">
        <f t="shared" si="129"/>
        <v>5</v>
      </c>
      <c r="P922" s="6">
        <f t="shared" si="130"/>
        <v>1.0028735632183907</v>
      </c>
      <c r="Q922" s="6">
        <f t="shared" si="131"/>
        <v>3.0085959885386818E-2</v>
      </c>
      <c r="R922">
        <f t="shared" si="132"/>
        <v>1</v>
      </c>
      <c r="S922">
        <f t="shared" si="133"/>
        <v>0</v>
      </c>
      <c r="T922">
        <f t="shared" si="134"/>
        <v>0</v>
      </c>
    </row>
    <row r="923" spans="1:20">
      <c r="A923" t="s">
        <v>1461</v>
      </c>
      <c r="B923" t="s">
        <v>54</v>
      </c>
      <c r="C923" t="s">
        <v>16</v>
      </c>
      <c r="D923">
        <v>329</v>
      </c>
      <c r="E923" s="4">
        <v>46162</v>
      </c>
      <c r="F923" s="4">
        <v>46175</v>
      </c>
      <c r="G923" s="4">
        <v>46175</v>
      </c>
      <c r="H923">
        <v>333</v>
      </c>
      <c r="I923" t="s">
        <v>1357</v>
      </c>
      <c r="J923">
        <v>4</v>
      </c>
      <c r="K923" t="s">
        <v>1563</v>
      </c>
      <c r="L923" t="str">
        <f t="shared" si="126"/>
        <v>Y</v>
      </c>
      <c r="M923" t="str">
        <f t="shared" si="127"/>
        <v>Y</v>
      </c>
      <c r="N923" t="str">
        <f t="shared" si="128"/>
        <v>Y</v>
      </c>
      <c r="O923">
        <f t="shared" si="129"/>
        <v>13</v>
      </c>
      <c r="P923" s="6">
        <f t="shared" si="130"/>
        <v>1.0121580547112461</v>
      </c>
      <c r="Q923" s="6">
        <f t="shared" si="131"/>
        <v>1.2012012012012012E-2</v>
      </c>
      <c r="R923">
        <f t="shared" si="132"/>
        <v>1</v>
      </c>
      <c r="S923">
        <f t="shared" si="133"/>
        <v>0</v>
      </c>
      <c r="T923">
        <f t="shared" si="134"/>
        <v>0</v>
      </c>
    </row>
    <row r="924" spans="1:20">
      <c r="A924" t="s">
        <v>1462</v>
      </c>
      <c r="B924" t="s">
        <v>64</v>
      </c>
      <c r="C924" t="s">
        <v>12</v>
      </c>
      <c r="D924">
        <v>897</v>
      </c>
      <c r="E924" s="4">
        <v>46158</v>
      </c>
      <c r="F924" s="4">
        <v>46168</v>
      </c>
      <c r="G924" s="4">
        <v>46171</v>
      </c>
      <c r="H924">
        <v>892</v>
      </c>
      <c r="I924" t="s">
        <v>1463</v>
      </c>
      <c r="J924">
        <v>8</v>
      </c>
      <c r="K924" t="s">
        <v>1563</v>
      </c>
      <c r="L924" t="str">
        <f t="shared" si="126"/>
        <v>N</v>
      </c>
      <c r="M924" t="str">
        <f t="shared" si="127"/>
        <v>Y</v>
      </c>
      <c r="N924" t="str">
        <f t="shared" si="128"/>
        <v>N</v>
      </c>
      <c r="O924">
        <f t="shared" si="129"/>
        <v>13</v>
      </c>
      <c r="P924" s="6">
        <f t="shared" si="130"/>
        <v>0.99442586399108135</v>
      </c>
      <c r="Q924" s="6">
        <f t="shared" si="131"/>
        <v>8.9686098654708519E-3</v>
      </c>
      <c r="R924">
        <f t="shared" si="132"/>
        <v>0</v>
      </c>
      <c r="S924">
        <f t="shared" si="133"/>
        <v>3</v>
      </c>
      <c r="T924">
        <f t="shared" si="134"/>
        <v>1500</v>
      </c>
    </row>
    <row r="925" spans="1:20">
      <c r="A925" t="s">
        <v>1464</v>
      </c>
      <c r="B925" t="s">
        <v>100</v>
      </c>
      <c r="C925" t="s">
        <v>16</v>
      </c>
      <c r="D925">
        <v>956</v>
      </c>
      <c r="E925" s="4">
        <v>46033</v>
      </c>
      <c r="F925" s="4">
        <v>46040</v>
      </c>
      <c r="G925" s="4">
        <v>46038</v>
      </c>
      <c r="H925">
        <v>956</v>
      </c>
      <c r="I925" t="s">
        <v>1465</v>
      </c>
      <c r="J925">
        <v>22</v>
      </c>
      <c r="K925" t="s">
        <v>1563</v>
      </c>
      <c r="L925" t="str">
        <f t="shared" si="126"/>
        <v>Y</v>
      </c>
      <c r="M925" t="str">
        <f t="shared" si="127"/>
        <v>Y</v>
      </c>
      <c r="N925" t="str">
        <f t="shared" si="128"/>
        <v>Y</v>
      </c>
      <c r="O925">
        <f t="shared" si="129"/>
        <v>5</v>
      </c>
      <c r="P925" s="6">
        <f t="shared" si="130"/>
        <v>1</v>
      </c>
      <c r="Q925" s="6">
        <f t="shared" si="131"/>
        <v>2.3012552301255231E-2</v>
      </c>
      <c r="R925">
        <f t="shared" si="132"/>
        <v>1</v>
      </c>
      <c r="S925">
        <f t="shared" si="133"/>
        <v>0</v>
      </c>
      <c r="T925">
        <f t="shared" si="134"/>
        <v>0</v>
      </c>
    </row>
    <row r="926" spans="1:20">
      <c r="A926" t="s">
        <v>1466</v>
      </c>
      <c r="B926" t="s">
        <v>40</v>
      </c>
      <c r="C926" t="s">
        <v>16</v>
      </c>
      <c r="D926">
        <v>731</v>
      </c>
      <c r="E926" s="4">
        <v>46134</v>
      </c>
      <c r="F926" s="4">
        <v>46149</v>
      </c>
      <c r="G926" s="4">
        <v>46147</v>
      </c>
      <c r="H926">
        <v>732</v>
      </c>
      <c r="I926" t="s">
        <v>815</v>
      </c>
      <c r="J926">
        <v>47</v>
      </c>
      <c r="K926" t="s">
        <v>1563</v>
      </c>
      <c r="L926" t="str">
        <f t="shared" si="126"/>
        <v>Y</v>
      </c>
      <c r="M926" t="str">
        <f t="shared" si="127"/>
        <v>Y</v>
      </c>
      <c r="N926" t="str">
        <f t="shared" si="128"/>
        <v>Y</v>
      </c>
      <c r="O926">
        <f t="shared" si="129"/>
        <v>13</v>
      </c>
      <c r="P926" s="6">
        <f t="shared" si="130"/>
        <v>1.0013679890560876</v>
      </c>
      <c r="Q926" s="6">
        <f t="shared" si="131"/>
        <v>6.4207650273224046E-2</v>
      </c>
      <c r="R926">
        <f t="shared" si="132"/>
        <v>1</v>
      </c>
      <c r="S926">
        <f t="shared" si="133"/>
        <v>0</v>
      </c>
      <c r="T926">
        <f t="shared" si="134"/>
        <v>0</v>
      </c>
    </row>
    <row r="927" spans="1:20">
      <c r="A927" t="s">
        <v>1467</v>
      </c>
      <c r="B927" t="s">
        <v>40</v>
      </c>
      <c r="C927" t="s">
        <v>23</v>
      </c>
      <c r="D927">
        <v>86</v>
      </c>
      <c r="E927" s="4">
        <v>46168</v>
      </c>
      <c r="F927" s="4">
        <v>46179</v>
      </c>
      <c r="G927" s="4">
        <v>46176</v>
      </c>
      <c r="H927">
        <v>84</v>
      </c>
      <c r="I927" t="s">
        <v>33</v>
      </c>
      <c r="J927">
        <v>1</v>
      </c>
      <c r="K927" t="s">
        <v>1563</v>
      </c>
      <c r="L927" t="str">
        <f t="shared" si="126"/>
        <v>Y</v>
      </c>
      <c r="M927" t="str">
        <f t="shared" si="127"/>
        <v>N</v>
      </c>
      <c r="N927" t="str">
        <f t="shared" si="128"/>
        <v>N</v>
      </c>
      <c r="O927">
        <f t="shared" si="129"/>
        <v>8</v>
      </c>
      <c r="P927" s="6">
        <f t="shared" si="130"/>
        <v>0.97674418604651159</v>
      </c>
      <c r="Q927" s="6">
        <f t="shared" si="131"/>
        <v>1.1904761904761904E-2</v>
      </c>
      <c r="R927">
        <f t="shared" si="132"/>
        <v>0</v>
      </c>
      <c r="S927">
        <f t="shared" si="133"/>
        <v>0</v>
      </c>
      <c r="T927">
        <f t="shared" si="134"/>
        <v>0</v>
      </c>
    </row>
    <row r="928" spans="1:20">
      <c r="A928" t="s">
        <v>1469</v>
      </c>
      <c r="B928" t="s">
        <v>43</v>
      </c>
      <c r="C928" t="s">
        <v>12</v>
      </c>
      <c r="D928">
        <v>87</v>
      </c>
      <c r="E928" s="4">
        <v>46150</v>
      </c>
      <c r="F928" s="4">
        <v>46161</v>
      </c>
      <c r="G928" s="4">
        <v>46158</v>
      </c>
      <c r="H928">
        <v>86</v>
      </c>
      <c r="I928" t="s">
        <v>231</v>
      </c>
      <c r="J928">
        <v>1</v>
      </c>
      <c r="K928" t="s">
        <v>1563</v>
      </c>
      <c r="L928" t="str">
        <f t="shared" si="126"/>
        <v>Y</v>
      </c>
      <c r="M928" t="str">
        <f t="shared" si="127"/>
        <v>Y</v>
      </c>
      <c r="N928" t="str">
        <f t="shared" si="128"/>
        <v>Y</v>
      </c>
      <c r="O928">
        <f t="shared" si="129"/>
        <v>8</v>
      </c>
      <c r="P928" s="6">
        <f t="shared" si="130"/>
        <v>0.9885057471264368</v>
      </c>
      <c r="Q928" s="6">
        <f t="shared" si="131"/>
        <v>1.1627906976744186E-2</v>
      </c>
      <c r="R928">
        <f t="shared" si="132"/>
        <v>1</v>
      </c>
      <c r="S928">
        <f t="shared" si="133"/>
        <v>0</v>
      </c>
      <c r="T928">
        <f t="shared" si="134"/>
        <v>0</v>
      </c>
    </row>
    <row r="929" spans="1:20">
      <c r="A929" t="s">
        <v>1470</v>
      </c>
      <c r="B929" t="s">
        <v>64</v>
      </c>
      <c r="C929" t="s">
        <v>16</v>
      </c>
      <c r="D929">
        <v>665</v>
      </c>
      <c r="E929" s="4">
        <v>46093</v>
      </c>
      <c r="F929" s="4">
        <v>46098</v>
      </c>
      <c r="G929" s="4">
        <v>46097</v>
      </c>
      <c r="H929">
        <v>631</v>
      </c>
      <c r="I929" t="s">
        <v>1471</v>
      </c>
      <c r="J929">
        <v>27</v>
      </c>
      <c r="K929" t="s">
        <v>1563</v>
      </c>
      <c r="L929" t="str">
        <f t="shared" si="126"/>
        <v>Y</v>
      </c>
      <c r="M929" t="str">
        <f t="shared" si="127"/>
        <v>N</v>
      </c>
      <c r="N929" t="str">
        <f t="shared" si="128"/>
        <v>N</v>
      </c>
      <c r="O929">
        <f t="shared" si="129"/>
        <v>4</v>
      </c>
      <c r="P929" s="6">
        <f t="shared" si="130"/>
        <v>0.94887218045112787</v>
      </c>
      <c r="Q929" s="6">
        <f t="shared" si="131"/>
        <v>4.2789223454833596E-2</v>
      </c>
      <c r="R929">
        <f t="shared" si="132"/>
        <v>0</v>
      </c>
      <c r="S929">
        <f t="shared" si="133"/>
        <v>0</v>
      </c>
      <c r="T929">
        <f t="shared" si="134"/>
        <v>0</v>
      </c>
    </row>
    <row r="930" spans="1:20">
      <c r="A930" t="s">
        <v>1472</v>
      </c>
      <c r="B930" t="s">
        <v>120</v>
      </c>
      <c r="C930" t="s">
        <v>12</v>
      </c>
      <c r="D930">
        <v>271</v>
      </c>
      <c r="E930" s="4">
        <v>46102</v>
      </c>
      <c r="F930" s="4">
        <v>46113</v>
      </c>
      <c r="G930" s="4">
        <v>46112</v>
      </c>
      <c r="H930">
        <v>271</v>
      </c>
      <c r="I930" t="s">
        <v>658</v>
      </c>
      <c r="J930">
        <v>7</v>
      </c>
      <c r="K930" t="s">
        <v>1563</v>
      </c>
      <c r="L930" t="str">
        <f t="shared" si="126"/>
        <v>Y</v>
      </c>
      <c r="M930" t="str">
        <f t="shared" si="127"/>
        <v>Y</v>
      </c>
      <c r="N930" t="str">
        <f t="shared" si="128"/>
        <v>Y</v>
      </c>
      <c r="O930">
        <f t="shared" si="129"/>
        <v>10</v>
      </c>
      <c r="P930" s="6">
        <f t="shared" si="130"/>
        <v>1</v>
      </c>
      <c r="Q930" s="6">
        <f t="shared" si="131"/>
        <v>2.5830258302583026E-2</v>
      </c>
      <c r="R930">
        <f t="shared" si="132"/>
        <v>1</v>
      </c>
      <c r="S930">
        <f t="shared" si="133"/>
        <v>0</v>
      </c>
      <c r="T930">
        <f t="shared" si="134"/>
        <v>0</v>
      </c>
    </row>
    <row r="931" spans="1:20">
      <c r="A931" t="s">
        <v>1473</v>
      </c>
      <c r="B931" t="s">
        <v>64</v>
      </c>
      <c r="C931" t="s">
        <v>16</v>
      </c>
      <c r="D931">
        <v>758</v>
      </c>
      <c r="E931" s="4">
        <v>46046</v>
      </c>
      <c r="F931" s="4">
        <v>46059</v>
      </c>
      <c r="G931" s="4">
        <v>46057</v>
      </c>
      <c r="H931">
        <v>746</v>
      </c>
      <c r="I931" t="s">
        <v>815</v>
      </c>
      <c r="J931">
        <v>48</v>
      </c>
      <c r="K931" t="s">
        <v>1563</v>
      </c>
      <c r="L931" t="str">
        <f t="shared" si="126"/>
        <v>Y</v>
      </c>
      <c r="M931" t="str">
        <f t="shared" si="127"/>
        <v>Y</v>
      </c>
      <c r="N931" t="str">
        <f t="shared" si="128"/>
        <v>Y</v>
      </c>
      <c r="O931">
        <f t="shared" si="129"/>
        <v>11</v>
      </c>
      <c r="P931" s="6">
        <f t="shared" si="130"/>
        <v>0.9841688654353562</v>
      </c>
      <c r="Q931" s="6">
        <f t="shared" si="131"/>
        <v>6.4343163538873996E-2</v>
      </c>
      <c r="R931">
        <f t="shared" si="132"/>
        <v>1</v>
      </c>
      <c r="S931">
        <f t="shared" si="133"/>
        <v>0</v>
      </c>
      <c r="T931">
        <f t="shared" si="134"/>
        <v>0</v>
      </c>
    </row>
    <row r="932" spans="1:20">
      <c r="A932" t="s">
        <v>1474</v>
      </c>
      <c r="B932" t="s">
        <v>120</v>
      </c>
      <c r="C932" t="s">
        <v>12</v>
      </c>
      <c r="D932">
        <v>208</v>
      </c>
      <c r="E932" s="4">
        <v>46049</v>
      </c>
      <c r="F932" s="4">
        <v>46055</v>
      </c>
      <c r="G932" s="4">
        <v>46052</v>
      </c>
      <c r="H932">
        <v>211</v>
      </c>
      <c r="I932" t="s">
        <v>38</v>
      </c>
      <c r="J932">
        <v>11</v>
      </c>
      <c r="K932" t="s">
        <v>1563</v>
      </c>
      <c r="L932" t="str">
        <f t="shared" si="126"/>
        <v>Y</v>
      </c>
      <c r="M932" t="str">
        <f t="shared" si="127"/>
        <v>Y</v>
      </c>
      <c r="N932" t="str">
        <f t="shared" si="128"/>
        <v>Y</v>
      </c>
      <c r="O932">
        <f t="shared" si="129"/>
        <v>3</v>
      </c>
      <c r="P932" s="6">
        <f t="shared" si="130"/>
        <v>1.0144230769230769</v>
      </c>
      <c r="Q932" s="6">
        <f t="shared" si="131"/>
        <v>5.2132701421800945E-2</v>
      </c>
      <c r="R932">
        <f t="shared" si="132"/>
        <v>1</v>
      </c>
      <c r="S932">
        <f t="shared" si="133"/>
        <v>0</v>
      </c>
      <c r="T932">
        <f t="shared" si="134"/>
        <v>0</v>
      </c>
    </row>
    <row r="933" spans="1:20">
      <c r="A933" t="s">
        <v>1475</v>
      </c>
      <c r="B933" t="s">
        <v>11</v>
      </c>
      <c r="C933" t="s">
        <v>16</v>
      </c>
      <c r="D933">
        <v>307</v>
      </c>
      <c r="E933" s="4">
        <v>46112</v>
      </c>
      <c r="F933" s="4">
        <v>46117</v>
      </c>
      <c r="G933" s="4">
        <v>46116</v>
      </c>
      <c r="H933">
        <v>312</v>
      </c>
      <c r="I933" t="s">
        <v>650</v>
      </c>
      <c r="J933">
        <v>1</v>
      </c>
      <c r="K933" t="s">
        <v>1563</v>
      </c>
      <c r="L933" t="str">
        <f t="shared" si="126"/>
        <v>Y</v>
      </c>
      <c r="M933" t="str">
        <f t="shared" si="127"/>
        <v>Y</v>
      </c>
      <c r="N933" t="str">
        <f t="shared" si="128"/>
        <v>Y</v>
      </c>
      <c r="O933">
        <f t="shared" si="129"/>
        <v>4</v>
      </c>
      <c r="P933" s="6">
        <f t="shared" si="130"/>
        <v>1.0162866449511401</v>
      </c>
      <c r="Q933" s="6">
        <f t="shared" si="131"/>
        <v>3.205128205128205E-3</v>
      </c>
      <c r="R933">
        <f t="shared" si="132"/>
        <v>1</v>
      </c>
      <c r="S933">
        <f t="shared" si="133"/>
        <v>0</v>
      </c>
      <c r="T933">
        <f t="shared" si="134"/>
        <v>0</v>
      </c>
    </row>
    <row r="934" spans="1:20">
      <c r="A934" t="s">
        <v>1476</v>
      </c>
      <c r="B934" t="s">
        <v>35</v>
      </c>
      <c r="C934" t="s">
        <v>23</v>
      </c>
      <c r="D934">
        <v>122</v>
      </c>
      <c r="E934" s="4">
        <v>46057</v>
      </c>
      <c r="F934" s="4">
        <v>46063</v>
      </c>
      <c r="G934" s="4">
        <v>46064</v>
      </c>
      <c r="H934">
        <v>123</v>
      </c>
      <c r="I934" t="s">
        <v>1477</v>
      </c>
      <c r="J934">
        <v>7</v>
      </c>
      <c r="K934" t="s">
        <v>1563</v>
      </c>
      <c r="L934" t="str">
        <f t="shared" si="126"/>
        <v>N</v>
      </c>
      <c r="M934" t="str">
        <f t="shared" si="127"/>
        <v>Y</v>
      </c>
      <c r="N934" t="str">
        <f t="shared" si="128"/>
        <v>N</v>
      </c>
      <c r="O934">
        <f t="shared" si="129"/>
        <v>7</v>
      </c>
      <c r="P934" s="6">
        <f t="shared" si="130"/>
        <v>1.0081967213114753</v>
      </c>
      <c r="Q934" s="6">
        <f t="shared" si="131"/>
        <v>5.6910569105691054E-2</v>
      </c>
      <c r="R934">
        <f t="shared" si="132"/>
        <v>0</v>
      </c>
      <c r="S934">
        <f t="shared" si="133"/>
        <v>1</v>
      </c>
      <c r="T934">
        <f t="shared" si="134"/>
        <v>500</v>
      </c>
    </row>
    <row r="935" spans="1:20">
      <c r="A935" t="s">
        <v>1478</v>
      </c>
      <c r="B935" t="s">
        <v>49</v>
      </c>
      <c r="C935" t="s">
        <v>23</v>
      </c>
      <c r="D935">
        <v>753</v>
      </c>
      <c r="E935" s="4">
        <v>46173</v>
      </c>
      <c r="F935" s="4">
        <v>46186</v>
      </c>
      <c r="G935" s="4">
        <v>46190</v>
      </c>
      <c r="H935">
        <v>766</v>
      </c>
      <c r="I935" t="s">
        <v>1479</v>
      </c>
      <c r="J935">
        <v>5</v>
      </c>
      <c r="K935" t="s">
        <v>1563</v>
      </c>
      <c r="L935" t="str">
        <f t="shared" si="126"/>
        <v>N</v>
      </c>
      <c r="M935" t="str">
        <f t="shared" si="127"/>
        <v>Y</v>
      </c>
      <c r="N935" t="str">
        <f t="shared" si="128"/>
        <v>N</v>
      </c>
      <c r="O935">
        <f t="shared" si="129"/>
        <v>17</v>
      </c>
      <c r="P935" s="6">
        <f t="shared" si="130"/>
        <v>1.0172642762284196</v>
      </c>
      <c r="Q935" s="6">
        <f t="shared" si="131"/>
        <v>6.5274151436031328E-3</v>
      </c>
      <c r="R935">
        <f t="shared" si="132"/>
        <v>0</v>
      </c>
      <c r="S935">
        <f t="shared" si="133"/>
        <v>4</v>
      </c>
      <c r="T935">
        <f t="shared" si="134"/>
        <v>2000</v>
      </c>
    </row>
    <row r="936" spans="1:20">
      <c r="A936" t="s">
        <v>1480</v>
      </c>
      <c r="B936" t="s">
        <v>29</v>
      </c>
      <c r="C936" t="s">
        <v>12</v>
      </c>
      <c r="D936">
        <v>529</v>
      </c>
      <c r="E936" s="4">
        <v>46129</v>
      </c>
      <c r="F936" s="4">
        <v>46135</v>
      </c>
      <c r="G936" s="4">
        <v>46133</v>
      </c>
      <c r="H936">
        <v>535</v>
      </c>
      <c r="I936" t="s">
        <v>1481</v>
      </c>
      <c r="J936">
        <v>3</v>
      </c>
      <c r="K936" t="s">
        <v>1563</v>
      </c>
      <c r="L936" t="str">
        <f t="shared" si="126"/>
        <v>Y</v>
      </c>
      <c r="M936" t="str">
        <f t="shared" si="127"/>
        <v>Y</v>
      </c>
      <c r="N936" t="str">
        <f t="shared" si="128"/>
        <v>Y</v>
      </c>
      <c r="O936">
        <f t="shared" si="129"/>
        <v>4</v>
      </c>
      <c r="P936" s="6">
        <f t="shared" si="130"/>
        <v>1.0113421550094519</v>
      </c>
      <c r="Q936" s="6">
        <f t="shared" si="131"/>
        <v>5.6074766355140183E-3</v>
      </c>
      <c r="R936">
        <f t="shared" si="132"/>
        <v>1</v>
      </c>
      <c r="S936">
        <f t="shared" si="133"/>
        <v>0</v>
      </c>
      <c r="T936">
        <f t="shared" si="134"/>
        <v>0</v>
      </c>
    </row>
    <row r="937" spans="1:20">
      <c r="A937" t="s">
        <v>1482</v>
      </c>
      <c r="B937" t="s">
        <v>177</v>
      </c>
      <c r="C937" t="s">
        <v>12</v>
      </c>
      <c r="D937">
        <v>403</v>
      </c>
      <c r="E937" s="4">
        <v>46119</v>
      </c>
      <c r="F937" s="4">
        <v>46124</v>
      </c>
      <c r="G937" s="4">
        <v>46124</v>
      </c>
      <c r="H937">
        <v>404</v>
      </c>
      <c r="I937" t="s">
        <v>1483</v>
      </c>
      <c r="J937">
        <v>0</v>
      </c>
      <c r="K937" t="s">
        <v>1563</v>
      </c>
      <c r="L937" t="str">
        <f t="shared" si="126"/>
        <v>Y</v>
      </c>
      <c r="M937" t="str">
        <f t="shared" si="127"/>
        <v>Y</v>
      </c>
      <c r="N937" t="str">
        <f t="shared" si="128"/>
        <v>Y</v>
      </c>
      <c r="O937">
        <f t="shared" si="129"/>
        <v>5</v>
      </c>
      <c r="P937" s="6">
        <f t="shared" si="130"/>
        <v>1.0024813895781637</v>
      </c>
      <c r="Q937" s="6">
        <f t="shared" si="131"/>
        <v>0</v>
      </c>
      <c r="R937">
        <f t="shared" si="132"/>
        <v>1</v>
      </c>
      <c r="S937">
        <f t="shared" si="133"/>
        <v>0</v>
      </c>
      <c r="T937">
        <f t="shared" si="134"/>
        <v>0</v>
      </c>
    </row>
    <row r="938" spans="1:20">
      <c r="A938" t="s">
        <v>1484</v>
      </c>
      <c r="B938" t="s">
        <v>49</v>
      </c>
      <c r="C938" t="s">
        <v>12</v>
      </c>
      <c r="D938">
        <v>911</v>
      </c>
      <c r="E938" s="4">
        <v>46143</v>
      </c>
      <c r="F938" s="4">
        <v>46154</v>
      </c>
      <c r="G938" s="4">
        <v>46162</v>
      </c>
      <c r="H938">
        <v>923</v>
      </c>
      <c r="I938" t="s">
        <v>1455</v>
      </c>
      <c r="J938">
        <v>11</v>
      </c>
      <c r="K938" t="s">
        <v>1563</v>
      </c>
      <c r="L938" t="str">
        <f t="shared" si="126"/>
        <v>N</v>
      </c>
      <c r="M938" t="str">
        <f t="shared" si="127"/>
        <v>Y</v>
      </c>
      <c r="N938" t="str">
        <f t="shared" si="128"/>
        <v>N</v>
      </c>
      <c r="O938">
        <f t="shared" si="129"/>
        <v>19</v>
      </c>
      <c r="P938" s="6">
        <f t="shared" si="130"/>
        <v>1.0131723380900111</v>
      </c>
      <c r="Q938" s="6">
        <f t="shared" si="131"/>
        <v>1.1917659804983749E-2</v>
      </c>
      <c r="R938">
        <f t="shared" si="132"/>
        <v>0</v>
      </c>
      <c r="S938">
        <f t="shared" si="133"/>
        <v>8</v>
      </c>
      <c r="T938">
        <f t="shared" si="134"/>
        <v>4000</v>
      </c>
    </row>
    <row r="939" spans="1:20">
      <c r="A939" t="s">
        <v>1485</v>
      </c>
      <c r="B939" t="s">
        <v>70</v>
      </c>
      <c r="C939" t="s">
        <v>12</v>
      </c>
      <c r="D939">
        <v>819</v>
      </c>
      <c r="E939" s="4">
        <v>46115</v>
      </c>
      <c r="F939" s="4">
        <v>46123</v>
      </c>
      <c r="G939" s="4">
        <v>46121</v>
      </c>
      <c r="H939">
        <v>830</v>
      </c>
      <c r="I939" t="s">
        <v>603</v>
      </c>
      <c r="J939">
        <v>2</v>
      </c>
      <c r="K939" t="s">
        <v>1563</v>
      </c>
      <c r="L939" t="str">
        <f t="shared" si="126"/>
        <v>Y</v>
      </c>
      <c r="M939" t="str">
        <f t="shared" si="127"/>
        <v>Y</v>
      </c>
      <c r="N939" t="str">
        <f t="shared" si="128"/>
        <v>Y</v>
      </c>
      <c r="O939">
        <f t="shared" si="129"/>
        <v>6</v>
      </c>
      <c r="P939" s="6">
        <f t="shared" si="130"/>
        <v>1.0134310134310134</v>
      </c>
      <c r="Q939" s="6">
        <f t="shared" si="131"/>
        <v>2.4096385542168677E-3</v>
      </c>
      <c r="R939">
        <f t="shared" si="132"/>
        <v>1</v>
      </c>
      <c r="S939">
        <f t="shared" si="133"/>
        <v>0</v>
      </c>
      <c r="T939">
        <f t="shared" si="134"/>
        <v>0</v>
      </c>
    </row>
    <row r="940" spans="1:20">
      <c r="A940" t="s">
        <v>1486</v>
      </c>
      <c r="B940" t="s">
        <v>35</v>
      </c>
      <c r="C940" t="s">
        <v>12</v>
      </c>
      <c r="D940">
        <v>348</v>
      </c>
      <c r="E940" s="4">
        <v>46043</v>
      </c>
      <c r="F940" s="4">
        <v>46054</v>
      </c>
      <c r="G940" s="4">
        <v>46051</v>
      </c>
      <c r="H940">
        <v>352</v>
      </c>
      <c r="I940" t="s">
        <v>98</v>
      </c>
      <c r="J940">
        <v>22</v>
      </c>
      <c r="K940" t="s">
        <v>1563</v>
      </c>
      <c r="L940" t="str">
        <f t="shared" si="126"/>
        <v>Y</v>
      </c>
      <c r="M940" t="str">
        <f t="shared" si="127"/>
        <v>Y</v>
      </c>
      <c r="N940" t="str">
        <f t="shared" si="128"/>
        <v>Y</v>
      </c>
      <c r="O940">
        <f t="shared" si="129"/>
        <v>8</v>
      </c>
      <c r="P940" s="6">
        <f t="shared" si="130"/>
        <v>1.0114942528735633</v>
      </c>
      <c r="Q940" s="6">
        <f t="shared" si="131"/>
        <v>6.25E-2</v>
      </c>
      <c r="R940">
        <f t="shared" si="132"/>
        <v>1</v>
      </c>
      <c r="S940">
        <f t="shared" si="133"/>
        <v>0</v>
      </c>
      <c r="T940">
        <f t="shared" si="134"/>
        <v>0</v>
      </c>
    </row>
    <row r="941" spans="1:20">
      <c r="A941" t="s">
        <v>1487</v>
      </c>
      <c r="B941" t="s">
        <v>67</v>
      </c>
      <c r="C941" t="s">
        <v>12</v>
      </c>
      <c r="D941">
        <v>321</v>
      </c>
      <c r="E941" s="4">
        <v>46028</v>
      </c>
      <c r="F941" s="4">
        <v>46035</v>
      </c>
      <c r="G941" s="4">
        <v>46040</v>
      </c>
      <c r="H941">
        <v>276</v>
      </c>
      <c r="I941" t="s">
        <v>645</v>
      </c>
      <c r="J941">
        <v>1</v>
      </c>
      <c r="K941" t="s">
        <v>1563</v>
      </c>
      <c r="L941" t="str">
        <f t="shared" si="126"/>
        <v>N</v>
      </c>
      <c r="M941" t="str">
        <f t="shared" si="127"/>
        <v>N</v>
      </c>
      <c r="N941" t="str">
        <f t="shared" si="128"/>
        <v>N</v>
      </c>
      <c r="O941">
        <f t="shared" si="129"/>
        <v>12</v>
      </c>
      <c r="P941" s="6">
        <f t="shared" si="130"/>
        <v>0.85981308411214952</v>
      </c>
      <c r="Q941" s="6">
        <f t="shared" si="131"/>
        <v>3.6231884057971015E-3</v>
      </c>
      <c r="R941">
        <f t="shared" si="132"/>
        <v>0</v>
      </c>
      <c r="S941">
        <f t="shared" si="133"/>
        <v>5</v>
      </c>
      <c r="T941">
        <f t="shared" si="134"/>
        <v>2500</v>
      </c>
    </row>
    <row r="942" spans="1:20">
      <c r="A942" t="s">
        <v>1488</v>
      </c>
      <c r="B942" t="s">
        <v>11</v>
      </c>
      <c r="C942" t="s">
        <v>12</v>
      </c>
      <c r="D942">
        <v>518</v>
      </c>
      <c r="E942" s="4">
        <v>46110</v>
      </c>
      <c r="F942" s="4">
        <v>46118</v>
      </c>
      <c r="G942" s="4"/>
      <c r="I942" t="s">
        <v>891</v>
      </c>
      <c r="K942" t="s">
        <v>1565</v>
      </c>
      <c r="L942" t="str">
        <f t="shared" si="126"/>
        <v>N/A</v>
      </c>
      <c r="M942" t="str">
        <f t="shared" si="127"/>
        <v>N/A</v>
      </c>
      <c r="N942" t="str">
        <f t="shared" si="128"/>
        <v>N/A</v>
      </c>
      <c r="O942" t="str">
        <f t="shared" si="129"/>
        <v>N/A</v>
      </c>
      <c r="P942" s="6" t="str">
        <f t="shared" si="130"/>
        <v>N/A</v>
      </c>
      <c r="Q942" s="6" t="str">
        <f t="shared" si="131"/>
        <v>N/A</v>
      </c>
      <c r="R942" t="str">
        <f t="shared" si="132"/>
        <v/>
      </c>
      <c r="S942" t="str">
        <f t="shared" si="133"/>
        <v>N/A</v>
      </c>
      <c r="T942">
        <f t="shared" si="134"/>
        <v>0</v>
      </c>
    </row>
    <row r="943" spans="1:20">
      <c r="A943" t="s">
        <v>1489</v>
      </c>
      <c r="B943" t="s">
        <v>29</v>
      </c>
      <c r="C943" t="s">
        <v>23</v>
      </c>
      <c r="D943">
        <v>290</v>
      </c>
      <c r="E943" s="4">
        <v>46130</v>
      </c>
      <c r="F943" s="4">
        <v>46144</v>
      </c>
      <c r="G943" s="4">
        <v>46141</v>
      </c>
      <c r="H943">
        <v>278</v>
      </c>
      <c r="I943" t="s">
        <v>1491</v>
      </c>
      <c r="J943">
        <v>3</v>
      </c>
      <c r="K943" t="s">
        <v>1563</v>
      </c>
      <c r="L943" t="str">
        <f t="shared" si="126"/>
        <v>Y</v>
      </c>
      <c r="M943" t="str">
        <f t="shared" si="127"/>
        <v>N</v>
      </c>
      <c r="N943" t="str">
        <f t="shared" si="128"/>
        <v>N</v>
      </c>
      <c r="O943">
        <f t="shared" si="129"/>
        <v>11</v>
      </c>
      <c r="P943" s="6">
        <f t="shared" si="130"/>
        <v>0.95862068965517244</v>
      </c>
      <c r="Q943" s="6">
        <f t="shared" si="131"/>
        <v>1.0791366906474821E-2</v>
      </c>
      <c r="R943">
        <f t="shared" si="132"/>
        <v>0</v>
      </c>
      <c r="S943">
        <f t="shared" si="133"/>
        <v>0</v>
      </c>
      <c r="T943">
        <f t="shared" si="134"/>
        <v>0</v>
      </c>
    </row>
    <row r="944" spans="1:20">
      <c r="A944" t="s">
        <v>1492</v>
      </c>
      <c r="B944" t="s">
        <v>49</v>
      </c>
      <c r="C944" t="s">
        <v>23</v>
      </c>
      <c r="D944">
        <v>694</v>
      </c>
      <c r="E944" s="4">
        <v>46052</v>
      </c>
      <c r="F944" s="4">
        <v>46063</v>
      </c>
      <c r="G944" s="4">
        <v>46062</v>
      </c>
      <c r="H944">
        <v>693</v>
      </c>
      <c r="I944" t="s">
        <v>1493</v>
      </c>
      <c r="J944">
        <v>7</v>
      </c>
      <c r="K944" t="s">
        <v>1563</v>
      </c>
      <c r="L944" t="str">
        <f t="shared" si="126"/>
        <v>Y</v>
      </c>
      <c r="M944" t="str">
        <f t="shared" si="127"/>
        <v>Y</v>
      </c>
      <c r="N944" t="str">
        <f t="shared" si="128"/>
        <v>Y</v>
      </c>
      <c r="O944">
        <f t="shared" si="129"/>
        <v>10</v>
      </c>
      <c r="P944" s="6">
        <f t="shared" si="130"/>
        <v>0.99855907780979825</v>
      </c>
      <c r="Q944" s="6">
        <f t="shared" si="131"/>
        <v>1.0101010101010102E-2</v>
      </c>
      <c r="R944">
        <f t="shared" si="132"/>
        <v>1</v>
      </c>
      <c r="S944">
        <f t="shared" si="133"/>
        <v>0</v>
      </c>
      <c r="T944">
        <f t="shared" si="134"/>
        <v>0</v>
      </c>
    </row>
    <row r="945" spans="1:20">
      <c r="A945" t="s">
        <v>1494</v>
      </c>
      <c r="B945" t="s">
        <v>46</v>
      </c>
      <c r="C945" t="s">
        <v>12</v>
      </c>
      <c r="D945">
        <v>522</v>
      </c>
      <c r="E945" s="4">
        <v>46146</v>
      </c>
      <c r="F945" s="4">
        <v>46158</v>
      </c>
      <c r="G945" s="4">
        <v>46155</v>
      </c>
      <c r="H945">
        <v>512</v>
      </c>
      <c r="I945" t="s">
        <v>731</v>
      </c>
      <c r="J945">
        <v>2</v>
      </c>
      <c r="K945" t="s">
        <v>1563</v>
      </c>
      <c r="L945" t="str">
        <f t="shared" si="126"/>
        <v>Y</v>
      </c>
      <c r="M945" t="str">
        <f t="shared" si="127"/>
        <v>Y</v>
      </c>
      <c r="N945" t="str">
        <f t="shared" si="128"/>
        <v>Y</v>
      </c>
      <c r="O945">
        <f t="shared" si="129"/>
        <v>9</v>
      </c>
      <c r="P945" s="6">
        <f t="shared" si="130"/>
        <v>0.98084291187739459</v>
      </c>
      <c r="Q945" s="6">
        <f t="shared" si="131"/>
        <v>3.90625E-3</v>
      </c>
      <c r="R945">
        <f t="shared" si="132"/>
        <v>1</v>
      </c>
      <c r="S945">
        <f t="shared" si="133"/>
        <v>0</v>
      </c>
      <c r="T945">
        <f t="shared" si="134"/>
        <v>0</v>
      </c>
    </row>
    <row r="946" spans="1:20">
      <c r="A946" t="s">
        <v>1495</v>
      </c>
      <c r="B946" t="s">
        <v>64</v>
      </c>
      <c r="C946" t="s">
        <v>23</v>
      </c>
      <c r="D946">
        <v>835</v>
      </c>
      <c r="E946" s="4">
        <v>46147</v>
      </c>
      <c r="F946" s="4">
        <v>46152</v>
      </c>
      <c r="G946" s="4">
        <v>46160</v>
      </c>
      <c r="H946">
        <v>835</v>
      </c>
      <c r="I946" t="s">
        <v>1496</v>
      </c>
      <c r="J946">
        <v>68</v>
      </c>
      <c r="K946" t="s">
        <v>1563</v>
      </c>
      <c r="L946" t="str">
        <f t="shared" si="126"/>
        <v>N</v>
      </c>
      <c r="M946" t="str">
        <f t="shared" si="127"/>
        <v>Y</v>
      </c>
      <c r="N946" t="str">
        <f t="shared" si="128"/>
        <v>N</v>
      </c>
      <c r="O946">
        <f t="shared" si="129"/>
        <v>13</v>
      </c>
      <c r="P946" s="6">
        <f t="shared" si="130"/>
        <v>1</v>
      </c>
      <c r="Q946" s="6">
        <f t="shared" si="131"/>
        <v>8.1437125748502995E-2</v>
      </c>
      <c r="R946">
        <f t="shared" si="132"/>
        <v>0</v>
      </c>
      <c r="S946">
        <f t="shared" si="133"/>
        <v>8</v>
      </c>
      <c r="T946">
        <f t="shared" si="134"/>
        <v>4000</v>
      </c>
    </row>
    <row r="947" spans="1:20">
      <c r="A947" t="s">
        <v>1497</v>
      </c>
      <c r="B947" t="s">
        <v>64</v>
      </c>
      <c r="C947" t="s">
        <v>12</v>
      </c>
      <c r="D947">
        <v>961</v>
      </c>
      <c r="E947" s="4">
        <v>46134</v>
      </c>
      <c r="F947" s="4">
        <v>46148</v>
      </c>
      <c r="G947" s="4">
        <v>46157</v>
      </c>
      <c r="H947">
        <v>906</v>
      </c>
      <c r="I947" t="s">
        <v>1119</v>
      </c>
      <c r="J947">
        <v>2</v>
      </c>
      <c r="K947" t="s">
        <v>1563</v>
      </c>
      <c r="L947" t="str">
        <f t="shared" si="126"/>
        <v>N</v>
      </c>
      <c r="M947" t="str">
        <f t="shared" si="127"/>
        <v>N</v>
      </c>
      <c r="N947" t="str">
        <f t="shared" si="128"/>
        <v>N</v>
      </c>
      <c r="O947">
        <f t="shared" si="129"/>
        <v>23</v>
      </c>
      <c r="P947" s="6">
        <f t="shared" si="130"/>
        <v>0.94276795005202918</v>
      </c>
      <c r="Q947" s="6">
        <f t="shared" si="131"/>
        <v>2.2075055187637969E-3</v>
      </c>
      <c r="R947">
        <f t="shared" si="132"/>
        <v>0</v>
      </c>
      <c r="S947">
        <f t="shared" si="133"/>
        <v>9</v>
      </c>
      <c r="T947">
        <f t="shared" si="134"/>
        <v>4500</v>
      </c>
    </row>
    <row r="948" spans="1:20">
      <c r="A948" t="s">
        <v>1498</v>
      </c>
      <c r="B948" t="s">
        <v>54</v>
      </c>
      <c r="C948" t="s">
        <v>12</v>
      </c>
      <c r="D948">
        <v>399</v>
      </c>
      <c r="E948" s="4">
        <v>46027</v>
      </c>
      <c r="F948" s="4">
        <v>46039</v>
      </c>
      <c r="G948" s="4">
        <v>46039</v>
      </c>
      <c r="H948">
        <v>404</v>
      </c>
      <c r="I948" t="s">
        <v>178</v>
      </c>
      <c r="J948">
        <v>7</v>
      </c>
      <c r="K948" t="s">
        <v>1563</v>
      </c>
      <c r="L948" t="str">
        <f t="shared" si="126"/>
        <v>Y</v>
      </c>
      <c r="M948" t="str">
        <f t="shared" si="127"/>
        <v>Y</v>
      </c>
      <c r="N948" t="str">
        <f t="shared" si="128"/>
        <v>Y</v>
      </c>
      <c r="O948">
        <f t="shared" si="129"/>
        <v>12</v>
      </c>
      <c r="P948" s="6">
        <f t="shared" si="130"/>
        <v>1.0125313283208019</v>
      </c>
      <c r="Q948" s="6">
        <f t="shared" si="131"/>
        <v>1.7326732673267328E-2</v>
      </c>
      <c r="R948">
        <f t="shared" si="132"/>
        <v>1</v>
      </c>
      <c r="S948">
        <f t="shared" si="133"/>
        <v>0</v>
      </c>
      <c r="T948">
        <f t="shared" si="134"/>
        <v>0</v>
      </c>
    </row>
    <row r="949" spans="1:20">
      <c r="A949" t="s">
        <v>1499</v>
      </c>
      <c r="B949" t="s">
        <v>46</v>
      </c>
      <c r="C949" t="s">
        <v>23</v>
      </c>
      <c r="D949">
        <v>705</v>
      </c>
      <c r="E949" s="4">
        <v>46085</v>
      </c>
      <c r="F949" s="4">
        <v>46099</v>
      </c>
      <c r="G949" s="4">
        <v>46097</v>
      </c>
      <c r="H949">
        <v>710</v>
      </c>
      <c r="I949" t="s">
        <v>1005</v>
      </c>
      <c r="J949">
        <v>34</v>
      </c>
      <c r="K949" t="s">
        <v>1563</v>
      </c>
      <c r="L949" t="str">
        <f t="shared" si="126"/>
        <v>Y</v>
      </c>
      <c r="M949" t="str">
        <f t="shared" si="127"/>
        <v>Y</v>
      </c>
      <c r="N949" t="str">
        <f t="shared" si="128"/>
        <v>Y</v>
      </c>
      <c r="O949">
        <f t="shared" si="129"/>
        <v>12</v>
      </c>
      <c r="P949" s="6">
        <f t="shared" si="130"/>
        <v>1.0070921985815602</v>
      </c>
      <c r="Q949" s="6">
        <f t="shared" si="131"/>
        <v>4.788732394366197E-2</v>
      </c>
      <c r="R949">
        <f t="shared" si="132"/>
        <v>1</v>
      </c>
      <c r="S949">
        <f t="shared" si="133"/>
        <v>0</v>
      </c>
      <c r="T949">
        <f t="shared" si="134"/>
        <v>0</v>
      </c>
    </row>
    <row r="950" spans="1:20">
      <c r="A950" t="s">
        <v>1500</v>
      </c>
      <c r="B950" t="s">
        <v>177</v>
      </c>
      <c r="C950" t="s">
        <v>12</v>
      </c>
      <c r="D950">
        <v>304</v>
      </c>
      <c r="E950" s="4">
        <v>46143</v>
      </c>
      <c r="F950" s="4">
        <v>46150</v>
      </c>
      <c r="G950" s="4">
        <v>46152</v>
      </c>
      <c r="H950">
        <v>302</v>
      </c>
      <c r="I950" t="s">
        <v>1501</v>
      </c>
      <c r="J950">
        <v>2</v>
      </c>
      <c r="K950" t="s">
        <v>1563</v>
      </c>
      <c r="L950" t="str">
        <f t="shared" si="126"/>
        <v>N</v>
      </c>
      <c r="M950" t="str">
        <f t="shared" si="127"/>
        <v>Y</v>
      </c>
      <c r="N950" t="str">
        <f t="shared" si="128"/>
        <v>N</v>
      </c>
      <c r="O950">
        <f t="shared" si="129"/>
        <v>9</v>
      </c>
      <c r="P950" s="6">
        <f t="shared" si="130"/>
        <v>0.99342105263157898</v>
      </c>
      <c r="Q950" s="6">
        <f t="shared" si="131"/>
        <v>6.6225165562913907E-3</v>
      </c>
      <c r="R950">
        <f t="shared" si="132"/>
        <v>0</v>
      </c>
      <c r="S950">
        <f t="shared" si="133"/>
        <v>2</v>
      </c>
      <c r="T950">
        <f t="shared" si="134"/>
        <v>1000</v>
      </c>
    </row>
    <row r="951" spans="1:20">
      <c r="A951" t="s">
        <v>1502</v>
      </c>
      <c r="B951" t="s">
        <v>43</v>
      </c>
      <c r="C951" t="s">
        <v>16</v>
      </c>
      <c r="D951">
        <v>927</v>
      </c>
      <c r="E951" s="4">
        <v>46119</v>
      </c>
      <c r="F951" s="4">
        <v>46131</v>
      </c>
      <c r="G951" s="4">
        <v>46130</v>
      </c>
      <c r="H951">
        <v>869</v>
      </c>
      <c r="I951" t="s">
        <v>1503</v>
      </c>
      <c r="J951">
        <v>42</v>
      </c>
      <c r="K951" t="s">
        <v>1563</v>
      </c>
      <c r="L951" t="str">
        <f t="shared" si="126"/>
        <v>Y</v>
      </c>
      <c r="M951" t="str">
        <f t="shared" si="127"/>
        <v>N</v>
      </c>
      <c r="N951" t="str">
        <f t="shared" si="128"/>
        <v>N</v>
      </c>
      <c r="O951">
        <f t="shared" si="129"/>
        <v>11</v>
      </c>
      <c r="P951" s="6">
        <f t="shared" si="130"/>
        <v>0.93743257820927728</v>
      </c>
      <c r="Q951" s="6">
        <f t="shared" si="131"/>
        <v>4.8331415420023012E-2</v>
      </c>
      <c r="R951">
        <f t="shared" si="132"/>
        <v>0</v>
      </c>
      <c r="S951">
        <f t="shared" si="133"/>
        <v>0</v>
      </c>
      <c r="T951">
        <f t="shared" si="134"/>
        <v>0</v>
      </c>
    </row>
    <row r="952" spans="1:20">
      <c r="A952" t="s">
        <v>1504</v>
      </c>
      <c r="B952" t="s">
        <v>40</v>
      </c>
      <c r="C952" t="s">
        <v>12</v>
      </c>
      <c r="D952">
        <v>311</v>
      </c>
      <c r="E952" s="4">
        <v>46170</v>
      </c>
      <c r="F952" s="4">
        <v>46180</v>
      </c>
      <c r="G952" s="4">
        <v>46178</v>
      </c>
      <c r="H952">
        <v>315</v>
      </c>
      <c r="I952" t="s">
        <v>658</v>
      </c>
      <c r="J952">
        <v>27</v>
      </c>
      <c r="K952" t="s">
        <v>1563</v>
      </c>
      <c r="L952" t="str">
        <f t="shared" si="126"/>
        <v>Y</v>
      </c>
      <c r="M952" t="str">
        <f t="shared" si="127"/>
        <v>Y</v>
      </c>
      <c r="N952" t="str">
        <f t="shared" si="128"/>
        <v>Y</v>
      </c>
      <c r="O952">
        <f t="shared" si="129"/>
        <v>8</v>
      </c>
      <c r="P952" s="6">
        <f t="shared" si="130"/>
        <v>1.0128617363344052</v>
      </c>
      <c r="Q952" s="6">
        <f t="shared" si="131"/>
        <v>8.5714285714285715E-2</v>
      </c>
      <c r="R952">
        <f t="shared" si="132"/>
        <v>1</v>
      </c>
      <c r="S952">
        <f t="shared" si="133"/>
        <v>0</v>
      </c>
      <c r="T952">
        <f t="shared" si="134"/>
        <v>0</v>
      </c>
    </row>
    <row r="953" spans="1:20">
      <c r="A953" t="s">
        <v>1505</v>
      </c>
      <c r="B953" t="s">
        <v>54</v>
      </c>
      <c r="C953" t="s">
        <v>23</v>
      </c>
      <c r="D953">
        <v>175</v>
      </c>
      <c r="E953" s="4">
        <v>46041</v>
      </c>
      <c r="F953" s="4">
        <v>46053</v>
      </c>
      <c r="G953" s="4">
        <v>46058</v>
      </c>
      <c r="H953">
        <v>177</v>
      </c>
      <c r="I953" t="s">
        <v>1446</v>
      </c>
      <c r="J953">
        <v>0</v>
      </c>
      <c r="K953" t="s">
        <v>1563</v>
      </c>
      <c r="L953" t="str">
        <f t="shared" si="126"/>
        <v>N</v>
      </c>
      <c r="M953" t="str">
        <f t="shared" si="127"/>
        <v>Y</v>
      </c>
      <c r="N953" t="str">
        <f t="shared" si="128"/>
        <v>N</v>
      </c>
      <c r="O953">
        <f t="shared" si="129"/>
        <v>17</v>
      </c>
      <c r="P953" s="6">
        <f t="shared" si="130"/>
        <v>1.0114285714285713</v>
      </c>
      <c r="Q953" s="6">
        <f t="shared" si="131"/>
        <v>0</v>
      </c>
      <c r="R953">
        <f t="shared" si="132"/>
        <v>0</v>
      </c>
      <c r="S953">
        <f t="shared" si="133"/>
        <v>5</v>
      </c>
      <c r="T953">
        <f t="shared" si="134"/>
        <v>2500</v>
      </c>
    </row>
    <row r="954" spans="1:20">
      <c r="A954" t="s">
        <v>1506</v>
      </c>
      <c r="B954" t="s">
        <v>81</v>
      </c>
      <c r="C954" t="s">
        <v>16</v>
      </c>
      <c r="D954">
        <v>358</v>
      </c>
      <c r="E954" s="4">
        <v>46045</v>
      </c>
      <c r="F954" s="4">
        <v>46059</v>
      </c>
      <c r="G954" s="4">
        <v>46060</v>
      </c>
      <c r="H954">
        <v>312</v>
      </c>
      <c r="I954" t="s">
        <v>1507</v>
      </c>
      <c r="J954">
        <v>1</v>
      </c>
      <c r="K954" t="s">
        <v>1563</v>
      </c>
      <c r="L954" t="str">
        <f t="shared" si="126"/>
        <v>N</v>
      </c>
      <c r="M954" t="str">
        <f t="shared" si="127"/>
        <v>N</v>
      </c>
      <c r="N954" t="str">
        <f t="shared" si="128"/>
        <v>N</v>
      </c>
      <c r="O954">
        <f t="shared" si="129"/>
        <v>15</v>
      </c>
      <c r="P954" s="6">
        <f t="shared" si="130"/>
        <v>0.87150837988826813</v>
      </c>
      <c r="Q954" s="6">
        <f t="shared" si="131"/>
        <v>3.205128205128205E-3</v>
      </c>
      <c r="R954">
        <f t="shared" si="132"/>
        <v>0</v>
      </c>
      <c r="S954">
        <f t="shared" si="133"/>
        <v>1</v>
      </c>
      <c r="T954">
        <f t="shared" si="134"/>
        <v>500</v>
      </c>
    </row>
    <row r="955" spans="1:20">
      <c r="A955" t="s">
        <v>1508</v>
      </c>
      <c r="B955" t="s">
        <v>35</v>
      </c>
      <c r="C955" t="s">
        <v>16</v>
      </c>
      <c r="D955">
        <v>169</v>
      </c>
      <c r="E955" s="4">
        <v>46116</v>
      </c>
      <c r="F955" s="4">
        <v>46127</v>
      </c>
      <c r="G955" s="4">
        <v>46133</v>
      </c>
      <c r="H955">
        <v>171</v>
      </c>
      <c r="I955" t="s">
        <v>594</v>
      </c>
      <c r="J955">
        <v>5</v>
      </c>
      <c r="K955" t="s">
        <v>1563</v>
      </c>
      <c r="L955" t="str">
        <f t="shared" si="126"/>
        <v>N</v>
      </c>
      <c r="M955" t="str">
        <f t="shared" si="127"/>
        <v>Y</v>
      </c>
      <c r="N955" t="str">
        <f t="shared" si="128"/>
        <v>N</v>
      </c>
      <c r="O955">
        <f t="shared" si="129"/>
        <v>17</v>
      </c>
      <c r="P955" s="6">
        <f t="shared" si="130"/>
        <v>1.0118343195266273</v>
      </c>
      <c r="Q955" s="6">
        <f t="shared" si="131"/>
        <v>2.9239766081871343E-2</v>
      </c>
      <c r="R955">
        <f t="shared" si="132"/>
        <v>0</v>
      </c>
      <c r="S955">
        <f t="shared" si="133"/>
        <v>6</v>
      </c>
      <c r="T955">
        <f t="shared" si="134"/>
        <v>3000</v>
      </c>
    </row>
    <row r="956" spans="1:20">
      <c r="A956" t="s">
        <v>1509</v>
      </c>
      <c r="B956" t="s">
        <v>35</v>
      </c>
      <c r="C956" t="s">
        <v>16</v>
      </c>
      <c r="D956">
        <v>579</v>
      </c>
      <c r="E956" s="4">
        <v>46138</v>
      </c>
      <c r="F956" s="4">
        <v>46151</v>
      </c>
      <c r="G956" s="4">
        <v>46149</v>
      </c>
      <c r="H956">
        <v>568</v>
      </c>
      <c r="I956" t="s">
        <v>1510</v>
      </c>
      <c r="J956">
        <v>28</v>
      </c>
      <c r="K956" t="s">
        <v>1563</v>
      </c>
      <c r="L956" t="str">
        <f t="shared" si="126"/>
        <v>Y</v>
      </c>
      <c r="M956" t="str">
        <f t="shared" si="127"/>
        <v>Y</v>
      </c>
      <c r="N956" t="str">
        <f t="shared" si="128"/>
        <v>Y</v>
      </c>
      <c r="O956">
        <f t="shared" si="129"/>
        <v>11</v>
      </c>
      <c r="P956" s="6">
        <f t="shared" si="130"/>
        <v>0.98100172711571676</v>
      </c>
      <c r="Q956" s="6">
        <f t="shared" si="131"/>
        <v>4.9295774647887321E-2</v>
      </c>
      <c r="R956">
        <f t="shared" si="132"/>
        <v>1</v>
      </c>
      <c r="S956">
        <f t="shared" si="133"/>
        <v>0</v>
      </c>
      <c r="T956">
        <f t="shared" si="134"/>
        <v>0</v>
      </c>
    </row>
    <row r="957" spans="1:20">
      <c r="A957" t="s">
        <v>1511</v>
      </c>
      <c r="B957" t="s">
        <v>22</v>
      </c>
      <c r="C957" t="s">
        <v>23</v>
      </c>
      <c r="D957">
        <v>285</v>
      </c>
      <c r="E957" s="4">
        <v>46051</v>
      </c>
      <c r="F957" s="4">
        <v>46066</v>
      </c>
      <c r="G957" s="4">
        <v>46072</v>
      </c>
      <c r="H957">
        <v>239</v>
      </c>
      <c r="I957" t="s">
        <v>1512</v>
      </c>
      <c r="J957">
        <v>16</v>
      </c>
      <c r="K957" t="s">
        <v>1563</v>
      </c>
      <c r="L957" t="str">
        <f t="shared" si="126"/>
        <v>N</v>
      </c>
      <c r="M957" t="str">
        <f t="shared" si="127"/>
        <v>N</v>
      </c>
      <c r="N957" t="str">
        <f t="shared" si="128"/>
        <v>N</v>
      </c>
      <c r="O957">
        <f t="shared" si="129"/>
        <v>21</v>
      </c>
      <c r="P957" s="6">
        <f t="shared" si="130"/>
        <v>0.83859649122807023</v>
      </c>
      <c r="Q957" s="6">
        <f t="shared" si="131"/>
        <v>6.6945606694560664E-2</v>
      </c>
      <c r="R957">
        <f t="shared" si="132"/>
        <v>0</v>
      </c>
      <c r="S957">
        <f t="shared" si="133"/>
        <v>6</v>
      </c>
      <c r="T957">
        <f t="shared" si="134"/>
        <v>3000</v>
      </c>
    </row>
    <row r="958" spans="1:20">
      <c r="A958" t="s">
        <v>1513</v>
      </c>
      <c r="B958" t="s">
        <v>52</v>
      </c>
      <c r="C958" t="s">
        <v>16</v>
      </c>
      <c r="D958">
        <v>138</v>
      </c>
      <c r="E958" s="4">
        <v>46071</v>
      </c>
      <c r="F958" s="4">
        <v>46081</v>
      </c>
      <c r="G958" s="4">
        <v>46080</v>
      </c>
      <c r="H958">
        <v>140</v>
      </c>
      <c r="I958" t="s">
        <v>1067</v>
      </c>
      <c r="J958">
        <v>2</v>
      </c>
      <c r="K958" t="s">
        <v>1563</v>
      </c>
      <c r="L958" t="str">
        <f t="shared" si="126"/>
        <v>Y</v>
      </c>
      <c r="M958" t="str">
        <f t="shared" si="127"/>
        <v>Y</v>
      </c>
      <c r="N958" t="str">
        <f t="shared" si="128"/>
        <v>Y</v>
      </c>
      <c r="O958">
        <f t="shared" si="129"/>
        <v>9</v>
      </c>
      <c r="P958" s="6">
        <f t="shared" si="130"/>
        <v>1.0144927536231885</v>
      </c>
      <c r="Q958" s="6">
        <f t="shared" si="131"/>
        <v>1.4285714285714285E-2</v>
      </c>
      <c r="R958">
        <f t="shared" si="132"/>
        <v>1</v>
      </c>
      <c r="S958">
        <f t="shared" si="133"/>
        <v>0</v>
      </c>
      <c r="T958">
        <f t="shared" si="134"/>
        <v>0</v>
      </c>
    </row>
    <row r="959" spans="1:20">
      <c r="A959" t="s">
        <v>1514</v>
      </c>
      <c r="B959" t="s">
        <v>22</v>
      </c>
      <c r="C959" t="s">
        <v>23</v>
      </c>
      <c r="D959">
        <v>468</v>
      </c>
      <c r="E959" s="4">
        <v>46102</v>
      </c>
      <c r="F959" s="4">
        <v>46108</v>
      </c>
      <c r="G959" s="4">
        <v>46106</v>
      </c>
      <c r="H959">
        <v>382</v>
      </c>
      <c r="I959" t="s">
        <v>1337</v>
      </c>
      <c r="J959">
        <v>12</v>
      </c>
      <c r="K959" t="s">
        <v>1563</v>
      </c>
      <c r="L959" t="str">
        <f t="shared" si="126"/>
        <v>Y</v>
      </c>
      <c r="M959" t="str">
        <f t="shared" si="127"/>
        <v>N</v>
      </c>
      <c r="N959" t="str">
        <f t="shared" si="128"/>
        <v>N</v>
      </c>
      <c r="O959">
        <f t="shared" si="129"/>
        <v>4</v>
      </c>
      <c r="P959" s="6">
        <f t="shared" si="130"/>
        <v>0.81623931623931623</v>
      </c>
      <c r="Q959" s="6">
        <f t="shared" si="131"/>
        <v>3.1413612565445025E-2</v>
      </c>
      <c r="R959">
        <f t="shared" si="132"/>
        <v>0</v>
      </c>
      <c r="S959">
        <f t="shared" si="133"/>
        <v>0</v>
      </c>
      <c r="T959">
        <f t="shared" si="134"/>
        <v>0</v>
      </c>
    </row>
    <row r="960" spans="1:20">
      <c r="A960" t="s">
        <v>1515</v>
      </c>
      <c r="B960" t="s">
        <v>11</v>
      </c>
      <c r="C960" t="s">
        <v>12</v>
      </c>
      <c r="D960">
        <v>252</v>
      </c>
      <c r="E960" s="4">
        <v>46113</v>
      </c>
      <c r="F960" s="4">
        <v>46125</v>
      </c>
      <c r="G960" s="4">
        <v>46125</v>
      </c>
      <c r="H960">
        <v>251</v>
      </c>
      <c r="I960" t="s">
        <v>664</v>
      </c>
      <c r="J960">
        <v>1</v>
      </c>
      <c r="K960" t="s">
        <v>1563</v>
      </c>
      <c r="L960" t="str">
        <f t="shared" si="126"/>
        <v>Y</v>
      </c>
      <c r="M960" t="str">
        <f t="shared" si="127"/>
        <v>Y</v>
      </c>
      <c r="N960" t="str">
        <f t="shared" si="128"/>
        <v>Y</v>
      </c>
      <c r="O960">
        <f t="shared" si="129"/>
        <v>12</v>
      </c>
      <c r="P960" s="6">
        <f t="shared" si="130"/>
        <v>0.99603174603174605</v>
      </c>
      <c r="Q960" s="6">
        <f t="shared" si="131"/>
        <v>3.9840637450199202E-3</v>
      </c>
      <c r="R960">
        <f t="shared" si="132"/>
        <v>1</v>
      </c>
      <c r="S960">
        <f t="shared" si="133"/>
        <v>0</v>
      </c>
      <c r="T960">
        <f t="shared" si="134"/>
        <v>0</v>
      </c>
    </row>
    <row r="961" spans="1:20">
      <c r="A961" t="s">
        <v>1516</v>
      </c>
      <c r="B961" t="s">
        <v>26</v>
      </c>
      <c r="C961" t="s">
        <v>16</v>
      </c>
      <c r="D961">
        <v>977</v>
      </c>
      <c r="E961" s="4">
        <v>46098</v>
      </c>
      <c r="F961" s="4">
        <v>46104</v>
      </c>
      <c r="G961" s="4">
        <v>46103</v>
      </c>
      <c r="H961">
        <v>958</v>
      </c>
      <c r="I961" t="s">
        <v>529</v>
      </c>
      <c r="J961">
        <v>1</v>
      </c>
      <c r="K961" t="s">
        <v>1563</v>
      </c>
      <c r="L961" t="str">
        <f t="shared" si="126"/>
        <v>Y</v>
      </c>
      <c r="M961" t="str">
        <f t="shared" si="127"/>
        <v>Y</v>
      </c>
      <c r="N961" t="str">
        <f t="shared" si="128"/>
        <v>Y</v>
      </c>
      <c r="O961">
        <f t="shared" si="129"/>
        <v>5</v>
      </c>
      <c r="P961" s="6">
        <f t="shared" si="130"/>
        <v>0.98055271238485153</v>
      </c>
      <c r="Q961" s="6">
        <f t="shared" si="131"/>
        <v>1.0438413361169101E-3</v>
      </c>
      <c r="R961">
        <f t="shared" si="132"/>
        <v>1</v>
      </c>
      <c r="S961">
        <f t="shared" si="133"/>
        <v>0</v>
      </c>
      <c r="T961">
        <f t="shared" si="134"/>
        <v>0</v>
      </c>
    </row>
    <row r="962" spans="1:20">
      <c r="A962" t="s">
        <v>1517</v>
      </c>
      <c r="B962" t="s">
        <v>177</v>
      </c>
      <c r="C962" t="s">
        <v>16</v>
      </c>
      <c r="D962">
        <v>232</v>
      </c>
      <c r="E962" s="4">
        <v>46103</v>
      </c>
      <c r="F962" s="4">
        <v>46109</v>
      </c>
      <c r="G962" s="4">
        <v>46109</v>
      </c>
      <c r="H962">
        <v>236</v>
      </c>
      <c r="I962" t="s">
        <v>1518</v>
      </c>
      <c r="J962">
        <v>8</v>
      </c>
      <c r="K962" t="s">
        <v>1563</v>
      </c>
      <c r="L962" t="str">
        <f t="shared" ref="L962:L1001" si="135">IF(G962="","N/A",IF(G962&lt;=F962,"Y","N"))</f>
        <v>Y</v>
      </c>
      <c r="M962" t="str">
        <f t="shared" ref="M962:M1001" si="136">IF(H962="","N/A",IF(H962&gt;=D962*0.98,"Y","N"))</f>
        <v>Y</v>
      </c>
      <c r="N962" t="str">
        <f t="shared" ref="N962:N1001" si="137">IF(OR(L962="N/A",M962="N/A"),"N/A",IF(AND(L962="Y",M962="Y"),"Y","N"))</f>
        <v>Y</v>
      </c>
      <c r="O962">
        <f t="shared" ref="O962:O1001" si="138">IF(G962="","N/A",G962-E962)</f>
        <v>6</v>
      </c>
      <c r="P962" s="6">
        <f t="shared" ref="P962:P1001" si="139">IF(H962="","N/A",H962/D962)</f>
        <v>1.0172413793103448</v>
      </c>
      <c r="Q962" s="6">
        <f t="shared" ref="Q962:Q1001" si="140">IF(H962="","N/A",IF(H962=0,0,J962/H962))</f>
        <v>3.3898305084745763E-2</v>
      </c>
      <c r="R962">
        <f t="shared" ref="R962:R1001" si="141">IF(N962="Y",1,IF(N962="N",0,""))</f>
        <v>1</v>
      </c>
      <c r="S962">
        <f t="shared" ref="S962:S1001" si="142">IF(G962="","N/A",MAX(G962-F962,0))</f>
        <v>0</v>
      </c>
      <c r="T962">
        <f t="shared" ref="T962:T1001" si="143">IF(S962="N/A",0,S962*500)</f>
        <v>0</v>
      </c>
    </row>
    <row r="963" spans="1:20">
      <c r="A963" t="s">
        <v>1519</v>
      </c>
      <c r="B963" t="s">
        <v>52</v>
      </c>
      <c r="C963" t="s">
        <v>12</v>
      </c>
      <c r="D963">
        <v>603</v>
      </c>
      <c r="E963" s="4">
        <v>46080</v>
      </c>
      <c r="F963" s="4">
        <v>46090</v>
      </c>
      <c r="G963" s="4">
        <v>46088</v>
      </c>
      <c r="H963">
        <v>582</v>
      </c>
      <c r="I963" t="s">
        <v>101</v>
      </c>
      <c r="J963">
        <v>4</v>
      </c>
      <c r="K963" t="s">
        <v>1563</v>
      </c>
      <c r="L963" t="str">
        <f t="shared" si="135"/>
        <v>Y</v>
      </c>
      <c r="M963" t="str">
        <f t="shared" si="136"/>
        <v>N</v>
      </c>
      <c r="N963" t="str">
        <f t="shared" si="137"/>
        <v>N</v>
      </c>
      <c r="O963">
        <f t="shared" si="138"/>
        <v>8</v>
      </c>
      <c r="P963" s="6">
        <f t="shared" si="139"/>
        <v>0.96517412935323388</v>
      </c>
      <c r="Q963" s="6">
        <f t="shared" si="140"/>
        <v>6.8728522336769758E-3</v>
      </c>
      <c r="R963">
        <f t="shared" si="141"/>
        <v>0</v>
      </c>
      <c r="S963">
        <f t="shared" si="142"/>
        <v>0</v>
      </c>
      <c r="T963">
        <f t="shared" si="143"/>
        <v>0</v>
      </c>
    </row>
    <row r="964" spans="1:20">
      <c r="A964" t="s">
        <v>1520</v>
      </c>
      <c r="B964" t="s">
        <v>70</v>
      </c>
      <c r="C964" t="s">
        <v>16</v>
      </c>
      <c r="D964">
        <v>203</v>
      </c>
      <c r="E964" s="4">
        <v>46078</v>
      </c>
      <c r="F964" s="4">
        <v>46086</v>
      </c>
      <c r="G964" s="4">
        <v>46084</v>
      </c>
      <c r="H964">
        <v>193</v>
      </c>
      <c r="I964" t="s">
        <v>472</v>
      </c>
      <c r="J964">
        <v>2</v>
      </c>
      <c r="K964" t="s">
        <v>1563</v>
      </c>
      <c r="L964" t="str">
        <f t="shared" si="135"/>
        <v>Y</v>
      </c>
      <c r="M964" t="str">
        <f t="shared" si="136"/>
        <v>N</v>
      </c>
      <c r="N964" t="str">
        <f t="shared" si="137"/>
        <v>N</v>
      </c>
      <c r="O964">
        <f t="shared" si="138"/>
        <v>6</v>
      </c>
      <c r="P964" s="6">
        <f t="shared" si="139"/>
        <v>0.95073891625615758</v>
      </c>
      <c r="Q964" s="6">
        <f t="shared" si="140"/>
        <v>1.0362694300518135E-2</v>
      </c>
      <c r="R964">
        <f t="shared" si="141"/>
        <v>0</v>
      </c>
      <c r="S964">
        <f t="shared" si="142"/>
        <v>0</v>
      </c>
      <c r="T964">
        <f t="shared" si="143"/>
        <v>0</v>
      </c>
    </row>
    <row r="965" spans="1:20">
      <c r="A965" t="s">
        <v>1521</v>
      </c>
      <c r="B965" t="s">
        <v>26</v>
      </c>
      <c r="C965" t="s">
        <v>12</v>
      </c>
      <c r="D965">
        <v>297</v>
      </c>
      <c r="E965" s="4">
        <v>46081</v>
      </c>
      <c r="F965" s="4">
        <v>46092</v>
      </c>
      <c r="G965" s="4">
        <v>46090</v>
      </c>
      <c r="H965">
        <v>298</v>
      </c>
      <c r="I965" t="s">
        <v>499</v>
      </c>
      <c r="J965">
        <v>9</v>
      </c>
      <c r="K965" t="s">
        <v>1563</v>
      </c>
      <c r="L965" t="str">
        <f t="shared" si="135"/>
        <v>Y</v>
      </c>
      <c r="M965" t="str">
        <f t="shared" si="136"/>
        <v>Y</v>
      </c>
      <c r="N965" t="str">
        <f t="shared" si="137"/>
        <v>Y</v>
      </c>
      <c r="O965">
        <f t="shared" si="138"/>
        <v>9</v>
      </c>
      <c r="P965" s="6">
        <f t="shared" si="139"/>
        <v>1.0033670033670035</v>
      </c>
      <c r="Q965" s="6">
        <f t="shared" si="140"/>
        <v>3.0201342281879196E-2</v>
      </c>
      <c r="R965">
        <f t="shared" si="141"/>
        <v>1</v>
      </c>
      <c r="S965">
        <f t="shared" si="142"/>
        <v>0</v>
      </c>
      <c r="T965">
        <f t="shared" si="143"/>
        <v>0</v>
      </c>
    </row>
    <row r="966" spans="1:20">
      <c r="A966" t="s">
        <v>1522</v>
      </c>
      <c r="B966" t="s">
        <v>67</v>
      </c>
      <c r="C966" t="s">
        <v>12</v>
      </c>
      <c r="D966">
        <v>820</v>
      </c>
      <c r="E966" s="4">
        <v>46102</v>
      </c>
      <c r="F966" s="4">
        <v>46107</v>
      </c>
      <c r="G966" s="4">
        <v>46104</v>
      </c>
      <c r="H966">
        <v>826</v>
      </c>
      <c r="I966" t="s">
        <v>1009</v>
      </c>
      <c r="J966">
        <v>4</v>
      </c>
      <c r="K966" t="s">
        <v>1563</v>
      </c>
      <c r="L966" t="str">
        <f t="shared" si="135"/>
        <v>Y</v>
      </c>
      <c r="M966" t="str">
        <f t="shared" si="136"/>
        <v>Y</v>
      </c>
      <c r="N966" t="str">
        <f t="shared" si="137"/>
        <v>Y</v>
      </c>
      <c r="O966">
        <f t="shared" si="138"/>
        <v>2</v>
      </c>
      <c r="P966" s="6">
        <f t="shared" si="139"/>
        <v>1.0073170731707317</v>
      </c>
      <c r="Q966" s="6">
        <f t="shared" si="140"/>
        <v>4.8426150121065378E-3</v>
      </c>
      <c r="R966">
        <f t="shared" si="141"/>
        <v>1</v>
      </c>
      <c r="S966">
        <f t="shared" si="142"/>
        <v>0</v>
      </c>
      <c r="T966">
        <f t="shared" si="143"/>
        <v>0</v>
      </c>
    </row>
    <row r="967" spans="1:20">
      <c r="A967" t="s">
        <v>1523</v>
      </c>
      <c r="B967" t="s">
        <v>22</v>
      </c>
      <c r="C967" t="s">
        <v>23</v>
      </c>
      <c r="D967">
        <v>297</v>
      </c>
      <c r="E967" s="4">
        <v>46083</v>
      </c>
      <c r="F967" s="4">
        <v>46095</v>
      </c>
      <c r="G967" s="4">
        <v>46093</v>
      </c>
      <c r="H967">
        <v>287</v>
      </c>
      <c r="I967" t="s">
        <v>956</v>
      </c>
      <c r="J967">
        <v>3</v>
      </c>
      <c r="K967" t="s">
        <v>1563</v>
      </c>
      <c r="L967" t="str">
        <f t="shared" si="135"/>
        <v>Y</v>
      </c>
      <c r="M967" t="str">
        <f t="shared" si="136"/>
        <v>N</v>
      </c>
      <c r="N967" t="str">
        <f t="shared" si="137"/>
        <v>N</v>
      </c>
      <c r="O967">
        <f t="shared" si="138"/>
        <v>10</v>
      </c>
      <c r="P967" s="6">
        <f t="shared" si="139"/>
        <v>0.96632996632996637</v>
      </c>
      <c r="Q967" s="6">
        <f t="shared" si="140"/>
        <v>1.0452961672473868E-2</v>
      </c>
      <c r="R967">
        <f t="shared" si="141"/>
        <v>0</v>
      </c>
      <c r="S967">
        <f t="shared" si="142"/>
        <v>0</v>
      </c>
      <c r="T967">
        <f t="shared" si="143"/>
        <v>0</v>
      </c>
    </row>
    <row r="968" spans="1:20">
      <c r="A968" t="s">
        <v>1524</v>
      </c>
      <c r="B968" t="s">
        <v>67</v>
      </c>
      <c r="C968" t="s">
        <v>16</v>
      </c>
      <c r="D968">
        <v>715</v>
      </c>
      <c r="E968" s="4">
        <v>46107</v>
      </c>
      <c r="F968" s="4">
        <v>46116</v>
      </c>
      <c r="G968" s="4">
        <v>46114</v>
      </c>
      <c r="H968">
        <v>725</v>
      </c>
      <c r="I968" t="s">
        <v>242</v>
      </c>
      <c r="J968">
        <v>10</v>
      </c>
      <c r="K968" t="s">
        <v>1563</v>
      </c>
      <c r="L968" t="str">
        <f t="shared" si="135"/>
        <v>Y</v>
      </c>
      <c r="M968" t="str">
        <f t="shared" si="136"/>
        <v>Y</v>
      </c>
      <c r="N968" t="str">
        <f t="shared" si="137"/>
        <v>Y</v>
      </c>
      <c r="O968">
        <f t="shared" si="138"/>
        <v>7</v>
      </c>
      <c r="P968" s="6">
        <f t="shared" si="139"/>
        <v>1.013986013986014</v>
      </c>
      <c r="Q968" s="6">
        <f t="shared" si="140"/>
        <v>1.3793103448275862E-2</v>
      </c>
      <c r="R968">
        <f t="shared" si="141"/>
        <v>1</v>
      </c>
      <c r="S968">
        <f t="shared" si="142"/>
        <v>0</v>
      </c>
      <c r="T968">
        <f t="shared" si="143"/>
        <v>0</v>
      </c>
    </row>
    <row r="969" spans="1:20">
      <c r="A969" t="s">
        <v>1525</v>
      </c>
      <c r="B969" t="s">
        <v>46</v>
      </c>
      <c r="C969" t="s">
        <v>12</v>
      </c>
      <c r="D969">
        <v>137</v>
      </c>
      <c r="E969" s="4">
        <v>46143</v>
      </c>
      <c r="F969" s="4">
        <v>46153</v>
      </c>
      <c r="G969" s="4">
        <v>46158</v>
      </c>
      <c r="H969">
        <v>131</v>
      </c>
      <c r="I969" t="s">
        <v>403</v>
      </c>
      <c r="J969">
        <v>12</v>
      </c>
      <c r="K969" t="s">
        <v>1563</v>
      </c>
      <c r="L969" t="str">
        <f t="shared" si="135"/>
        <v>N</v>
      </c>
      <c r="M969" t="str">
        <f t="shared" si="136"/>
        <v>N</v>
      </c>
      <c r="N969" t="str">
        <f t="shared" si="137"/>
        <v>N</v>
      </c>
      <c r="O969">
        <f t="shared" si="138"/>
        <v>15</v>
      </c>
      <c r="P969" s="6">
        <f t="shared" si="139"/>
        <v>0.95620437956204385</v>
      </c>
      <c r="Q969" s="6">
        <f t="shared" si="140"/>
        <v>9.1603053435114504E-2</v>
      </c>
      <c r="R969">
        <f t="shared" si="141"/>
        <v>0</v>
      </c>
      <c r="S969">
        <f t="shared" si="142"/>
        <v>5</v>
      </c>
      <c r="T969">
        <f t="shared" si="143"/>
        <v>2500</v>
      </c>
    </row>
    <row r="970" spans="1:20">
      <c r="A970" t="s">
        <v>1526</v>
      </c>
      <c r="B970" t="s">
        <v>120</v>
      </c>
      <c r="C970" t="s">
        <v>12</v>
      </c>
      <c r="D970">
        <v>269</v>
      </c>
      <c r="E970" s="4">
        <v>46136</v>
      </c>
      <c r="F970" s="4">
        <v>46146</v>
      </c>
      <c r="G970" s="4">
        <v>46146</v>
      </c>
      <c r="H970">
        <v>272</v>
      </c>
      <c r="I970" t="s">
        <v>214</v>
      </c>
      <c r="J970">
        <v>16</v>
      </c>
      <c r="K970" t="s">
        <v>1563</v>
      </c>
      <c r="L970" t="str">
        <f t="shared" si="135"/>
        <v>Y</v>
      </c>
      <c r="M970" t="str">
        <f t="shared" si="136"/>
        <v>Y</v>
      </c>
      <c r="N970" t="str">
        <f t="shared" si="137"/>
        <v>Y</v>
      </c>
      <c r="O970">
        <f t="shared" si="138"/>
        <v>10</v>
      </c>
      <c r="P970" s="6">
        <f t="shared" si="139"/>
        <v>1.0111524163568772</v>
      </c>
      <c r="Q970" s="6">
        <f t="shared" si="140"/>
        <v>5.8823529411764705E-2</v>
      </c>
      <c r="R970">
        <f t="shared" si="141"/>
        <v>1</v>
      </c>
      <c r="S970">
        <f t="shared" si="142"/>
        <v>0</v>
      </c>
      <c r="T970">
        <f t="shared" si="143"/>
        <v>0</v>
      </c>
    </row>
    <row r="971" spans="1:20">
      <c r="A971" t="s">
        <v>1527</v>
      </c>
      <c r="B971" t="s">
        <v>19</v>
      </c>
      <c r="C971" t="s">
        <v>12</v>
      </c>
      <c r="D971">
        <v>237</v>
      </c>
      <c r="E971" s="4">
        <v>46127</v>
      </c>
      <c r="F971" s="4">
        <v>46140</v>
      </c>
      <c r="G971" s="4">
        <v>46140</v>
      </c>
      <c r="H971">
        <v>241</v>
      </c>
      <c r="I971" t="s">
        <v>101</v>
      </c>
      <c r="J971">
        <v>12</v>
      </c>
      <c r="K971" t="s">
        <v>1563</v>
      </c>
      <c r="L971" t="str">
        <f t="shared" si="135"/>
        <v>Y</v>
      </c>
      <c r="M971" t="str">
        <f t="shared" si="136"/>
        <v>Y</v>
      </c>
      <c r="N971" t="str">
        <f t="shared" si="137"/>
        <v>Y</v>
      </c>
      <c r="O971">
        <f t="shared" si="138"/>
        <v>13</v>
      </c>
      <c r="P971" s="6">
        <f t="shared" si="139"/>
        <v>1.0168776371308017</v>
      </c>
      <c r="Q971" s="6">
        <f t="shared" si="140"/>
        <v>4.9792531120331947E-2</v>
      </c>
      <c r="R971">
        <f t="shared" si="141"/>
        <v>1</v>
      </c>
      <c r="S971">
        <f t="shared" si="142"/>
        <v>0</v>
      </c>
      <c r="T971">
        <f t="shared" si="143"/>
        <v>0</v>
      </c>
    </row>
    <row r="972" spans="1:20">
      <c r="A972" t="s">
        <v>1528</v>
      </c>
      <c r="B972" t="s">
        <v>19</v>
      </c>
      <c r="C972" t="s">
        <v>16</v>
      </c>
      <c r="D972">
        <v>877</v>
      </c>
      <c r="E972" s="4">
        <v>46070</v>
      </c>
      <c r="F972" s="4">
        <v>46078</v>
      </c>
      <c r="G972" s="4"/>
      <c r="I972" t="s">
        <v>1529</v>
      </c>
      <c r="K972" t="s">
        <v>1565</v>
      </c>
      <c r="L972" t="str">
        <f t="shared" si="135"/>
        <v>N/A</v>
      </c>
      <c r="M972" t="str">
        <f t="shared" si="136"/>
        <v>N/A</v>
      </c>
      <c r="N972" t="str">
        <f t="shared" si="137"/>
        <v>N/A</v>
      </c>
      <c r="O972" t="str">
        <f t="shared" si="138"/>
        <v>N/A</v>
      </c>
      <c r="P972" s="6" t="str">
        <f t="shared" si="139"/>
        <v>N/A</v>
      </c>
      <c r="Q972" s="6" t="str">
        <f t="shared" si="140"/>
        <v>N/A</v>
      </c>
      <c r="R972" t="str">
        <f t="shared" si="141"/>
        <v/>
      </c>
      <c r="S972" t="str">
        <f t="shared" si="142"/>
        <v>N/A</v>
      </c>
      <c r="T972">
        <f t="shared" si="143"/>
        <v>0</v>
      </c>
    </row>
    <row r="973" spans="1:20">
      <c r="A973" t="s">
        <v>1530</v>
      </c>
      <c r="B973" t="s">
        <v>49</v>
      </c>
      <c r="C973" t="s">
        <v>16</v>
      </c>
      <c r="D973">
        <v>792</v>
      </c>
      <c r="E973" s="4">
        <v>46077</v>
      </c>
      <c r="F973" s="4">
        <v>46087</v>
      </c>
      <c r="G973" s="4">
        <v>46087</v>
      </c>
      <c r="H973">
        <v>796</v>
      </c>
      <c r="I973" t="s">
        <v>1227</v>
      </c>
      <c r="J973">
        <v>9</v>
      </c>
      <c r="K973" t="s">
        <v>1563</v>
      </c>
      <c r="L973" t="str">
        <f t="shared" si="135"/>
        <v>Y</v>
      </c>
      <c r="M973" t="str">
        <f t="shared" si="136"/>
        <v>Y</v>
      </c>
      <c r="N973" t="str">
        <f t="shared" si="137"/>
        <v>Y</v>
      </c>
      <c r="O973">
        <f t="shared" si="138"/>
        <v>10</v>
      </c>
      <c r="P973" s="6">
        <f t="shared" si="139"/>
        <v>1.005050505050505</v>
      </c>
      <c r="Q973" s="6">
        <f t="shared" si="140"/>
        <v>1.1306532663316583E-2</v>
      </c>
      <c r="R973">
        <f t="shared" si="141"/>
        <v>1</v>
      </c>
      <c r="S973">
        <f t="shared" si="142"/>
        <v>0</v>
      </c>
      <c r="T973">
        <f t="shared" si="143"/>
        <v>0</v>
      </c>
    </row>
    <row r="974" spans="1:20">
      <c r="A974" t="s">
        <v>1531</v>
      </c>
      <c r="B974" t="s">
        <v>35</v>
      </c>
      <c r="C974" t="s">
        <v>12</v>
      </c>
      <c r="D974">
        <v>726</v>
      </c>
      <c r="E974" s="4">
        <v>46064</v>
      </c>
      <c r="F974" s="4">
        <v>46077</v>
      </c>
      <c r="G974" s="4">
        <v>46074</v>
      </c>
      <c r="H974">
        <v>738</v>
      </c>
      <c r="I974" t="s">
        <v>1273</v>
      </c>
      <c r="J974">
        <v>19</v>
      </c>
      <c r="K974" t="s">
        <v>1563</v>
      </c>
      <c r="L974" t="str">
        <f t="shared" si="135"/>
        <v>Y</v>
      </c>
      <c r="M974" t="str">
        <f t="shared" si="136"/>
        <v>Y</v>
      </c>
      <c r="N974" t="str">
        <f t="shared" si="137"/>
        <v>Y</v>
      </c>
      <c r="O974">
        <f t="shared" si="138"/>
        <v>10</v>
      </c>
      <c r="P974" s="6">
        <f t="shared" si="139"/>
        <v>1.0165289256198347</v>
      </c>
      <c r="Q974" s="6">
        <f t="shared" si="140"/>
        <v>2.5745257452574527E-2</v>
      </c>
      <c r="R974">
        <f t="shared" si="141"/>
        <v>1</v>
      </c>
      <c r="S974">
        <f t="shared" si="142"/>
        <v>0</v>
      </c>
      <c r="T974">
        <f t="shared" si="143"/>
        <v>0</v>
      </c>
    </row>
    <row r="975" spans="1:20">
      <c r="A975" t="s">
        <v>1532</v>
      </c>
      <c r="B975" t="s">
        <v>26</v>
      </c>
      <c r="C975" t="s">
        <v>12</v>
      </c>
      <c r="D975">
        <v>118</v>
      </c>
      <c r="E975" s="4">
        <v>46130</v>
      </c>
      <c r="F975" s="4">
        <v>46142</v>
      </c>
      <c r="G975" s="4">
        <v>46140</v>
      </c>
      <c r="H975">
        <v>109</v>
      </c>
      <c r="I975" t="s">
        <v>240</v>
      </c>
      <c r="J975">
        <v>3</v>
      </c>
      <c r="K975" t="s">
        <v>1563</v>
      </c>
      <c r="L975" t="str">
        <f t="shared" si="135"/>
        <v>Y</v>
      </c>
      <c r="M975" t="str">
        <f t="shared" si="136"/>
        <v>N</v>
      </c>
      <c r="N975" t="str">
        <f t="shared" si="137"/>
        <v>N</v>
      </c>
      <c r="O975">
        <f t="shared" si="138"/>
        <v>10</v>
      </c>
      <c r="P975" s="6">
        <f t="shared" si="139"/>
        <v>0.92372881355932202</v>
      </c>
      <c r="Q975" s="6">
        <f t="shared" si="140"/>
        <v>2.7522935779816515E-2</v>
      </c>
      <c r="R975">
        <f t="shared" si="141"/>
        <v>0</v>
      </c>
      <c r="S975">
        <f t="shared" si="142"/>
        <v>0</v>
      </c>
      <c r="T975">
        <f t="shared" si="143"/>
        <v>0</v>
      </c>
    </row>
    <row r="976" spans="1:20">
      <c r="A976" t="s">
        <v>1533</v>
      </c>
      <c r="B976" t="s">
        <v>177</v>
      </c>
      <c r="C976" t="s">
        <v>23</v>
      </c>
      <c r="D976">
        <v>514</v>
      </c>
      <c r="E976" s="4">
        <v>46102</v>
      </c>
      <c r="F976" s="4">
        <v>46116</v>
      </c>
      <c r="G976" s="4">
        <v>46122</v>
      </c>
      <c r="H976">
        <v>521</v>
      </c>
      <c r="I976" t="s">
        <v>702</v>
      </c>
      <c r="J976">
        <v>0</v>
      </c>
      <c r="K976" t="s">
        <v>1563</v>
      </c>
      <c r="L976" t="str">
        <f t="shared" si="135"/>
        <v>N</v>
      </c>
      <c r="M976" t="str">
        <f t="shared" si="136"/>
        <v>Y</v>
      </c>
      <c r="N976" t="str">
        <f t="shared" si="137"/>
        <v>N</v>
      </c>
      <c r="O976">
        <f t="shared" si="138"/>
        <v>20</v>
      </c>
      <c r="P976" s="6">
        <f t="shared" si="139"/>
        <v>1.0136186770428015</v>
      </c>
      <c r="Q976" s="6">
        <f t="shared" si="140"/>
        <v>0</v>
      </c>
      <c r="R976">
        <f t="shared" si="141"/>
        <v>0</v>
      </c>
      <c r="S976">
        <f t="shared" si="142"/>
        <v>6</v>
      </c>
      <c r="T976">
        <f t="shared" si="143"/>
        <v>3000</v>
      </c>
    </row>
    <row r="977" spans="1:20">
      <c r="A977" t="s">
        <v>1534</v>
      </c>
      <c r="B977" t="s">
        <v>70</v>
      </c>
      <c r="C977" t="s">
        <v>16</v>
      </c>
      <c r="D977">
        <v>375</v>
      </c>
      <c r="E977" s="4">
        <v>46070</v>
      </c>
      <c r="F977" s="4">
        <v>46084</v>
      </c>
      <c r="G977" s="4">
        <v>46082</v>
      </c>
      <c r="H977">
        <v>333</v>
      </c>
      <c r="I977" t="s">
        <v>1090</v>
      </c>
      <c r="J977">
        <v>5</v>
      </c>
      <c r="K977" t="s">
        <v>1563</v>
      </c>
      <c r="L977" t="str">
        <f t="shared" si="135"/>
        <v>Y</v>
      </c>
      <c r="M977" t="str">
        <f t="shared" si="136"/>
        <v>N</v>
      </c>
      <c r="N977" t="str">
        <f t="shared" si="137"/>
        <v>N</v>
      </c>
      <c r="O977">
        <f t="shared" si="138"/>
        <v>12</v>
      </c>
      <c r="P977" s="6">
        <f t="shared" si="139"/>
        <v>0.88800000000000001</v>
      </c>
      <c r="Q977" s="6">
        <f t="shared" si="140"/>
        <v>1.5015015015015015E-2</v>
      </c>
      <c r="R977">
        <f t="shared" si="141"/>
        <v>0</v>
      </c>
      <c r="S977">
        <f t="shared" si="142"/>
        <v>0</v>
      </c>
      <c r="T977">
        <f t="shared" si="143"/>
        <v>0</v>
      </c>
    </row>
    <row r="978" spans="1:20">
      <c r="A978" t="s">
        <v>1535</v>
      </c>
      <c r="B978" t="s">
        <v>177</v>
      </c>
      <c r="C978" t="s">
        <v>23</v>
      </c>
      <c r="D978">
        <v>703</v>
      </c>
      <c r="E978" s="4">
        <v>46120</v>
      </c>
      <c r="F978" s="4">
        <v>46129</v>
      </c>
      <c r="G978" s="4">
        <v>46129</v>
      </c>
      <c r="H978">
        <v>708</v>
      </c>
      <c r="I978" t="s">
        <v>674</v>
      </c>
      <c r="J978">
        <v>18</v>
      </c>
      <c r="K978" t="s">
        <v>1563</v>
      </c>
      <c r="L978" t="str">
        <f t="shared" si="135"/>
        <v>Y</v>
      </c>
      <c r="M978" t="str">
        <f t="shared" si="136"/>
        <v>Y</v>
      </c>
      <c r="N978" t="str">
        <f t="shared" si="137"/>
        <v>Y</v>
      </c>
      <c r="O978">
        <f t="shared" si="138"/>
        <v>9</v>
      </c>
      <c r="P978" s="6">
        <f t="shared" si="139"/>
        <v>1.0071123755334281</v>
      </c>
      <c r="Q978" s="6">
        <f t="shared" si="140"/>
        <v>2.5423728813559324E-2</v>
      </c>
      <c r="R978">
        <f t="shared" si="141"/>
        <v>1</v>
      </c>
      <c r="S978">
        <f t="shared" si="142"/>
        <v>0</v>
      </c>
      <c r="T978">
        <f t="shared" si="143"/>
        <v>0</v>
      </c>
    </row>
    <row r="979" spans="1:20">
      <c r="A979" t="s">
        <v>1536</v>
      </c>
      <c r="B979" t="s">
        <v>35</v>
      </c>
      <c r="C979" t="s">
        <v>12</v>
      </c>
      <c r="D979">
        <v>767</v>
      </c>
      <c r="E979" s="4">
        <v>46099</v>
      </c>
      <c r="F979" s="4">
        <v>46107</v>
      </c>
      <c r="G979" s="4">
        <v>46115</v>
      </c>
      <c r="H979">
        <v>764</v>
      </c>
      <c r="I979" t="s">
        <v>221</v>
      </c>
      <c r="J979">
        <v>1</v>
      </c>
      <c r="K979" t="s">
        <v>1563</v>
      </c>
      <c r="L979" t="str">
        <f t="shared" si="135"/>
        <v>N</v>
      </c>
      <c r="M979" t="str">
        <f t="shared" si="136"/>
        <v>Y</v>
      </c>
      <c r="N979" t="str">
        <f t="shared" si="137"/>
        <v>N</v>
      </c>
      <c r="O979">
        <f t="shared" si="138"/>
        <v>16</v>
      </c>
      <c r="P979" s="6">
        <f t="shared" si="139"/>
        <v>0.99608865710560623</v>
      </c>
      <c r="Q979" s="6">
        <f t="shared" si="140"/>
        <v>1.3089005235602095E-3</v>
      </c>
      <c r="R979">
        <f t="shared" si="141"/>
        <v>0</v>
      </c>
      <c r="S979">
        <f t="shared" si="142"/>
        <v>8</v>
      </c>
      <c r="T979">
        <f t="shared" si="143"/>
        <v>4000</v>
      </c>
    </row>
    <row r="980" spans="1:20">
      <c r="A980" t="s">
        <v>1537</v>
      </c>
      <c r="B980" t="s">
        <v>100</v>
      </c>
      <c r="C980" t="s">
        <v>12</v>
      </c>
      <c r="D980">
        <v>864</v>
      </c>
      <c r="E980" s="4">
        <v>46086</v>
      </c>
      <c r="F980" s="4">
        <v>46098</v>
      </c>
      <c r="G980" s="4">
        <v>46098</v>
      </c>
      <c r="H980">
        <v>879</v>
      </c>
      <c r="I980" t="s">
        <v>505</v>
      </c>
      <c r="J980">
        <v>24</v>
      </c>
      <c r="K980" t="s">
        <v>1563</v>
      </c>
      <c r="L980" t="str">
        <f t="shared" si="135"/>
        <v>Y</v>
      </c>
      <c r="M980" t="str">
        <f t="shared" si="136"/>
        <v>Y</v>
      </c>
      <c r="N980" t="str">
        <f t="shared" si="137"/>
        <v>Y</v>
      </c>
      <c r="O980">
        <f t="shared" si="138"/>
        <v>12</v>
      </c>
      <c r="P980" s="6">
        <f t="shared" si="139"/>
        <v>1.0173611111111112</v>
      </c>
      <c r="Q980" s="6">
        <f t="shared" si="140"/>
        <v>2.7303754266211604E-2</v>
      </c>
      <c r="R980">
        <f t="shared" si="141"/>
        <v>1</v>
      </c>
      <c r="S980">
        <f t="shared" si="142"/>
        <v>0</v>
      </c>
      <c r="T980">
        <f t="shared" si="143"/>
        <v>0</v>
      </c>
    </row>
    <row r="981" spans="1:20">
      <c r="A981" t="s">
        <v>1538</v>
      </c>
      <c r="B981" t="s">
        <v>49</v>
      </c>
      <c r="C981" t="s">
        <v>16</v>
      </c>
      <c r="D981">
        <v>405</v>
      </c>
      <c r="E981" s="4">
        <v>46070</v>
      </c>
      <c r="F981" s="4">
        <v>46079</v>
      </c>
      <c r="G981" s="4">
        <v>46079</v>
      </c>
      <c r="H981">
        <v>405</v>
      </c>
      <c r="I981" t="s">
        <v>1331</v>
      </c>
      <c r="J981">
        <v>2</v>
      </c>
      <c r="K981" t="s">
        <v>1563</v>
      </c>
      <c r="L981" t="str">
        <f t="shared" si="135"/>
        <v>Y</v>
      </c>
      <c r="M981" t="str">
        <f t="shared" si="136"/>
        <v>Y</v>
      </c>
      <c r="N981" t="str">
        <f t="shared" si="137"/>
        <v>Y</v>
      </c>
      <c r="O981">
        <f t="shared" si="138"/>
        <v>9</v>
      </c>
      <c r="P981" s="6">
        <f t="shared" si="139"/>
        <v>1</v>
      </c>
      <c r="Q981" s="6">
        <f t="shared" si="140"/>
        <v>4.9382716049382715E-3</v>
      </c>
      <c r="R981">
        <f t="shared" si="141"/>
        <v>1</v>
      </c>
      <c r="S981">
        <f t="shared" si="142"/>
        <v>0</v>
      </c>
      <c r="T981">
        <f t="shared" si="143"/>
        <v>0</v>
      </c>
    </row>
    <row r="982" spans="1:20">
      <c r="A982" t="s">
        <v>1539</v>
      </c>
      <c r="B982" t="s">
        <v>120</v>
      </c>
      <c r="C982" t="s">
        <v>16</v>
      </c>
      <c r="D982">
        <v>930</v>
      </c>
      <c r="E982" s="4">
        <v>46050</v>
      </c>
      <c r="F982" s="4">
        <v>46057</v>
      </c>
      <c r="G982" s="4">
        <v>46055</v>
      </c>
      <c r="H982">
        <v>759</v>
      </c>
      <c r="I982" t="s">
        <v>1092</v>
      </c>
      <c r="J982">
        <v>29</v>
      </c>
      <c r="K982" t="s">
        <v>1563</v>
      </c>
      <c r="L982" t="str">
        <f t="shared" si="135"/>
        <v>Y</v>
      </c>
      <c r="M982" t="str">
        <f t="shared" si="136"/>
        <v>N</v>
      </c>
      <c r="N982" t="str">
        <f t="shared" si="137"/>
        <v>N</v>
      </c>
      <c r="O982">
        <f t="shared" si="138"/>
        <v>5</v>
      </c>
      <c r="P982" s="6">
        <f t="shared" si="139"/>
        <v>0.81612903225806455</v>
      </c>
      <c r="Q982" s="6">
        <f t="shared" si="140"/>
        <v>3.8208168642951248E-2</v>
      </c>
      <c r="R982">
        <f t="shared" si="141"/>
        <v>0</v>
      </c>
      <c r="S982">
        <f t="shared" si="142"/>
        <v>0</v>
      </c>
      <c r="T982">
        <f t="shared" si="143"/>
        <v>0</v>
      </c>
    </row>
    <row r="983" spans="1:20">
      <c r="A983" t="s">
        <v>1540</v>
      </c>
      <c r="B983" t="s">
        <v>177</v>
      </c>
      <c r="C983" t="s">
        <v>16</v>
      </c>
      <c r="D983">
        <v>342</v>
      </c>
      <c r="E983" s="4">
        <v>46028</v>
      </c>
      <c r="F983" s="4">
        <v>46035</v>
      </c>
      <c r="G983" s="4">
        <v>46034</v>
      </c>
      <c r="H983">
        <v>341</v>
      </c>
      <c r="I983" t="s">
        <v>767</v>
      </c>
      <c r="J983">
        <v>13</v>
      </c>
      <c r="K983" t="s">
        <v>1563</v>
      </c>
      <c r="L983" t="str">
        <f t="shared" si="135"/>
        <v>Y</v>
      </c>
      <c r="M983" t="str">
        <f t="shared" si="136"/>
        <v>Y</v>
      </c>
      <c r="N983" t="str">
        <f t="shared" si="137"/>
        <v>Y</v>
      </c>
      <c r="O983">
        <f t="shared" si="138"/>
        <v>6</v>
      </c>
      <c r="P983" s="6">
        <f t="shared" si="139"/>
        <v>0.99707602339181289</v>
      </c>
      <c r="Q983" s="6">
        <f t="shared" si="140"/>
        <v>3.8123167155425221E-2</v>
      </c>
      <c r="R983">
        <f t="shared" si="141"/>
        <v>1</v>
      </c>
      <c r="S983">
        <f t="shared" si="142"/>
        <v>0</v>
      </c>
      <c r="T983">
        <f t="shared" si="143"/>
        <v>0</v>
      </c>
    </row>
    <row r="984" spans="1:20">
      <c r="A984" t="s">
        <v>1541</v>
      </c>
      <c r="B984" t="s">
        <v>52</v>
      </c>
      <c r="C984" t="s">
        <v>16</v>
      </c>
      <c r="D984">
        <v>994</v>
      </c>
      <c r="E984" s="4">
        <v>46038</v>
      </c>
      <c r="F984" s="4">
        <v>46048</v>
      </c>
      <c r="G984" s="4">
        <v>46045</v>
      </c>
      <c r="H984">
        <v>995</v>
      </c>
      <c r="I984" t="s">
        <v>169</v>
      </c>
      <c r="J984">
        <v>28</v>
      </c>
      <c r="K984" t="s">
        <v>1563</v>
      </c>
      <c r="L984" t="str">
        <f t="shared" si="135"/>
        <v>Y</v>
      </c>
      <c r="M984" t="str">
        <f t="shared" si="136"/>
        <v>Y</v>
      </c>
      <c r="N984" t="str">
        <f t="shared" si="137"/>
        <v>Y</v>
      </c>
      <c r="O984">
        <f t="shared" si="138"/>
        <v>7</v>
      </c>
      <c r="P984" s="6">
        <f t="shared" si="139"/>
        <v>1.0010060362173039</v>
      </c>
      <c r="Q984" s="6">
        <f t="shared" si="140"/>
        <v>2.8140703517587941E-2</v>
      </c>
      <c r="R984">
        <f t="shared" si="141"/>
        <v>1</v>
      </c>
      <c r="S984">
        <f t="shared" si="142"/>
        <v>0</v>
      </c>
      <c r="T984">
        <f t="shared" si="143"/>
        <v>0</v>
      </c>
    </row>
    <row r="985" spans="1:20">
      <c r="A985" t="s">
        <v>1542</v>
      </c>
      <c r="B985" t="s">
        <v>40</v>
      </c>
      <c r="C985" t="s">
        <v>16</v>
      </c>
      <c r="D985">
        <v>505</v>
      </c>
      <c r="E985" s="4">
        <v>46130</v>
      </c>
      <c r="F985" s="4">
        <v>46140</v>
      </c>
      <c r="G985" s="4">
        <v>46142</v>
      </c>
      <c r="H985">
        <v>498</v>
      </c>
      <c r="I985" t="s">
        <v>810</v>
      </c>
      <c r="J985">
        <v>21</v>
      </c>
      <c r="K985" t="s">
        <v>1563</v>
      </c>
      <c r="L985" t="str">
        <f t="shared" si="135"/>
        <v>N</v>
      </c>
      <c r="M985" t="str">
        <f t="shared" si="136"/>
        <v>Y</v>
      </c>
      <c r="N985" t="str">
        <f t="shared" si="137"/>
        <v>N</v>
      </c>
      <c r="O985">
        <f t="shared" si="138"/>
        <v>12</v>
      </c>
      <c r="P985" s="6">
        <f t="shared" si="139"/>
        <v>0.98613861386138613</v>
      </c>
      <c r="Q985" s="6">
        <f t="shared" si="140"/>
        <v>4.2168674698795178E-2</v>
      </c>
      <c r="R985">
        <f t="shared" si="141"/>
        <v>0</v>
      </c>
      <c r="S985">
        <f t="shared" si="142"/>
        <v>2</v>
      </c>
      <c r="T985">
        <f t="shared" si="143"/>
        <v>1000</v>
      </c>
    </row>
    <row r="986" spans="1:20">
      <c r="A986" t="s">
        <v>1543</v>
      </c>
      <c r="B986" t="s">
        <v>26</v>
      </c>
      <c r="C986" t="s">
        <v>12</v>
      </c>
      <c r="D986">
        <v>495</v>
      </c>
      <c r="E986" s="4">
        <v>46033</v>
      </c>
      <c r="F986" s="4">
        <v>46045</v>
      </c>
      <c r="G986" s="4">
        <v>46044</v>
      </c>
      <c r="H986">
        <v>460</v>
      </c>
      <c r="I986" t="s">
        <v>312</v>
      </c>
      <c r="J986">
        <v>7</v>
      </c>
      <c r="K986" t="s">
        <v>1563</v>
      </c>
      <c r="L986" t="str">
        <f t="shared" si="135"/>
        <v>Y</v>
      </c>
      <c r="M986" t="str">
        <f t="shared" si="136"/>
        <v>N</v>
      </c>
      <c r="N986" t="str">
        <f t="shared" si="137"/>
        <v>N</v>
      </c>
      <c r="O986">
        <f t="shared" si="138"/>
        <v>11</v>
      </c>
      <c r="P986" s="6">
        <f t="shared" si="139"/>
        <v>0.92929292929292928</v>
      </c>
      <c r="Q986" s="6">
        <f t="shared" si="140"/>
        <v>1.5217391304347827E-2</v>
      </c>
      <c r="R986">
        <f t="shared" si="141"/>
        <v>0</v>
      </c>
      <c r="S986">
        <f t="shared" si="142"/>
        <v>0</v>
      </c>
      <c r="T986">
        <f t="shared" si="143"/>
        <v>0</v>
      </c>
    </row>
    <row r="987" spans="1:20">
      <c r="A987" t="s">
        <v>1544</v>
      </c>
      <c r="B987" t="s">
        <v>67</v>
      </c>
      <c r="C987" t="s">
        <v>12</v>
      </c>
      <c r="D987">
        <v>435</v>
      </c>
      <c r="E987" s="4">
        <v>46140</v>
      </c>
      <c r="F987" s="4">
        <v>46145</v>
      </c>
      <c r="G987" s="4">
        <v>46148</v>
      </c>
      <c r="H987">
        <v>434</v>
      </c>
      <c r="I987" t="s">
        <v>690</v>
      </c>
      <c r="J987">
        <v>10</v>
      </c>
      <c r="K987" t="s">
        <v>1563</v>
      </c>
      <c r="L987" t="str">
        <f t="shared" si="135"/>
        <v>N</v>
      </c>
      <c r="M987" t="str">
        <f t="shared" si="136"/>
        <v>Y</v>
      </c>
      <c r="N987" t="str">
        <f t="shared" si="137"/>
        <v>N</v>
      </c>
      <c r="O987">
        <f t="shared" si="138"/>
        <v>8</v>
      </c>
      <c r="P987" s="6">
        <f t="shared" si="139"/>
        <v>0.99770114942528731</v>
      </c>
      <c r="Q987" s="6">
        <f t="shared" si="140"/>
        <v>2.3041474654377881E-2</v>
      </c>
      <c r="R987">
        <f t="shared" si="141"/>
        <v>0</v>
      </c>
      <c r="S987">
        <f t="shared" si="142"/>
        <v>3</v>
      </c>
      <c r="T987">
        <f t="shared" si="143"/>
        <v>1500</v>
      </c>
    </row>
    <row r="988" spans="1:20">
      <c r="A988" t="s">
        <v>1545</v>
      </c>
      <c r="B988" t="s">
        <v>11</v>
      </c>
      <c r="C988" t="s">
        <v>23</v>
      </c>
      <c r="D988">
        <v>685</v>
      </c>
      <c r="E988" s="4">
        <v>46134</v>
      </c>
      <c r="F988" s="4">
        <v>46140</v>
      </c>
      <c r="G988" s="4"/>
      <c r="I988" t="s">
        <v>103</v>
      </c>
      <c r="K988" t="s">
        <v>1565</v>
      </c>
      <c r="L988" t="str">
        <f t="shared" si="135"/>
        <v>N/A</v>
      </c>
      <c r="M988" t="str">
        <f t="shared" si="136"/>
        <v>N/A</v>
      </c>
      <c r="N988" t="str">
        <f t="shared" si="137"/>
        <v>N/A</v>
      </c>
      <c r="O988" t="str">
        <f t="shared" si="138"/>
        <v>N/A</v>
      </c>
      <c r="P988" s="6" t="str">
        <f t="shared" si="139"/>
        <v>N/A</v>
      </c>
      <c r="Q988" s="6" t="str">
        <f t="shared" si="140"/>
        <v>N/A</v>
      </c>
      <c r="R988" t="str">
        <f t="shared" si="141"/>
        <v/>
      </c>
      <c r="S988" t="str">
        <f t="shared" si="142"/>
        <v>N/A</v>
      </c>
      <c r="T988">
        <f t="shared" si="143"/>
        <v>0</v>
      </c>
    </row>
    <row r="989" spans="1:20">
      <c r="A989" t="s">
        <v>1546</v>
      </c>
      <c r="B989" t="s">
        <v>52</v>
      </c>
      <c r="C989" t="s">
        <v>16</v>
      </c>
      <c r="D989">
        <v>258</v>
      </c>
      <c r="E989" s="4">
        <v>46071</v>
      </c>
      <c r="F989" s="4">
        <v>46085</v>
      </c>
      <c r="G989" s="4">
        <v>46091</v>
      </c>
      <c r="H989">
        <v>258</v>
      </c>
      <c r="I989" t="s">
        <v>1306</v>
      </c>
      <c r="J989">
        <v>2</v>
      </c>
      <c r="K989" t="s">
        <v>1563</v>
      </c>
      <c r="L989" t="str">
        <f t="shared" si="135"/>
        <v>N</v>
      </c>
      <c r="M989" t="str">
        <f t="shared" si="136"/>
        <v>Y</v>
      </c>
      <c r="N989" t="str">
        <f t="shared" si="137"/>
        <v>N</v>
      </c>
      <c r="O989">
        <f t="shared" si="138"/>
        <v>20</v>
      </c>
      <c r="P989" s="6">
        <f t="shared" si="139"/>
        <v>1</v>
      </c>
      <c r="Q989" s="6">
        <f t="shared" si="140"/>
        <v>7.7519379844961239E-3</v>
      </c>
      <c r="R989">
        <f t="shared" si="141"/>
        <v>0</v>
      </c>
      <c r="S989">
        <f t="shared" si="142"/>
        <v>6</v>
      </c>
      <c r="T989">
        <f t="shared" si="143"/>
        <v>3000</v>
      </c>
    </row>
    <row r="990" spans="1:20">
      <c r="A990" t="s">
        <v>1547</v>
      </c>
      <c r="B990" t="s">
        <v>29</v>
      </c>
      <c r="C990" t="s">
        <v>23</v>
      </c>
      <c r="D990">
        <v>333</v>
      </c>
      <c r="E990" s="4">
        <v>46049</v>
      </c>
      <c r="F990" s="4">
        <v>46054</v>
      </c>
      <c r="G990" s="4">
        <v>46056</v>
      </c>
      <c r="H990">
        <v>308</v>
      </c>
      <c r="I990" t="s">
        <v>592</v>
      </c>
      <c r="J990">
        <v>3</v>
      </c>
      <c r="K990" t="s">
        <v>1563</v>
      </c>
      <c r="L990" t="str">
        <f t="shared" si="135"/>
        <v>N</v>
      </c>
      <c r="M990" t="str">
        <f t="shared" si="136"/>
        <v>N</v>
      </c>
      <c r="N990" t="str">
        <f t="shared" si="137"/>
        <v>N</v>
      </c>
      <c r="O990">
        <f t="shared" si="138"/>
        <v>7</v>
      </c>
      <c r="P990" s="6">
        <f t="shared" si="139"/>
        <v>0.92492492492492495</v>
      </c>
      <c r="Q990" s="6">
        <f t="shared" si="140"/>
        <v>9.74025974025974E-3</v>
      </c>
      <c r="R990">
        <f t="shared" si="141"/>
        <v>0</v>
      </c>
      <c r="S990">
        <f t="shared" si="142"/>
        <v>2</v>
      </c>
      <c r="T990">
        <f t="shared" si="143"/>
        <v>1000</v>
      </c>
    </row>
    <row r="991" spans="1:20">
      <c r="A991" t="s">
        <v>1548</v>
      </c>
      <c r="B991" t="s">
        <v>32</v>
      </c>
      <c r="C991" t="s">
        <v>12</v>
      </c>
      <c r="D991">
        <v>526</v>
      </c>
      <c r="E991" s="4">
        <v>46066</v>
      </c>
      <c r="F991" s="4">
        <v>46071</v>
      </c>
      <c r="G991" s="4">
        <v>46071</v>
      </c>
      <c r="H991">
        <v>504</v>
      </c>
      <c r="I991" t="s">
        <v>1549</v>
      </c>
      <c r="J991">
        <v>2</v>
      </c>
      <c r="K991" t="s">
        <v>1563</v>
      </c>
      <c r="L991" t="str">
        <f t="shared" si="135"/>
        <v>Y</v>
      </c>
      <c r="M991" t="str">
        <f t="shared" si="136"/>
        <v>N</v>
      </c>
      <c r="N991" t="str">
        <f t="shared" si="137"/>
        <v>N</v>
      </c>
      <c r="O991">
        <f t="shared" si="138"/>
        <v>5</v>
      </c>
      <c r="P991" s="6">
        <f t="shared" si="139"/>
        <v>0.95817490494296575</v>
      </c>
      <c r="Q991" s="6">
        <f t="shared" si="140"/>
        <v>3.968253968253968E-3</v>
      </c>
      <c r="R991">
        <f t="shared" si="141"/>
        <v>0</v>
      </c>
      <c r="S991">
        <f t="shared" si="142"/>
        <v>0</v>
      </c>
      <c r="T991">
        <f t="shared" si="143"/>
        <v>0</v>
      </c>
    </row>
    <row r="992" spans="1:20">
      <c r="A992" t="s">
        <v>1550</v>
      </c>
      <c r="B992" t="s">
        <v>19</v>
      </c>
      <c r="C992" t="s">
        <v>12</v>
      </c>
      <c r="D992">
        <v>502</v>
      </c>
      <c r="E992" s="4">
        <v>46084</v>
      </c>
      <c r="F992" s="4">
        <v>46096</v>
      </c>
      <c r="G992" s="4">
        <v>46093</v>
      </c>
      <c r="H992">
        <v>422</v>
      </c>
      <c r="I992" t="s">
        <v>936</v>
      </c>
      <c r="J992">
        <v>24</v>
      </c>
      <c r="K992" t="s">
        <v>1563</v>
      </c>
      <c r="L992" t="str">
        <f t="shared" si="135"/>
        <v>Y</v>
      </c>
      <c r="M992" t="str">
        <f t="shared" si="136"/>
        <v>N</v>
      </c>
      <c r="N992" t="str">
        <f t="shared" si="137"/>
        <v>N</v>
      </c>
      <c r="O992">
        <f t="shared" si="138"/>
        <v>9</v>
      </c>
      <c r="P992" s="6">
        <f t="shared" si="139"/>
        <v>0.84063745019920322</v>
      </c>
      <c r="Q992" s="6">
        <f t="shared" si="140"/>
        <v>5.6872037914691941E-2</v>
      </c>
      <c r="R992">
        <f t="shared" si="141"/>
        <v>0</v>
      </c>
      <c r="S992">
        <f t="shared" si="142"/>
        <v>0</v>
      </c>
      <c r="T992">
        <f t="shared" si="143"/>
        <v>0</v>
      </c>
    </row>
    <row r="993" spans="1:20">
      <c r="A993" t="s">
        <v>1551</v>
      </c>
      <c r="B993" t="s">
        <v>26</v>
      </c>
      <c r="C993" t="s">
        <v>16</v>
      </c>
      <c r="D993">
        <v>220</v>
      </c>
      <c r="E993" s="4">
        <v>46124</v>
      </c>
      <c r="F993" s="4">
        <v>46131</v>
      </c>
      <c r="G993" s="4">
        <v>46129</v>
      </c>
      <c r="H993">
        <v>211</v>
      </c>
      <c r="I993" t="s">
        <v>1302</v>
      </c>
      <c r="J993">
        <v>5</v>
      </c>
      <c r="K993" t="s">
        <v>1563</v>
      </c>
      <c r="L993" t="str">
        <f t="shared" si="135"/>
        <v>Y</v>
      </c>
      <c r="M993" t="str">
        <f t="shared" si="136"/>
        <v>N</v>
      </c>
      <c r="N993" t="str">
        <f t="shared" si="137"/>
        <v>N</v>
      </c>
      <c r="O993">
        <f t="shared" si="138"/>
        <v>5</v>
      </c>
      <c r="P993" s="6">
        <f t="shared" si="139"/>
        <v>0.95909090909090911</v>
      </c>
      <c r="Q993" s="6">
        <f t="shared" si="140"/>
        <v>2.3696682464454975E-2</v>
      </c>
      <c r="R993">
        <f t="shared" si="141"/>
        <v>0</v>
      </c>
      <c r="S993">
        <f t="shared" si="142"/>
        <v>0</v>
      </c>
      <c r="T993">
        <f t="shared" si="143"/>
        <v>0</v>
      </c>
    </row>
    <row r="994" spans="1:20">
      <c r="A994" t="s">
        <v>1552</v>
      </c>
      <c r="B994" t="s">
        <v>43</v>
      </c>
      <c r="C994" t="s">
        <v>12</v>
      </c>
      <c r="D994">
        <v>115</v>
      </c>
      <c r="E994" s="4">
        <v>46061</v>
      </c>
      <c r="F994" s="4">
        <v>46071</v>
      </c>
      <c r="G994" s="4">
        <v>46080</v>
      </c>
      <c r="H994">
        <v>115</v>
      </c>
      <c r="I994" t="s">
        <v>385</v>
      </c>
      <c r="J994">
        <v>1</v>
      </c>
      <c r="K994" t="s">
        <v>1563</v>
      </c>
      <c r="L994" t="str">
        <f t="shared" si="135"/>
        <v>N</v>
      </c>
      <c r="M994" t="str">
        <f t="shared" si="136"/>
        <v>Y</v>
      </c>
      <c r="N994" t="str">
        <f t="shared" si="137"/>
        <v>N</v>
      </c>
      <c r="O994">
        <f t="shared" si="138"/>
        <v>19</v>
      </c>
      <c r="P994" s="6">
        <f t="shared" si="139"/>
        <v>1</v>
      </c>
      <c r="Q994" s="6">
        <f t="shared" si="140"/>
        <v>8.6956521739130436E-3</v>
      </c>
      <c r="R994">
        <f t="shared" si="141"/>
        <v>0</v>
      </c>
      <c r="S994">
        <f t="shared" si="142"/>
        <v>9</v>
      </c>
      <c r="T994">
        <f t="shared" si="143"/>
        <v>4500</v>
      </c>
    </row>
    <row r="995" spans="1:20">
      <c r="A995" t="s">
        <v>1553</v>
      </c>
      <c r="B995" t="s">
        <v>100</v>
      </c>
      <c r="C995" t="s">
        <v>16</v>
      </c>
      <c r="D995">
        <v>336</v>
      </c>
      <c r="E995" s="4">
        <v>46152</v>
      </c>
      <c r="F995" s="4">
        <v>46167</v>
      </c>
      <c r="G995" s="4">
        <v>46167</v>
      </c>
      <c r="H995">
        <v>331</v>
      </c>
      <c r="I995" t="s">
        <v>1269</v>
      </c>
      <c r="J995">
        <v>0</v>
      </c>
      <c r="K995" t="s">
        <v>1563</v>
      </c>
      <c r="L995" t="str">
        <f t="shared" si="135"/>
        <v>Y</v>
      </c>
      <c r="M995" t="str">
        <f t="shared" si="136"/>
        <v>Y</v>
      </c>
      <c r="N995" t="str">
        <f t="shared" si="137"/>
        <v>Y</v>
      </c>
      <c r="O995">
        <f t="shared" si="138"/>
        <v>15</v>
      </c>
      <c r="P995" s="6">
        <f t="shared" si="139"/>
        <v>0.98511904761904767</v>
      </c>
      <c r="Q995" s="6">
        <f t="shared" si="140"/>
        <v>0</v>
      </c>
      <c r="R995">
        <f t="shared" si="141"/>
        <v>1</v>
      </c>
      <c r="S995">
        <f t="shared" si="142"/>
        <v>0</v>
      </c>
      <c r="T995">
        <f t="shared" si="143"/>
        <v>0</v>
      </c>
    </row>
    <row r="996" spans="1:20">
      <c r="A996" t="s">
        <v>1554</v>
      </c>
      <c r="B996" t="s">
        <v>22</v>
      </c>
      <c r="C996" t="s">
        <v>23</v>
      </c>
      <c r="D996">
        <v>917</v>
      </c>
      <c r="E996" s="4">
        <v>46083</v>
      </c>
      <c r="F996" s="4">
        <v>46091</v>
      </c>
      <c r="G996" s="4">
        <v>46100</v>
      </c>
      <c r="H996">
        <v>923</v>
      </c>
      <c r="I996" t="s">
        <v>1564</v>
      </c>
      <c r="J996">
        <v>80</v>
      </c>
      <c r="K996" t="s">
        <v>1563</v>
      </c>
      <c r="L996" t="str">
        <f t="shared" si="135"/>
        <v>N</v>
      </c>
      <c r="M996" t="str">
        <f t="shared" si="136"/>
        <v>Y</v>
      </c>
      <c r="N996" t="str">
        <f t="shared" si="137"/>
        <v>N</v>
      </c>
      <c r="O996">
        <f t="shared" si="138"/>
        <v>17</v>
      </c>
      <c r="P996" s="6">
        <f t="shared" si="139"/>
        <v>1.0065430752453652</v>
      </c>
      <c r="Q996" s="6">
        <f t="shared" si="140"/>
        <v>8.6673889490790898E-2</v>
      </c>
      <c r="R996">
        <f t="shared" si="141"/>
        <v>0</v>
      </c>
      <c r="S996">
        <f t="shared" si="142"/>
        <v>9</v>
      </c>
      <c r="T996">
        <f t="shared" si="143"/>
        <v>4500</v>
      </c>
    </row>
    <row r="997" spans="1:20">
      <c r="A997" t="s">
        <v>1555</v>
      </c>
      <c r="B997" t="s">
        <v>35</v>
      </c>
      <c r="C997" t="s">
        <v>16</v>
      </c>
      <c r="D997">
        <v>811</v>
      </c>
      <c r="E997" s="4">
        <v>46138</v>
      </c>
      <c r="F997" s="4">
        <v>46153</v>
      </c>
      <c r="G997" s="4">
        <v>46152</v>
      </c>
      <c r="H997">
        <v>803</v>
      </c>
      <c r="I997" t="s">
        <v>1365</v>
      </c>
      <c r="J997">
        <v>24</v>
      </c>
      <c r="K997" t="s">
        <v>1563</v>
      </c>
      <c r="L997" t="str">
        <f t="shared" si="135"/>
        <v>Y</v>
      </c>
      <c r="M997" t="str">
        <f t="shared" si="136"/>
        <v>Y</v>
      </c>
      <c r="N997" t="str">
        <f t="shared" si="137"/>
        <v>Y</v>
      </c>
      <c r="O997">
        <f t="shared" si="138"/>
        <v>14</v>
      </c>
      <c r="P997" s="6">
        <f t="shared" si="139"/>
        <v>0.99013563501849566</v>
      </c>
      <c r="Q997" s="6">
        <f t="shared" si="140"/>
        <v>2.9887920298879204E-2</v>
      </c>
      <c r="R997">
        <f t="shared" si="141"/>
        <v>1</v>
      </c>
      <c r="S997">
        <f t="shared" si="142"/>
        <v>0</v>
      </c>
      <c r="T997">
        <f t="shared" si="143"/>
        <v>0</v>
      </c>
    </row>
    <row r="998" spans="1:20">
      <c r="A998" t="s">
        <v>1556</v>
      </c>
      <c r="B998" t="s">
        <v>11</v>
      </c>
      <c r="C998" t="s">
        <v>16</v>
      </c>
      <c r="D998">
        <v>945</v>
      </c>
      <c r="E998" s="4">
        <v>46073</v>
      </c>
      <c r="F998" s="4">
        <v>46086</v>
      </c>
      <c r="G998" s="4"/>
      <c r="I998" t="s">
        <v>1557</v>
      </c>
      <c r="K998" t="s">
        <v>1565</v>
      </c>
      <c r="L998" t="str">
        <f t="shared" si="135"/>
        <v>N/A</v>
      </c>
      <c r="M998" t="str">
        <f t="shared" si="136"/>
        <v>N/A</v>
      </c>
      <c r="N998" t="str">
        <f t="shared" si="137"/>
        <v>N/A</v>
      </c>
      <c r="O998" t="str">
        <f t="shared" si="138"/>
        <v>N/A</v>
      </c>
      <c r="P998" s="6" t="str">
        <f t="shared" si="139"/>
        <v>N/A</v>
      </c>
      <c r="Q998" s="6" t="str">
        <f t="shared" si="140"/>
        <v>N/A</v>
      </c>
      <c r="R998" t="str">
        <f t="shared" si="141"/>
        <v/>
      </c>
      <c r="S998" t="str">
        <f t="shared" si="142"/>
        <v>N/A</v>
      </c>
      <c r="T998">
        <f t="shared" si="143"/>
        <v>0</v>
      </c>
    </row>
    <row r="999" spans="1:20">
      <c r="A999" t="s">
        <v>1558</v>
      </c>
      <c r="B999" t="s">
        <v>64</v>
      </c>
      <c r="C999" t="s">
        <v>23</v>
      </c>
      <c r="D999">
        <v>150</v>
      </c>
      <c r="E999" s="4">
        <v>46077</v>
      </c>
      <c r="F999" s="4">
        <v>46089</v>
      </c>
      <c r="G999" s="4">
        <v>46088</v>
      </c>
      <c r="H999">
        <v>142</v>
      </c>
      <c r="I999" t="s">
        <v>1559</v>
      </c>
      <c r="J999">
        <v>1</v>
      </c>
      <c r="K999" t="s">
        <v>1563</v>
      </c>
      <c r="L999" t="str">
        <f t="shared" si="135"/>
        <v>Y</v>
      </c>
      <c r="M999" t="str">
        <f t="shared" si="136"/>
        <v>N</v>
      </c>
      <c r="N999" t="str">
        <f t="shared" si="137"/>
        <v>N</v>
      </c>
      <c r="O999">
        <f t="shared" si="138"/>
        <v>11</v>
      </c>
      <c r="P999" s="6">
        <f t="shared" si="139"/>
        <v>0.94666666666666666</v>
      </c>
      <c r="Q999" s="6">
        <f t="shared" si="140"/>
        <v>7.0422535211267607E-3</v>
      </c>
      <c r="R999">
        <f t="shared" si="141"/>
        <v>0</v>
      </c>
      <c r="S999">
        <f t="shared" si="142"/>
        <v>0</v>
      </c>
      <c r="T999">
        <f t="shared" si="143"/>
        <v>0</v>
      </c>
    </row>
    <row r="1000" spans="1:20">
      <c r="A1000" t="s">
        <v>1560</v>
      </c>
      <c r="B1000" t="s">
        <v>46</v>
      </c>
      <c r="C1000" t="s">
        <v>16</v>
      </c>
      <c r="D1000">
        <v>118</v>
      </c>
      <c r="E1000" s="4">
        <v>46058</v>
      </c>
      <c r="F1000" s="4">
        <v>46069</v>
      </c>
      <c r="G1000" s="4">
        <v>46066</v>
      </c>
      <c r="H1000">
        <v>119</v>
      </c>
      <c r="I1000" t="s">
        <v>318</v>
      </c>
      <c r="J1000">
        <v>3</v>
      </c>
      <c r="K1000" t="s">
        <v>1563</v>
      </c>
      <c r="L1000" t="str">
        <f t="shared" si="135"/>
        <v>Y</v>
      </c>
      <c r="M1000" t="str">
        <f t="shared" si="136"/>
        <v>Y</v>
      </c>
      <c r="N1000" t="str">
        <f t="shared" si="137"/>
        <v>Y</v>
      </c>
      <c r="O1000">
        <f t="shared" si="138"/>
        <v>8</v>
      </c>
      <c r="P1000" s="6">
        <f t="shared" si="139"/>
        <v>1.0084745762711864</v>
      </c>
      <c r="Q1000" s="6">
        <f t="shared" si="140"/>
        <v>2.5210084033613446E-2</v>
      </c>
      <c r="R1000">
        <f t="shared" si="141"/>
        <v>1</v>
      </c>
      <c r="S1000">
        <f t="shared" si="142"/>
        <v>0</v>
      </c>
      <c r="T1000">
        <f t="shared" si="143"/>
        <v>0</v>
      </c>
    </row>
    <row r="1001" spans="1:20">
      <c r="A1001" t="s">
        <v>1561</v>
      </c>
      <c r="B1001" t="s">
        <v>22</v>
      </c>
      <c r="C1001" t="s">
        <v>12</v>
      </c>
      <c r="D1001">
        <v>840</v>
      </c>
      <c r="E1001" s="4">
        <v>46111</v>
      </c>
      <c r="F1001" s="4">
        <v>46117</v>
      </c>
      <c r="G1001" s="4">
        <v>46116</v>
      </c>
      <c r="H1001">
        <v>833</v>
      </c>
      <c r="I1001" t="s">
        <v>195</v>
      </c>
      <c r="J1001">
        <v>71</v>
      </c>
      <c r="K1001" t="s">
        <v>1563</v>
      </c>
      <c r="L1001" t="str">
        <f t="shared" si="135"/>
        <v>Y</v>
      </c>
      <c r="M1001" t="str">
        <f t="shared" si="136"/>
        <v>Y</v>
      </c>
      <c r="N1001" t="str">
        <f t="shared" si="137"/>
        <v>Y</v>
      </c>
      <c r="O1001">
        <f t="shared" si="138"/>
        <v>5</v>
      </c>
      <c r="P1001" s="6">
        <f t="shared" si="139"/>
        <v>0.9916666666666667</v>
      </c>
      <c r="Q1001" s="6">
        <f t="shared" si="140"/>
        <v>8.5234093637454988E-2</v>
      </c>
      <c r="R1001">
        <f t="shared" si="141"/>
        <v>1</v>
      </c>
      <c r="S1001">
        <f t="shared" si="142"/>
        <v>0</v>
      </c>
      <c r="T1001">
        <f t="shared" si="143"/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5ABC-614E-4A63-9394-A22C8DD6D82E}">
  <dimension ref="A1:D24"/>
  <sheetViews>
    <sheetView zoomScale="97" workbookViewId="0">
      <selection activeCell="A4" sqref="A4:B23"/>
    </sheetView>
  </sheetViews>
  <sheetFormatPr defaultRowHeight="14.4"/>
  <cols>
    <col min="1" max="1" width="12.88671875" bestFit="1" customWidth="1"/>
    <col min="2" max="2" width="6.5546875" bestFit="1" customWidth="1"/>
    <col min="3" max="3" width="12.33203125" style="18" bestFit="1" customWidth="1"/>
    <col min="4" max="4" width="12.21875" bestFit="1" customWidth="1"/>
  </cols>
  <sheetData>
    <row r="1" spans="1:4">
      <c r="A1" s="16" t="s">
        <v>1562</v>
      </c>
      <c r="B1" t="s">
        <v>1574</v>
      </c>
    </row>
    <row r="3" spans="1:4">
      <c r="A3" s="16" t="s">
        <v>1572</v>
      </c>
      <c r="B3" t="s">
        <v>1576</v>
      </c>
      <c r="C3"/>
      <c r="D3" s="19" t="s">
        <v>1577</v>
      </c>
    </row>
    <row r="4" spans="1:4">
      <c r="A4" s="17" t="s">
        <v>32</v>
      </c>
      <c r="B4" s="18">
        <v>0.58181818181818179</v>
      </c>
      <c r="C4"/>
      <c r="D4">
        <f>RANK(B4,$B$4:$B$23,0)</f>
        <v>10</v>
      </c>
    </row>
    <row r="5" spans="1:4">
      <c r="A5" s="17" t="s">
        <v>54</v>
      </c>
      <c r="B5" s="18">
        <v>0.6</v>
      </c>
      <c r="C5"/>
      <c r="D5">
        <f t="shared" ref="D5:D23" si="0">RANK(B5,$B$4:$B$23,0)</f>
        <v>9</v>
      </c>
    </row>
    <row r="6" spans="1:4">
      <c r="A6" s="17" t="s">
        <v>120</v>
      </c>
      <c r="B6" s="18">
        <v>0.57446808510638303</v>
      </c>
      <c r="C6"/>
      <c r="D6">
        <f t="shared" si="0"/>
        <v>11</v>
      </c>
    </row>
    <row r="7" spans="1:4">
      <c r="A7" s="17" t="s">
        <v>40</v>
      </c>
      <c r="B7" s="18">
        <v>0.52500000000000002</v>
      </c>
      <c r="C7"/>
      <c r="D7">
        <f t="shared" si="0"/>
        <v>14</v>
      </c>
    </row>
    <row r="8" spans="1:4">
      <c r="A8" s="17" t="s">
        <v>70</v>
      </c>
      <c r="B8" s="18">
        <v>0.44</v>
      </c>
      <c r="C8"/>
      <c r="D8">
        <f t="shared" si="0"/>
        <v>17</v>
      </c>
    </row>
    <row r="9" spans="1:4">
      <c r="A9" s="17" t="s">
        <v>19</v>
      </c>
      <c r="B9" s="18">
        <v>0.72916666666666663</v>
      </c>
      <c r="C9"/>
      <c r="D9">
        <f t="shared" si="0"/>
        <v>3</v>
      </c>
    </row>
    <row r="10" spans="1:4">
      <c r="A10" s="17" t="s">
        <v>35</v>
      </c>
      <c r="B10" s="18">
        <v>0.51063829787234039</v>
      </c>
      <c r="C10"/>
      <c r="D10">
        <f t="shared" si="0"/>
        <v>15</v>
      </c>
    </row>
    <row r="11" spans="1:4">
      <c r="A11" s="17" t="s">
        <v>11</v>
      </c>
      <c r="B11" s="18">
        <v>0.65306122448979587</v>
      </c>
      <c r="C11"/>
      <c r="D11">
        <f t="shared" si="0"/>
        <v>5</v>
      </c>
    </row>
    <row r="12" spans="1:4">
      <c r="A12" s="17" t="s">
        <v>52</v>
      </c>
      <c r="B12" s="18">
        <v>0.55319148936170215</v>
      </c>
      <c r="C12"/>
      <c r="D12">
        <f t="shared" si="0"/>
        <v>13</v>
      </c>
    </row>
    <row r="13" spans="1:4">
      <c r="A13" s="17" t="s">
        <v>29</v>
      </c>
      <c r="B13" s="18">
        <v>0.47619047619047616</v>
      </c>
      <c r="C13"/>
      <c r="D13">
        <f t="shared" si="0"/>
        <v>16</v>
      </c>
    </row>
    <row r="14" spans="1:4">
      <c r="A14" s="17" t="s">
        <v>49</v>
      </c>
      <c r="B14" s="18">
        <v>0.60784313725490191</v>
      </c>
      <c r="C14"/>
      <c r="D14">
        <f t="shared" si="0"/>
        <v>8</v>
      </c>
    </row>
    <row r="15" spans="1:4">
      <c r="A15" s="17" t="s">
        <v>64</v>
      </c>
      <c r="B15" s="18">
        <v>0.30232558139534882</v>
      </c>
      <c r="C15"/>
      <c r="D15">
        <f t="shared" si="0"/>
        <v>20</v>
      </c>
    </row>
    <row r="16" spans="1:4">
      <c r="A16" s="17" t="s">
        <v>43</v>
      </c>
      <c r="B16" s="18">
        <v>0.69230769230769229</v>
      </c>
      <c r="C16"/>
      <c r="D16">
        <f t="shared" si="0"/>
        <v>4</v>
      </c>
    </row>
    <row r="17" spans="1:4">
      <c r="A17" s="17" t="s">
        <v>177</v>
      </c>
      <c r="B17" s="18">
        <v>0.65306122448979587</v>
      </c>
      <c r="C17"/>
      <c r="D17">
        <f t="shared" si="0"/>
        <v>5</v>
      </c>
    </row>
    <row r="18" spans="1:4">
      <c r="A18" s="17" t="s">
        <v>26</v>
      </c>
      <c r="B18" s="18">
        <v>0.62068965517241381</v>
      </c>
      <c r="C18"/>
      <c r="D18">
        <f t="shared" si="0"/>
        <v>7</v>
      </c>
    </row>
    <row r="19" spans="1:4">
      <c r="A19" s="17" t="s">
        <v>67</v>
      </c>
      <c r="B19" s="18">
        <v>0.57407407407407407</v>
      </c>
      <c r="C19"/>
      <c r="D19">
        <f t="shared" si="0"/>
        <v>12</v>
      </c>
    </row>
    <row r="20" spans="1:4">
      <c r="A20" s="17" t="s">
        <v>46</v>
      </c>
      <c r="B20" s="18">
        <v>0.7407407407407407</v>
      </c>
      <c r="C20"/>
      <c r="D20">
        <f t="shared" si="0"/>
        <v>2</v>
      </c>
    </row>
    <row r="21" spans="1:4">
      <c r="A21" s="17" t="s">
        <v>22</v>
      </c>
      <c r="B21" s="18">
        <v>0.3125</v>
      </c>
      <c r="C21"/>
      <c r="D21">
        <f t="shared" si="0"/>
        <v>19</v>
      </c>
    </row>
    <row r="22" spans="1:4">
      <c r="A22" s="17" t="s">
        <v>81</v>
      </c>
      <c r="B22" s="18">
        <v>0.34782608695652173</v>
      </c>
      <c r="C22"/>
      <c r="D22">
        <f t="shared" si="0"/>
        <v>18</v>
      </c>
    </row>
    <row r="23" spans="1:4">
      <c r="A23" s="17" t="s">
        <v>100</v>
      </c>
      <c r="B23" s="18">
        <v>0.75</v>
      </c>
      <c r="C23"/>
      <c r="D23">
        <f t="shared" si="0"/>
        <v>1</v>
      </c>
    </row>
    <row r="24" spans="1:4">
      <c r="A24" s="17" t="s">
        <v>1573</v>
      </c>
      <c r="B24" s="18">
        <v>0.56597938144329896</v>
      </c>
      <c r="C24"/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1"/>
  <sheetViews>
    <sheetView zoomScale="91" workbookViewId="0">
      <pane ySplit="1" topLeftCell="A1001" activePane="bottomLeft" state="frozen"/>
      <selection pane="bottomLeft" activeCell="L1010" sqref="L1010"/>
    </sheetView>
  </sheetViews>
  <sheetFormatPr defaultRowHeight="14.4"/>
  <cols>
    <col min="1" max="1" width="14.5546875" customWidth="1"/>
    <col min="2" max="2" width="16.33203125" customWidth="1"/>
    <col min="3" max="3" width="14" customWidth="1"/>
    <col min="4" max="4" width="10" customWidth="1"/>
    <col min="5" max="5" width="15.33203125" customWidth="1"/>
    <col min="6" max="6" width="13" customWidth="1"/>
    <col min="7" max="7" width="17.44140625" customWidth="1"/>
    <col min="8" max="8" width="17.109375" customWidth="1"/>
    <col min="9" max="9" width="16.109375" customWidth="1"/>
    <col min="10" max="10" width="15.77734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>
        <v>225</v>
      </c>
      <c r="F2" s="3">
        <v>46131</v>
      </c>
      <c r="G2" s="3">
        <v>46141</v>
      </c>
      <c r="H2" s="3">
        <v>46140</v>
      </c>
      <c r="I2" s="2">
        <v>186</v>
      </c>
      <c r="J2" s="2">
        <v>6</v>
      </c>
    </row>
    <row r="3" spans="1:10">
      <c r="A3" s="2" t="s">
        <v>14</v>
      </c>
      <c r="B3" s="2" t="s">
        <v>15</v>
      </c>
      <c r="C3" s="2" t="s">
        <v>16</v>
      </c>
      <c r="D3" s="2" t="s">
        <v>17</v>
      </c>
      <c r="E3" s="2">
        <v>875</v>
      </c>
      <c r="F3" s="3">
        <v>46142</v>
      </c>
      <c r="G3" s="3">
        <v>46156</v>
      </c>
      <c r="H3" s="3">
        <v>46154</v>
      </c>
      <c r="I3" s="2">
        <v>859</v>
      </c>
      <c r="J3" s="2">
        <v>10</v>
      </c>
    </row>
    <row r="4" spans="1:10">
      <c r="A4" s="2" t="s">
        <v>18</v>
      </c>
      <c r="B4" s="2" t="s">
        <v>19</v>
      </c>
      <c r="C4" s="2" t="s">
        <v>12</v>
      </c>
      <c r="D4" s="2" t="s">
        <v>20</v>
      </c>
      <c r="E4" s="2">
        <v>288</v>
      </c>
      <c r="F4" s="3">
        <v>46028</v>
      </c>
      <c r="G4" s="3">
        <v>46038</v>
      </c>
      <c r="H4" s="3">
        <v>46037</v>
      </c>
      <c r="I4" s="2">
        <v>283</v>
      </c>
      <c r="J4" s="2">
        <v>9</v>
      </c>
    </row>
    <row r="5" spans="1:10">
      <c r="A5" s="2" t="s">
        <v>21</v>
      </c>
      <c r="B5" s="2" t="s">
        <v>22</v>
      </c>
      <c r="C5" s="2" t="s">
        <v>23</v>
      </c>
      <c r="D5" s="2" t="s">
        <v>24</v>
      </c>
      <c r="E5" s="2">
        <v>876</v>
      </c>
      <c r="F5" s="3">
        <v>46039</v>
      </c>
      <c r="G5" s="3">
        <v>46046</v>
      </c>
      <c r="H5" s="3">
        <v>46054</v>
      </c>
      <c r="I5" s="2">
        <v>877</v>
      </c>
      <c r="J5" s="2">
        <v>8</v>
      </c>
    </row>
    <row r="6" spans="1:10">
      <c r="A6" s="2" t="s">
        <v>25</v>
      </c>
      <c r="B6" s="2" t="s">
        <v>26</v>
      </c>
      <c r="C6" s="2" t="s">
        <v>16</v>
      </c>
      <c r="D6" s="2" t="s">
        <v>27</v>
      </c>
      <c r="E6" s="2">
        <v>445</v>
      </c>
      <c r="F6" s="3">
        <v>46089</v>
      </c>
      <c r="G6" s="3">
        <v>46094</v>
      </c>
      <c r="H6" s="3">
        <v>46094</v>
      </c>
      <c r="I6" s="2">
        <v>442</v>
      </c>
      <c r="J6" s="2">
        <v>6</v>
      </c>
    </row>
    <row r="7" spans="1:10">
      <c r="A7" s="2" t="s">
        <v>28</v>
      </c>
      <c r="B7" s="2" t="s">
        <v>29</v>
      </c>
      <c r="C7" s="2" t="s">
        <v>12</v>
      </c>
      <c r="D7" s="2" t="s">
        <v>30</v>
      </c>
      <c r="E7" s="2">
        <v>482</v>
      </c>
      <c r="F7" s="3">
        <v>46134</v>
      </c>
      <c r="G7" s="3">
        <v>46147</v>
      </c>
      <c r="H7" s="3">
        <v>46146</v>
      </c>
      <c r="I7" s="2">
        <v>473</v>
      </c>
      <c r="J7" s="2">
        <v>3</v>
      </c>
    </row>
    <row r="8" spans="1:10">
      <c r="A8" s="2" t="s">
        <v>31</v>
      </c>
      <c r="B8" s="2" t="s">
        <v>32</v>
      </c>
      <c r="C8" s="2" t="s">
        <v>23</v>
      </c>
      <c r="D8" s="2" t="s">
        <v>33</v>
      </c>
      <c r="E8" s="2">
        <v>810</v>
      </c>
      <c r="F8" s="3">
        <v>46043</v>
      </c>
      <c r="G8" s="3">
        <v>46050</v>
      </c>
      <c r="H8" s="3">
        <v>46050</v>
      </c>
      <c r="I8" s="2">
        <v>805</v>
      </c>
      <c r="J8" s="2">
        <v>7</v>
      </c>
    </row>
    <row r="9" spans="1:10">
      <c r="A9" s="2" t="s">
        <v>34</v>
      </c>
      <c r="B9" s="2" t="s">
        <v>35</v>
      </c>
      <c r="C9" s="2" t="s">
        <v>23</v>
      </c>
      <c r="D9" s="2" t="s">
        <v>36</v>
      </c>
      <c r="E9" s="2">
        <v>208</v>
      </c>
      <c r="F9" s="3">
        <v>46161</v>
      </c>
      <c r="G9" s="3">
        <v>46174</v>
      </c>
      <c r="H9" s="3">
        <v>46172</v>
      </c>
      <c r="I9" s="2">
        <v>183</v>
      </c>
      <c r="J9" s="2">
        <v>4</v>
      </c>
    </row>
    <row r="10" spans="1:10">
      <c r="A10" s="2" t="s">
        <v>37</v>
      </c>
      <c r="B10" s="2" t="s">
        <v>19</v>
      </c>
      <c r="C10" s="2" t="s">
        <v>12</v>
      </c>
      <c r="D10" s="2" t="s">
        <v>38</v>
      </c>
      <c r="E10" s="2">
        <v>266</v>
      </c>
      <c r="F10" s="3">
        <v>46089</v>
      </c>
      <c r="G10" s="3">
        <v>46102</v>
      </c>
      <c r="H10" s="3">
        <v>46099</v>
      </c>
      <c r="I10" s="2">
        <v>270</v>
      </c>
      <c r="J10" s="2">
        <v>2</v>
      </c>
    </row>
    <row r="11" spans="1:10">
      <c r="A11" s="2" t="s">
        <v>39</v>
      </c>
      <c r="B11" s="2" t="s">
        <v>40</v>
      </c>
      <c r="C11" s="2" t="s">
        <v>23</v>
      </c>
      <c r="D11" s="2" t="s">
        <v>41</v>
      </c>
      <c r="E11" s="2">
        <v>184</v>
      </c>
      <c r="F11" s="3">
        <v>46084</v>
      </c>
      <c r="G11" s="3">
        <v>46089</v>
      </c>
      <c r="H11" s="3">
        <v>46092</v>
      </c>
      <c r="I11" s="2">
        <v>183</v>
      </c>
      <c r="J11" s="2">
        <v>1</v>
      </c>
    </row>
    <row r="12" spans="1:10">
      <c r="A12" s="2" t="s">
        <v>42</v>
      </c>
      <c r="B12" s="2" t="s">
        <v>43</v>
      </c>
      <c r="C12" s="2" t="s">
        <v>12</v>
      </c>
      <c r="D12" s="2" t="s">
        <v>44</v>
      </c>
      <c r="E12" s="2">
        <v>242</v>
      </c>
      <c r="F12" s="3">
        <v>46104</v>
      </c>
      <c r="G12" s="3">
        <v>46114</v>
      </c>
      <c r="H12" s="3">
        <v>46113</v>
      </c>
      <c r="I12" s="2">
        <v>243</v>
      </c>
      <c r="J12" s="2">
        <v>13</v>
      </c>
    </row>
    <row r="13" spans="1:10">
      <c r="A13" s="2" t="s">
        <v>45</v>
      </c>
      <c r="B13" s="2" t="s">
        <v>46</v>
      </c>
      <c r="C13" s="2" t="s">
        <v>23</v>
      </c>
      <c r="D13" s="2" t="s">
        <v>47</v>
      </c>
      <c r="E13" s="2">
        <v>180</v>
      </c>
      <c r="F13" s="3">
        <v>46099</v>
      </c>
      <c r="G13" s="3">
        <v>46104</v>
      </c>
      <c r="H13" s="3">
        <v>46105</v>
      </c>
      <c r="I13" s="2">
        <v>181</v>
      </c>
      <c r="J13" s="2">
        <v>4</v>
      </c>
    </row>
    <row r="14" spans="1:10">
      <c r="A14" s="2" t="s">
        <v>48</v>
      </c>
      <c r="B14" s="2" t="s">
        <v>49</v>
      </c>
      <c r="C14" s="2" t="s">
        <v>16</v>
      </c>
      <c r="D14" s="2" t="s">
        <v>50</v>
      </c>
      <c r="E14" s="2">
        <v>480</v>
      </c>
      <c r="F14" s="3">
        <v>46148</v>
      </c>
      <c r="G14" s="3">
        <v>46153</v>
      </c>
      <c r="H14" s="3">
        <v>46161</v>
      </c>
      <c r="I14" s="2">
        <v>489</v>
      </c>
      <c r="J14" s="2">
        <v>5</v>
      </c>
    </row>
    <row r="15" spans="1:10">
      <c r="A15" s="2" t="s">
        <v>51</v>
      </c>
      <c r="B15" s="2" t="s">
        <v>52</v>
      </c>
      <c r="C15" s="2" t="s">
        <v>12</v>
      </c>
      <c r="D15" s="2"/>
      <c r="E15" s="2">
        <v>126</v>
      </c>
      <c r="F15" s="3">
        <v>46151</v>
      </c>
      <c r="G15" s="3">
        <v>46160</v>
      </c>
      <c r="H15" s="3">
        <v>46159</v>
      </c>
      <c r="I15" s="2">
        <v>124</v>
      </c>
      <c r="J15" s="2">
        <v>1</v>
      </c>
    </row>
    <row r="16" spans="1:10">
      <c r="A16" s="2" t="s">
        <v>53</v>
      </c>
      <c r="B16" s="2" t="s">
        <v>54</v>
      </c>
      <c r="C16" s="2" t="s">
        <v>12</v>
      </c>
      <c r="D16" s="2" t="s">
        <v>55</v>
      </c>
      <c r="E16" s="2">
        <v>178</v>
      </c>
      <c r="F16" s="3">
        <v>46030</v>
      </c>
      <c r="G16" s="3">
        <v>46035</v>
      </c>
      <c r="H16" s="3">
        <v>46034</v>
      </c>
      <c r="I16" s="2">
        <v>180</v>
      </c>
      <c r="J16" s="2">
        <v>1</v>
      </c>
    </row>
    <row r="17" spans="1:10">
      <c r="A17" s="2" t="s">
        <v>56</v>
      </c>
      <c r="B17" s="2" t="s">
        <v>40</v>
      </c>
      <c r="C17" s="2" t="s">
        <v>12</v>
      </c>
      <c r="D17" s="2" t="s">
        <v>57</v>
      </c>
      <c r="E17" s="2">
        <v>369</v>
      </c>
      <c r="F17" s="3">
        <v>46038</v>
      </c>
      <c r="G17" s="3">
        <v>46049</v>
      </c>
      <c r="H17" s="3">
        <v>46051</v>
      </c>
      <c r="I17" s="2">
        <v>366</v>
      </c>
      <c r="J17" s="2">
        <v>14</v>
      </c>
    </row>
    <row r="18" spans="1:10">
      <c r="A18" s="2" t="s">
        <v>58</v>
      </c>
      <c r="B18" s="2" t="s">
        <v>46</v>
      </c>
      <c r="C18" s="2" t="s">
        <v>12</v>
      </c>
      <c r="D18" s="2" t="s">
        <v>59</v>
      </c>
      <c r="E18" s="2">
        <v>998</v>
      </c>
      <c r="F18" s="3">
        <v>46105</v>
      </c>
      <c r="G18" s="3">
        <v>46111</v>
      </c>
      <c r="H18" s="3">
        <v>46109</v>
      </c>
      <c r="I18" s="2">
        <v>996</v>
      </c>
      <c r="J18" s="2">
        <v>96</v>
      </c>
    </row>
    <row r="19" spans="1:10">
      <c r="A19" s="2" t="s">
        <v>60</v>
      </c>
      <c r="B19" s="2" t="s">
        <v>54</v>
      </c>
      <c r="C19" s="2" t="s">
        <v>23</v>
      </c>
      <c r="D19" s="2" t="s">
        <v>61</v>
      </c>
      <c r="E19" s="2">
        <v>984</v>
      </c>
      <c r="F19" s="3">
        <v>46074</v>
      </c>
      <c r="G19" s="3">
        <v>46081</v>
      </c>
      <c r="H19" s="3">
        <v>46079</v>
      </c>
      <c r="I19" s="2">
        <v>978</v>
      </c>
      <c r="J19" s="2">
        <v>23</v>
      </c>
    </row>
    <row r="20" spans="1:10">
      <c r="A20" s="2" t="s">
        <v>62</v>
      </c>
      <c r="B20" s="2" t="s">
        <v>43</v>
      </c>
      <c r="C20" s="2" t="s">
        <v>12</v>
      </c>
      <c r="D20" s="2" t="s">
        <v>20</v>
      </c>
      <c r="E20" s="2">
        <v>586</v>
      </c>
      <c r="F20" s="3">
        <v>46143</v>
      </c>
      <c r="G20" s="3">
        <v>46151</v>
      </c>
      <c r="H20" s="3">
        <v>46148</v>
      </c>
      <c r="I20" s="2">
        <v>514</v>
      </c>
      <c r="J20" s="2">
        <v>12</v>
      </c>
    </row>
    <row r="21" spans="1:10">
      <c r="A21" s="2" t="s">
        <v>63</v>
      </c>
      <c r="B21" s="2" t="s">
        <v>64</v>
      </c>
      <c r="C21" s="2" t="s">
        <v>23</v>
      </c>
      <c r="D21" s="2" t="s">
        <v>65</v>
      </c>
      <c r="E21" s="2">
        <v>132</v>
      </c>
      <c r="F21" s="3">
        <v>46163</v>
      </c>
      <c r="G21" s="3">
        <v>46169</v>
      </c>
      <c r="H21" s="3">
        <v>46173</v>
      </c>
      <c r="I21" s="2">
        <v>133</v>
      </c>
      <c r="J21" s="2">
        <v>1</v>
      </c>
    </row>
    <row r="22" spans="1:10">
      <c r="A22" s="2" t="s">
        <v>66</v>
      </c>
      <c r="B22" s="2" t="s">
        <v>67</v>
      </c>
      <c r="C22" s="2" t="s">
        <v>12</v>
      </c>
      <c r="D22" s="2" t="s">
        <v>68</v>
      </c>
      <c r="E22" s="2">
        <v>390</v>
      </c>
      <c r="F22" s="3">
        <v>46152</v>
      </c>
      <c r="G22" s="3">
        <v>46158</v>
      </c>
      <c r="H22" s="2"/>
      <c r="I22" s="2"/>
      <c r="J22" s="2"/>
    </row>
    <row r="23" spans="1:10">
      <c r="A23" s="2" t="s">
        <v>69</v>
      </c>
      <c r="B23" s="2" t="s">
        <v>70</v>
      </c>
      <c r="C23" s="2" t="s">
        <v>16</v>
      </c>
      <c r="D23" s="2" t="s">
        <v>71</v>
      </c>
      <c r="E23" s="2">
        <v>678</v>
      </c>
      <c r="F23" s="3">
        <v>46166</v>
      </c>
      <c r="G23" s="3">
        <v>46171</v>
      </c>
      <c r="H23" s="3">
        <v>46170</v>
      </c>
      <c r="I23" s="2">
        <v>636</v>
      </c>
      <c r="J23" s="2">
        <v>15</v>
      </c>
    </row>
    <row r="24" spans="1:10">
      <c r="A24" s="2" t="s">
        <v>72</v>
      </c>
      <c r="B24" s="2" t="s">
        <v>26</v>
      </c>
      <c r="C24" s="2" t="s">
        <v>12</v>
      </c>
      <c r="D24" s="2" t="s">
        <v>73</v>
      </c>
      <c r="E24" s="2">
        <v>368</v>
      </c>
      <c r="F24" s="3">
        <v>46119</v>
      </c>
      <c r="G24" s="3">
        <v>46127</v>
      </c>
      <c r="H24" s="2"/>
      <c r="I24" s="2"/>
      <c r="J24" s="2"/>
    </row>
    <row r="25" spans="1:10">
      <c r="A25" s="2" t="s">
        <v>74</v>
      </c>
      <c r="B25" s="2" t="s">
        <v>32</v>
      </c>
      <c r="C25" s="2" t="s">
        <v>12</v>
      </c>
      <c r="D25" s="2" t="s">
        <v>75</v>
      </c>
      <c r="E25" s="2">
        <v>381</v>
      </c>
      <c r="F25" s="3">
        <v>46136</v>
      </c>
      <c r="G25" s="3">
        <v>46144</v>
      </c>
      <c r="H25" s="3">
        <v>46144</v>
      </c>
      <c r="I25" s="2">
        <v>340</v>
      </c>
      <c r="J25" s="2">
        <v>23</v>
      </c>
    </row>
    <row r="26" spans="1:10">
      <c r="A26" s="2" t="s">
        <v>76</v>
      </c>
      <c r="B26" s="2" t="s">
        <v>54</v>
      </c>
      <c r="C26" s="2" t="s">
        <v>12</v>
      </c>
      <c r="D26" s="2" t="s">
        <v>77</v>
      </c>
      <c r="E26" s="2">
        <v>577</v>
      </c>
      <c r="F26" s="3">
        <v>46074</v>
      </c>
      <c r="G26" s="3">
        <v>46088</v>
      </c>
      <c r="H26" s="3">
        <v>46085</v>
      </c>
      <c r="I26" s="2">
        <v>536</v>
      </c>
      <c r="J26" s="2">
        <v>8</v>
      </c>
    </row>
    <row r="27" spans="1:10">
      <c r="A27" s="2" t="s">
        <v>78</v>
      </c>
      <c r="B27" s="2" t="s">
        <v>11</v>
      </c>
      <c r="C27" s="2" t="s">
        <v>16</v>
      </c>
      <c r="D27" s="2" t="s">
        <v>79</v>
      </c>
      <c r="E27" s="2">
        <v>550</v>
      </c>
      <c r="F27" s="3">
        <v>46168</v>
      </c>
      <c r="G27" s="3">
        <v>46175</v>
      </c>
      <c r="H27" s="3">
        <v>46177</v>
      </c>
      <c r="I27" s="2">
        <v>494</v>
      </c>
      <c r="J27" s="2">
        <v>1</v>
      </c>
    </row>
    <row r="28" spans="1:10">
      <c r="A28" s="2" t="s">
        <v>80</v>
      </c>
      <c r="B28" s="2" t="s">
        <v>81</v>
      </c>
      <c r="C28" s="2" t="s">
        <v>23</v>
      </c>
      <c r="D28" s="2" t="s">
        <v>82</v>
      </c>
      <c r="E28" s="2">
        <v>201</v>
      </c>
      <c r="F28" s="3">
        <v>46029</v>
      </c>
      <c r="G28" s="3">
        <v>46044</v>
      </c>
      <c r="H28" s="3">
        <v>46041</v>
      </c>
      <c r="I28" s="2">
        <v>175</v>
      </c>
      <c r="J28" s="2">
        <v>0</v>
      </c>
    </row>
    <row r="29" spans="1:10">
      <c r="A29" s="2" t="s">
        <v>83</v>
      </c>
      <c r="B29" s="2" t="s">
        <v>81</v>
      </c>
      <c r="C29" s="2" t="s">
        <v>12</v>
      </c>
      <c r="D29" s="2" t="s">
        <v>84</v>
      </c>
      <c r="E29" s="2">
        <v>661</v>
      </c>
      <c r="F29" s="3">
        <v>46060</v>
      </c>
      <c r="G29" s="3">
        <v>46068</v>
      </c>
      <c r="H29" s="3">
        <v>46068</v>
      </c>
      <c r="I29" s="2">
        <v>660</v>
      </c>
      <c r="J29" s="2">
        <v>-6</v>
      </c>
    </row>
    <row r="30" spans="1:10">
      <c r="A30" s="2" t="s">
        <v>85</v>
      </c>
      <c r="B30" s="2" t="s">
        <v>81</v>
      </c>
      <c r="C30" s="2" t="s">
        <v>23</v>
      </c>
      <c r="D30" s="2" t="s">
        <v>86</v>
      </c>
      <c r="E30" s="2">
        <v>248</v>
      </c>
      <c r="F30" s="3">
        <v>46161</v>
      </c>
      <c r="G30" s="3">
        <v>46169</v>
      </c>
      <c r="H30" s="3">
        <v>46178</v>
      </c>
      <c r="I30" s="2">
        <v>234</v>
      </c>
      <c r="J30" s="2">
        <v>2</v>
      </c>
    </row>
    <row r="31" spans="1:10">
      <c r="A31" s="2" t="s">
        <v>87</v>
      </c>
      <c r="B31" s="2" t="s">
        <v>64</v>
      </c>
      <c r="C31" s="2" t="s">
        <v>12</v>
      </c>
      <c r="D31" s="2" t="s">
        <v>88</v>
      </c>
      <c r="E31" s="2">
        <v>692</v>
      </c>
      <c r="F31" s="3">
        <v>46157</v>
      </c>
      <c r="G31" s="3">
        <v>46162</v>
      </c>
      <c r="H31" s="3">
        <v>46163</v>
      </c>
      <c r="I31" s="2">
        <v>668</v>
      </c>
      <c r="J31" s="2">
        <v>23</v>
      </c>
    </row>
    <row r="32" spans="1:10">
      <c r="A32" s="2" t="s">
        <v>89</v>
      </c>
      <c r="B32" s="2" t="s">
        <v>54</v>
      </c>
      <c r="C32" s="2" t="s">
        <v>16</v>
      </c>
      <c r="D32" s="2" t="s">
        <v>90</v>
      </c>
      <c r="E32" s="2">
        <v>326</v>
      </c>
      <c r="F32" s="3">
        <v>46106</v>
      </c>
      <c r="G32" s="3">
        <v>46112</v>
      </c>
      <c r="H32" s="3">
        <v>46110</v>
      </c>
      <c r="I32" s="2">
        <v>329</v>
      </c>
      <c r="J32" s="2">
        <v>2</v>
      </c>
    </row>
    <row r="33" spans="1:10">
      <c r="A33" s="2" t="s">
        <v>91</v>
      </c>
      <c r="B33" s="2" t="s">
        <v>54</v>
      </c>
      <c r="C33" s="2" t="s">
        <v>16</v>
      </c>
      <c r="D33" s="2" t="s">
        <v>92</v>
      </c>
      <c r="E33" s="2">
        <v>761</v>
      </c>
      <c r="F33" s="3">
        <v>46084</v>
      </c>
      <c r="G33" s="3">
        <v>46096</v>
      </c>
      <c r="H33" s="3">
        <v>46094</v>
      </c>
      <c r="I33" s="2">
        <v>753</v>
      </c>
      <c r="J33" s="2">
        <v>4</v>
      </c>
    </row>
    <row r="34" spans="1:10">
      <c r="A34" s="2" t="s">
        <v>93</v>
      </c>
      <c r="B34" s="2" t="s">
        <v>26</v>
      </c>
      <c r="C34" s="2" t="s">
        <v>23</v>
      </c>
      <c r="D34" s="2" t="s">
        <v>94</v>
      </c>
      <c r="E34" s="2">
        <v>843</v>
      </c>
      <c r="F34" s="3">
        <v>46043</v>
      </c>
      <c r="G34" s="3">
        <v>46050</v>
      </c>
      <c r="H34" s="2"/>
      <c r="I34" s="2"/>
      <c r="J34" s="2"/>
    </row>
    <row r="35" spans="1:10">
      <c r="A35" s="2" t="s">
        <v>95</v>
      </c>
      <c r="B35" s="2" t="s">
        <v>64</v>
      </c>
      <c r="C35" s="2" t="s">
        <v>12</v>
      </c>
      <c r="D35" s="2" t="s">
        <v>96</v>
      </c>
      <c r="E35" s="2">
        <v>201</v>
      </c>
      <c r="F35" s="3">
        <v>46051</v>
      </c>
      <c r="G35" s="3">
        <v>46058</v>
      </c>
      <c r="H35" s="3">
        <v>46062</v>
      </c>
      <c r="I35" s="2">
        <v>204</v>
      </c>
      <c r="J35" s="2">
        <v>7</v>
      </c>
    </row>
    <row r="36" spans="1:10">
      <c r="A36" s="2" t="s">
        <v>97</v>
      </c>
      <c r="B36" s="2" t="s">
        <v>67</v>
      </c>
      <c r="C36" s="2" t="s">
        <v>12</v>
      </c>
      <c r="D36" s="2" t="s">
        <v>98</v>
      </c>
      <c r="E36" s="2">
        <v>87</v>
      </c>
      <c r="F36" s="3">
        <v>46062</v>
      </c>
      <c r="G36" s="3">
        <v>46067</v>
      </c>
      <c r="H36" s="3">
        <v>46064</v>
      </c>
      <c r="I36" s="2">
        <v>87</v>
      </c>
      <c r="J36" s="2">
        <v>5</v>
      </c>
    </row>
    <row r="37" spans="1:10">
      <c r="A37" s="2" t="s">
        <v>99</v>
      </c>
      <c r="B37" s="2" t="s">
        <v>100</v>
      </c>
      <c r="C37" s="2" t="s">
        <v>12</v>
      </c>
      <c r="D37" s="2" t="s">
        <v>101</v>
      </c>
      <c r="E37" s="2">
        <v>864</v>
      </c>
      <c r="F37" s="3">
        <v>46172</v>
      </c>
      <c r="G37" s="3">
        <v>46180</v>
      </c>
      <c r="H37" s="3">
        <v>46178</v>
      </c>
      <c r="I37" s="2">
        <v>861</v>
      </c>
      <c r="J37" s="2">
        <v>4</v>
      </c>
    </row>
    <row r="38" spans="1:10">
      <c r="A38" s="2" t="s">
        <v>102</v>
      </c>
      <c r="B38" s="2" t="s">
        <v>70</v>
      </c>
      <c r="C38" s="2" t="s">
        <v>23</v>
      </c>
      <c r="D38" s="2" t="s">
        <v>103</v>
      </c>
      <c r="E38" s="2">
        <v>872</v>
      </c>
      <c r="F38" s="3">
        <v>46115</v>
      </c>
      <c r="G38" s="3">
        <v>46120</v>
      </c>
      <c r="H38" s="3">
        <v>46118</v>
      </c>
      <c r="I38" s="2">
        <v>860</v>
      </c>
      <c r="J38" s="2">
        <v>11</v>
      </c>
    </row>
    <row r="39" spans="1:10">
      <c r="A39" s="2" t="s">
        <v>104</v>
      </c>
      <c r="B39" s="2" t="s">
        <v>46</v>
      </c>
      <c r="C39" s="2" t="s">
        <v>12</v>
      </c>
      <c r="D39" s="2" t="s">
        <v>105</v>
      </c>
      <c r="E39" s="2">
        <v>523</v>
      </c>
      <c r="F39" s="3">
        <v>46041</v>
      </c>
      <c r="G39" s="3">
        <v>46051</v>
      </c>
      <c r="H39" s="3">
        <v>46051</v>
      </c>
      <c r="I39" s="2">
        <v>517</v>
      </c>
      <c r="J39" s="2">
        <v>31</v>
      </c>
    </row>
    <row r="40" spans="1:10">
      <c r="A40" s="2" t="s">
        <v>106</v>
      </c>
      <c r="B40" s="2" t="s">
        <v>22</v>
      </c>
      <c r="C40" s="2" t="s">
        <v>16</v>
      </c>
      <c r="D40" s="2" t="s">
        <v>107</v>
      </c>
      <c r="E40" s="2">
        <v>965</v>
      </c>
      <c r="F40" s="3">
        <v>46049</v>
      </c>
      <c r="G40" s="3">
        <v>46059</v>
      </c>
      <c r="H40" s="3">
        <v>46058</v>
      </c>
      <c r="I40" s="2">
        <v>882</v>
      </c>
      <c r="J40" s="2">
        <v>78</v>
      </c>
    </row>
    <row r="41" spans="1:10">
      <c r="A41" s="2" t="s">
        <v>108</v>
      </c>
      <c r="B41" s="2" t="s">
        <v>81</v>
      </c>
      <c r="C41" s="2" t="s">
        <v>16</v>
      </c>
      <c r="D41" s="2" t="s">
        <v>109</v>
      </c>
      <c r="E41" s="2">
        <v>119</v>
      </c>
      <c r="F41" s="3">
        <v>46175</v>
      </c>
      <c r="G41" s="3">
        <v>46183</v>
      </c>
      <c r="H41" s="3">
        <v>46181</v>
      </c>
      <c r="I41" s="2">
        <v>104</v>
      </c>
      <c r="J41" s="2">
        <v>0</v>
      </c>
    </row>
    <row r="42" spans="1:10">
      <c r="A42" s="2" t="s">
        <v>110</v>
      </c>
      <c r="B42" s="2" t="s">
        <v>43</v>
      </c>
      <c r="C42" s="2" t="s">
        <v>23</v>
      </c>
      <c r="D42" s="2" t="s">
        <v>111</v>
      </c>
      <c r="E42" s="2">
        <v>428</v>
      </c>
      <c r="F42" s="3">
        <v>46105</v>
      </c>
      <c r="G42" s="3">
        <v>46118</v>
      </c>
      <c r="H42" s="3">
        <v>46116</v>
      </c>
      <c r="I42" s="2">
        <v>420</v>
      </c>
      <c r="J42" s="2">
        <v>4</v>
      </c>
    </row>
    <row r="43" spans="1:10">
      <c r="A43" s="2" t="s">
        <v>112</v>
      </c>
      <c r="B43" s="2" t="s">
        <v>32</v>
      </c>
      <c r="C43" s="2" t="s">
        <v>12</v>
      </c>
      <c r="D43" s="2" t="s">
        <v>113</v>
      </c>
      <c r="E43" s="2">
        <v>468</v>
      </c>
      <c r="F43" s="3">
        <v>46098</v>
      </c>
      <c r="G43" s="3">
        <v>46107</v>
      </c>
      <c r="H43" s="3">
        <v>46106</v>
      </c>
      <c r="I43" s="2">
        <v>468</v>
      </c>
      <c r="J43" s="2">
        <v>4</v>
      </c>
    </row>
    <row r="44" spans="1:10">
      <c r="A44" s="2" t="s">
        <v>114</v>
      </c>
      <c r="B44" s="2" t="s">
        <v>54</v>
      </c>
      <c r="C44" s="2" t="s">
        <v>12</v>
      </c>
      <c r="D44" s="2" t="s">
        <v>115</v>
      </c>
      <c r="E44" s="2">
        <v>590</v>
      </c>
      <c r="F44" s="3">
        <v>46064</v>
      </c>
      <c r="G44" s="3">
        <v>46079</v>
      </c>
      <c r="H44" s="3">
        <v>46076</v>
      </c>
      <c r="I44" s="2">
        <v>601</v>
      </c>
      <c r="J44" s="2">
        <v>14</v>
      </c>
    </row>
    <row r="45" spans="1:10">
      <c r="A45" s="2" t="s">
        <v>116</v>
      </c>
      <c r="B45" s="2" t="s">
        <v>117</v>
      </c>
      <c r="C45" s="2" t="s">
        <v>23</v>
      </c>
      <c r="D45" s="2" t="s">
        <v>118</v>
      </c>
      <c r="E45" s="2">
        <v>588</v>
      </c>
      <c r="F45" s="3">
        <v>46171</v>
      </c>
      <c r="G45" s="3">
        <v>46181</v>
      </c>
      <c r="H45" s="3">
        <v>46188</v>
      </c>
      <c r="I45" s="2">
        <v>581</v>
      </c>
      <c r="J45" s="2">
        <v>46</v>
      </c>
    </row>
    <row r="46" spans="1:10">
      <c r="A46" s="2" t="s">
        <v>119</v>
      </c>
      <c r="B46" s="2" t="s">
        <v>120</v>
      </c>
      <c r="C46" s="2" t="s">
        <v>12</v>
      </c>
      <c r="D46" s="2" t="s">
        <v>121</v>
      </c>
      <c r="E46" s="2">
        <v>411</v>
      </c>
      <c r="F46" s="3">
        <v>46123</v>
      </c>
      <c r="G46" s="3">
        <v>46134</v>
      </c>
      <c r="H46" s="3">
        <v>46131</v>
      </c>
      <c r="I46" s="2">
        <v>415</v>
      </c>
      <c r="J46" s="2">
        <v>11</v>
      </c>
    </row>
    <row r="47" spans="1:10">
      <c r="A47" s="2" t="s">
        <v>122</v>
      </c>
      <c r="B47" s="2" t="s">
        <v>120</v>
      </c>
      <c r="C47" s="2" t="s">
        <v>12</v>
      </c>
      <c r="D47" s="2" t="s">
        <v>123</v>
      </c>
      <c r="E47" s="2">
        <v>543</v>
      </c>
      <c r="F47" s="3">
        <v>46121</v>
      </c>
      <c r="G47" s="3">
        <v>46131</v>
      </c>
      <c r="H47" s="3">
        <v>46128</v>
      </c>
      <c r="I47" s="2">
        <v>549</v>
      </c>
      <c r="J47" s="2">
        <v>4</v>
      </c>
    </row>
    <row r="48" spans="1:10">
      <c r="A48" s="2" t="s">
        <v>124</v>
      </c>
      <c r="B48" s="2" t="s">
        <v>54</v>
      </c>
      <c r="C48" s="2" t="s">
        <v>16</v>
      </c>
      <c r="D48" s="2" t="s">
        <v>125</v>
      </c>
      <c r="E48" s="2">
        <v>585</v>
      </c>
      <c r="F48" s="3">
        <v>46052</v>
      </c>
      <c r="G48" s="3">
        <v>46059</v>
      </c>
      <c r="H48" s="3">
        <v>46056</v>
      </c>
      <c r="I48" s="2">
        <v>480</v>
      </c>
      <c r="J48" s="2">
        <v>7</v>
      </c>
    </row>
    <row r="49" spans="1:10">
      <c r="A49" s="2" t="s">
        <v>126</v>
      </c>
      <c r="B49" s="2" t="s">
        <v>127</v>
      </c>
      <c r="C49" s="2" t="s">
        <v>23</v>
      </c>
      <c r="D49" s="2" t="s">
        <v>47</v>
      </c>
      <c r="E49" s="2">
        <v>488</v>
      </c>
      <c r="F49" s="3">
        <v>46079</v>
      </c>
      <c r="G49" s="3">
        <v>46093</v>
      </c>
      <c r="H49" s="3">
        <v>46098</v>
      </c>
      <c r="I49" s="2">
        <v>479</v>
      </c>
      <c r="J49" s="2">
        <v>24</v>
      </c>
    </row>
    <row r="50" spans="1:10">
      <c r="A50" s="2" t="s">
        <v>128</v>
      </c>
      <c r="B50" s="2" t="s">
        <v>54</v>
      </c>
      <c r="C50" s="2" t="s">
        <v>12</v>
      </c>
      <c r="D50" s="2" t="s">
        <v>129</v>
      </c>
      <c r="E50" s="2">
        <v>615</v>
      </c>
      <c r="F50" s="3">
        <v>46174</v>
      </c>
      <c r="G50" s="3">
        <v>46185</v>
      </c>
      <c r="H50" s="3">
        <v>46186</v>
      </c>
      <c r="I50" s="2">
        <v>537</v>
      </c>
      <c r="J50" s="2">
        <v>0</v>
      </c>
    </row>
    <row r="51" spans="1:10">
      <c r="A51" s="2" t="s">
        <v>130</v>
      </c>
      <c r="B51" s="2" t="s">
        <v>70</v>
      </c>
      <c r="C51" s="2" t="s">
        <v>12</v>
      </c>
      <c r="D51" s="2" t="s">
        <v>131</v>
      </c>
      <c r="E51" s="2">
        <v>93</v>
      </c>
      <c r="F51" s="3">
        <v>46088</v>
      </c>
      <c r="G51" s="3">
        <v>46102</v>
      </c>
      <c r="H51" s="3">
        <v>46099</v>
      </c>
      <c r="I51" s="2">
        <v>92</v>
      </c>
      <c r="J51" s="2">
        <v>0</v>
      </c>
    </row>
    <row r="52" spans="1:10">
      <c r="A52" s="2" t="s">
        <v>132</v>
      </c>
      <c r="B52" s="2" t="s">
        <v>32</v>
      </c>
      <c r="C52" s="2" t="s">
        <v>12</v>
      </c>
      <c r="D52" s="2" t="s">
        <v>59</v>
      </c>
      <c r="E52" s="2">
        <v>720</v>
      </c>
      <c r="F52" s="3">
        <v>46108</v>
      </c>
      <c r="G52" s="3">
        <v>46120</v>
      </c>
      <c r="H52" s="3">
        <v>46117</v>
      </c>
      <c r="I52" s="2">
        <v>689</v>
      </c>
      <c r="J52" s="2">
        <v>46</v>
      </c>
    </row>
    <row r="53" spans="1:10">
      <c r="A53" s="2" t="s">
        <v>133</v>
      </c>
      <c r="B53" s="2" t="s">
        <v>52</v>
      </c>
      <c r="C53" s="2" t="s">
        <v>16</v>
      </c>
      <c r="D53" s="2" t="s">
        <v>134</v>
      </c>
      <c r="E53" s="2">
        <v>782</v>
      </c>
      <c r="F53" s="3">
        <v>46061</v>
      </c>
      <c r="G53" s="3">
        <v>46067</v>
      </c>
      <c r="H53" s="3">
        <v>46076</v>
      </c>
      <c r="I53" s="2">
        <v>775</v>
      </c>
      <c r="J53" s="2">
        <v>15</v>
      </c>
    </row>
    <row r="54" spans="1:10">
      <c r="A54" s="2" t="s">
        <v>135</v>
      </c>
      <c r="B54" s="2" t="s">
        <v>46</v>
      </c>
      <c r="C54" s="2" t="s">
        <v>12</v>
      </c>
      <c r="D54" s="2" t="s">
        <v>136</v>
      </c>
      <c r="E54" s="2">
        <v>483</v>
      </c>
      <c r="F54" s="3">
        <v>46162</v>
      </c>
      <c r="G54" s="3">
        <v>46177</v>
      </c>
      <c r="H54" s="3">
        <v>46184</v>
      </c>
      <c r="I54" s="2">
        <v>484</v>
      </c>
      <c r="J54" s="2">
        <v>24</v>
      </c>
    </row>
    <row r="55" spans="1:10">
      <c r="A55" s="2" t="s">
        <v>137</v>
      </c>
      <c r="B55" s="2" t="s">
        <v>81</v>
      </c>
      <c r="C55" s="2" t="s">
        <v>12</v>
      </c>
      <c r="D55" s="2" t="s">
        <v>84</v>
      </c>
      <c r="E55" s="2">
        <v>622</v>
      </c>
      <c r="F55" s="3">
        <v>46087</v>
      </c>
      <c r="G55" s="3">
        <v>46101</v>
      </c>
      <c r="H55" s="3">
        <v>46110</v>
      </c>
      <c r="I55" s="2">
        <v>504</v>
      </c>
      <c r="J55" s="2">
        <v>1</v>
      </c>
    </row>
    <row r="56" spans="1:10">
      <c r="A56" s="2" t="s">
        <v>138</v>
      </c>
      <c r="B56" s="2" t="s">
        <v>139</v>
      </c>
      <c r="C56" s="2" t="s">
        <v>12</v>
      </c>
      <c r="D56" s="2" t="s">
        <v>140</v>
      </c>
      <c r="E56" s="2">
        <v>371</v>
      </c>
      <c r="F56" s="3">
        <v>46093</v>
      </c>
      <c r="G56" s="3">
        <v>46098</v>
      </c>
      <c r="H56" s="3">
        <v>46095</v>
      </c>
      <c r="I56" s="2">
        <v>297</v>
      </c>
      <c r="J56" s="2">
        <v>12</v>
      </c>
    </row>
    <row r="57" spans="1:10">
      <c r="A57" s="2" t="s">
        <v>141</v>
      </c>
      <c r="B57" s="2" t="s">
        <v>43</v>
      </c>
      <c r="C57" s="2" t="s">
        <v>23</v>
      </c>
      <c r="D57" s="2" t="s">
        <v>142</v>
      </c>
      <c r="E57" s="2">
        <v>990</v>
      </c>
      <c r="F57" s="3">
        <v>46063</v>
      </c>
      <c r="G57" s="3">
        <v>46070</v>
      </c>
      <c r="H57" s="3">
        <v>46068</v>
      </c>
      <c r="I57" s="2">
        <v>979</v>
      </c>
      <c r="J57" s="2">
        <v>15</v>
      </c>
    </row>
    <row r="58" spans="1:10">
      <c r="A58" s="2" t="s">
        <v>143</v>
      </c>
      <c r="B58" s="2" t="s">
        <v>35</v>
      </c>
      <c r="C58" s="2" t="s">
        <v>12</v>
      </c>
      <c r="D58" s="2" t="s">
        <v>144</v>
      </c>
      <c r="E58" s="2">
        <v>352</v>
      </c>
      <c r="F58" s="3">
        <v>46054</v>
      </c>
      <c r="G58" s="3">
        <v>46069</v>
      </c>
      <c r="H58" s="3">
        <v>46068</v>
      </c>
      <c r="I58" s="2">
        <v>353</v>
      </c>
      <c r="J58" s="2">
        <v>21</v>
      </c>
    </row>
    <row r="59" spans="1:10">
      <c r="A59" s="2" t="s">
        <v>145</v>
      </c>
      <c r="B59" s="2" t="s">
        <v>29</v>
      </c>
      <c r="C59" s="2" t="s">
        <v>16</v>
      </c>
      <c r="D59" s="2" t="s">
        <v>146</v>
      </c>
      <c r="E59" s="2">
        <v>458</v>
      </c>
      <c r="F59" s="3">
        <v>46049</v>
      </c>
      <c r="G59" s="3">
        <v>46062</v>
      </c>
      <c r="H59" s="3">
        <v>46061</v>
      </c>
      <c r="I59" s="2">
        <v>452</v>
      </c>
      <c r="J59" s="2">
        <v>1</v>
      </c>
    </row>
    <row r="60" spans="1:10">
      <c r="A60" s="2" t="s">
        <v>147</v>
      </c>
      <c r="B60" s="2" t="s">
        <v>67</v>
      </c>
      <c r="C60" s="2" t="s">
        <v>12</v>
      </c>
      <c r="D60" s="2" t="s">
        <v>148</v>
      </c>
      <c r="E60" s="2">
        <v>172</v>
      </c>
      <c r="F60" s="3">
        <v>46027</v>
      </c>
      <c r="G60" s="3">
        <v>46041</v>
      </c>
      <c r="H60" s="3">
        <v>46041</v>
      </c>
      <c r="I60" s="2">
        <v>172</v>
      </c>
      <c r="J60" s="2">
        <v>10</v>
      </c>
    </row>
    <row r="61" spans="1:10">
      <c r="A61" s="2" t="s">
        <v>149</v>
      </c>
      <c r="B61" s="2" t="s">
        <v>64</v>
      </c>
      <c r="C61" s="2" t="s">
        <v>16</v>
      </c>
      <c r="D61" s="2" t="s">
        <v>150</v>
      </c>
      <c r="E61" s="2">
        <v>205</v>
      </c>
      <c r="F61" s="3">
        <v>46090</v>
      </c>
      <c r="G61" s="3">
        <v>46103</v>
      </c>
      <c r="H61" s="3">
        <v>46102</v>
      </c>
      <c r="I61" s="2">
        <v>189</v>
      </c>
      <c r="J61" s="2">
        <v>0</v>
      </c>
    </row>
    <row r="62" spans="1:10">
      <c r="A62" s="2" t="s">
        <v>151</v>
      </c>
      <c r="B62" s="2" t="s">
        <v>67</v>
      </c>
      <c r="C62" s="2" t="s">
        <v>12</v>
      </c>
      <c r="D62" s="2" t="s">
        <v>152</v>
      </c>
      <c r="E62" s="2">
        <v>184</v>
      </c>
      <c r="F62" s="3">
        <v>46148</v>
      </c>
      <c r="G62" s="3">
        <v>46157</v>
      </c>
      <c r="H62" s="3">
        <v>46164</v>
      </c>
      <c r="I62" s="2">
        <v>187</v>
      </c>
      <c r="J62" s="2">
        <v>0</v>
      </c>
    </row>
    <row r="63" spans="1:10">
      <c r="A63" s="2" t="s">
        <v>153</v>
      </c>
      <c r="B63" s="2" t="s">
        <v>32</v>
      </c>
      <c r="C63" s="2" t="s">
        <v>12</v>
      </c>
      <c r="D63" s="2" t="s">
        <v>154</v>
      </c>
      <c r="E63" s="2">
        <v>969</v>
      </c>
      <c r="F63" s="3">
        <v>46060</v>
      </c>
      <c r="G63" s="3">
        <v>46066</v>
      </c>
      <c r="H63" s="3">
        <v>46064</v>
      </c>
      <c r="I63" s="2">
        <v>973</v>
      </c>
      <c r="J63" s="2">
        <v>5</v>
      </c>
    </row>
    <row r="64" spans="1:10">
      <c r="A64" s="2" t="s">
        <v>155</v>
      </c>
      <c r="B64" s="2" t="s">
        <v>29</v>
      </c>
      <c r="C64" s="2" t="s">
        <v>12</v>
      </c>
      <c r="D64" s="2" t="s">
        <v>156</v>
      </c>
      <c r="E64" s="2">
        <v>574</v>
      </c>
      <c r="F64" s="3">
        <v>46111</v>
      </c>
      <c r="G64" s="3">
        <v>46116</v>
      </c>
      <c r="H64" s="3">
        <v>46113</v>
      </c>
      <c r="I64" s="2">
        <v>578</v>
      </c>
      <c r="J64" s="2">
        <v>7</v>
      </c>
    </row>
    <row r="65" spans="1:10">
      <c r="A65" s="2" t="s">
        <v>157</v>
      </c>
      <c r="B65" s="2" t="s">
        <v>100</v>
      </c>
      <c r="C65" s="2" t="s">
        <v>16</v>
      </c>
      <c r="D65" s="2" t="s">
        <v>158</v>
      </c>
      <c r="E65" s="2">
        <v>668</v>
      </c>
      <c r="F65" s="3">
        <v>46129</v>
      </c>
      <c r="G65" s="3">
        <v>46141</v>
      </c>
      <c r="H65" s="3">
        <v>46139</v>
      </c>
      <c r="I65" s="2">
        <v>677</v>
      </c>
      <c r="J65" s="2">
        <v>11</v>
      </c>
    </row>
    <row r="66" spans="1:10">
      <c r="A66" s="2" t="s">
        <v>159</v>
      </c>
      <c r="B66" s="2" t="s">
        <v>40</v>
      </c>
      <c r="C66" s="2" t="s">
        <v>12</v>
      </c>
      <c r="D66" s="2" t="s">
        <v>160</v>
      </c>
      <c r="E66" s="2">
        <v>308</v>
      </c>
      <c r="F66" s="3">
        <v>46167</v>
      </c>
      <c r="G66" s="3">
        <v>46172</v>
      </c>
      <c r="H66" s="3">
        <v>46169</v>
      </c>
      <c r="I66" s="2">
        <v>308</v>
      </c>
      <c r="J66" s="2">
        <v>19</v>
      </c>
    </row>
    <row r="67" spans="1:10">
      <c r="A67" s="2" t="s">
        <v>161</v>
      </c>
      <c r="B67" s="2" t="s">
        <v>29</v>
      </c>
      <c r="C67" s="2" t="s">
        <v>16</v>
      </c>
      <c r="D67" s="2" t="s">
        <v>162</v>
      </c>
      <c r="E67" s="2">
        <v>352</v>
      </c>
      <c r="F67" s="3">
        <v>46083</v>
      </c>
      <c r="G67" s="3">
        <v>46091</v>
      </c>
      <c r="H67" s="3">
        <v>46091</v>
      </c>
      <c r="I67" s="2">
        <v>355</v>
      </c>
      <c r="J67" s="2">
        <v>1</v>
      </c>
    </row>
    <row r="68" spans="1:10">
      <c r="A68" s="2" t="s">
        <v>163</v>
      </c>
      <c r="B68" s="2" t="s">
        <v>49</v>
      </c>
      <c r="C68" s="2" t="s">
        <v>16</v>
      </c>
      <c r="D68" s="2" t="s">
        <v>164</v>
      </c>
      <c r="E68" s="2">
        <v>182</v>
      </c>
      <c r="F68" s="3">
        <v>46119</v>
      </c>
      <c r="G68" s="3">
        <v>46134</v>
      </c>
      <c r="H68" s="3">
        <v>46134</v>
      </c>
      <c r="I68" s="2">
        <v>184</v>
      </c>
      <c r="J68" s="2">
        <v>1</v>
      </c>
    </row>
    <row r="69" spans="1:10">
      <c r="A69" s="2" t="s">
        <v>165</v>
      </c>
      <c r="B69" s="2" t="s">
        <v>52</v>
      </c>
      <c r="C69" s="2" t="s">
        <v>166</v>
      </c>
      <c r="D69" s="2" t="s">
        <v>167</v>
      </c>
      <c r="E69" s="2">
        <v>788</v>
      </c>
      <c r="F69" s="3">
        <v>46085</v>
      </c>
      <c r="G69" s="3">
        <v>46091</v>
      </c>
      <c r="H69" s="3">
        <v>46092</v>
      </c>
      <c r="I69" s="2">
        <v>798</v>
      </c>
      <c r="J69" s="2">
        <v>11</v>
      </c>
    </row>
    <row r="70" spans="1:10">
      <c r="A70" s="2" t="s">
        <v>168</v>
      </c>
      <c r="B70" s="2" t="s">
        <v>26</v>
      </c>
      <c r="C70" s="2" t="s">
        <v>16</v>
      </c>
      <c r="D70" s="2" t="s">
        <v>169</v>
      </c>
      <c r="E70" s="2">
        <v>495</v>
      </c>
      <c r="F70" s="3">
        <v>46161</v>
      </c>
      <c r="G70" s="3">
        <v>46166</v>
      </c>
      <c r="H70" s="3">
        <v>46165</v>
      </c>
      <c r="I70" s="2">
        <v>418</v>
      </c>
      <c r="J70" s="2">
        <v>1</v>
      </c>
    </row>
    <row r="71" spans="1:10">
      <c r="A71" s="2" t="s">
        <v>170</v>
      </c>
      <c r="B71" s="2" t="s">
        <v>26</v>
      </c>
      <c r="C71" s="2" t="s">
        <v>12</v>
      </c>
      <c r="D71" s="2" t="s">
        <v>171</v>
      </c>
      <c r="E71" s="2">
        <v>450</v>
      </c>
      <c r="F71" s="3">
        <v>46042</v>
      </c>
      <c r="G71" s="3">
        <v>46047</v>
      </c>
      <c r="H71" s="3">
        <v>46046</v>
      </c>
      <c r="I71" s="2">
        <v>442</v>
      </c>
      <c r="J71" s="2">
        <v>8</v>
      </c>
    </row>
    <row r="72" spans="1:10">
      <c r="A72" s="2" t="s">
        <v>172</v>
      </c>
      <c r="B72" s="2" t="s">
        <v>22</v>
      </c>
      <c r="C72" s="2" t="s">
        <v>16</v>
      </c>
      <c r="D72" s="2" t="s">
        <v>173</v>
      </c>
      <c r="E72" s="2">
        <v>880</v>
      </c>
      <c r="F72" s="3">
        <v>46105</v>
      </c>
      <c r="G72" s="3">
        <v>46110</v>
      </c>
      <c r="H72" s="3">
        <v>46107</v>
      </c>
      <c r="I72" s="2">
        <v>875</v>
      </c>
      <c r="J72" s="2">
        <v>28</v>
      </c>
    </row>
    <row r="73" spans="1:10">
      <c r="A73" s="2" t="s">
        <v>174</v>
      </c>
      <c r="B73" s="2" t="s">
        <v>67</v>
      </c>
      <c r="C73" s="2" t="s">
        <v>12</v>
      </c>
      <c r="D73" s="2" t="s">
        <v>175</v>
      </c>
      <c r="E73" s="2">
        <v>506</v>
      </c>
      <c r="F73" s="3">
        <v>46103</v>
      </c>
      <c r="G73" s="3">
        <v>46115</v>
      </c>
      <c r="H73" s="3">
        <v>46115</v>
      </c>
      <c r="I73" s="2">
        <v>511</v>
      </c>
      <c r="J73" s="2">
        <v>28</v>
      </c>
    </row>
    <row r="74" spans="1:10">
      <c r="A74" s="2" t="s">
        <v>176</v>
      </c>
      <c r="B74" s="2" t="s">
        <v>177</v>
      </c>
      <c r="C74" s="2" t="s">
        <v>12</v>
      </c>
      <c r="D74" s="2" t="s">
        <v>178</v>
      </c>
      <c r="E74" s="2">
        <v>855</v>
      </c>
      <c r="F74" s="3">
        <v>46107</v>
      </c>
      <c r="G74" s="3">
        <v>46121</v>
      </c>
      <c r="H74" s="3">
        <v>46119</v>
      </c>
      <c r="I74" s="2">
        <v>802</v>
      </c>
      <c r="J74" s="2">
        <v>12</v>
      </c>
    </row>
    <row r="75" spans="1:10">
      <c r="A75" s="2" t="s">
        <v>179</v>
      </c>
      <c r="B75" s="2" t="s">
        <v>32</v>
      </c>
      <c r="C75" s="2" t="s">
        <v>16</v>
      </c>
      <c r="D75" s="2" t="s">
        <v>50</v>
      </c>
      <c r="E75" s="2">
        <v>703</v>
      </c>
      <c r="F75" s="3">
        <v>46083</v>
      </c>
      <c r="G75" s="3">
        <v>46088</v>
      </c>
      <c r="H75" s="3">
        <v>46087</v>
      </c>
      <c r="I75" s="2">
        <v>706</v>
      </c>
      <c r="J75" s="2">
        <v>38</v>
      </c>
    </row>
    <row r="76" spans="1:10">
      <c r="A76" s="2" t="s">
        <v>180</v>
      </c>
      <c r="B76" s="2" t="s">
        <v>52</v>
      </c>
      <c r="C76" s="2" t="s">
        <v>16</v>
      </c>
      <c r="D76" s="2" t="s">
        <v>181</v>
      </c>
      <c r="E76" s="2">
        <v>261</v>
      </c>
      <c r="F76" s="3">
        <v>46098</v>
      </c>
      <c r="G76" s="3">
        <v>46106</v>
      </c>
      <c r="H76" s="3">
        <v>46105</v>
      </c>
      <c r="I76" s="2">
        <v>214</v>
      </c>
      <c r="J76" s="2">
        <v>2</v>
      </c>
    </row>
    <row r="77" spans="1:10">
      <c r="A77" s="2" t="s">
        <v>182</v>
      </c>
      <c r="B77" s="2" t="s">
        <v>177</v>
      </c>
      <c r="C77" s="2" t="s">
        <v>12</v>
      </c>
      <c r="D77" s="2" t="s">
        <v>183</v>
      </c>
      <c r="E77" s="2">
        <v>500</v>
      </c>
      <c r="F77" s="3">
        <v>46148</v>
      </c>
      <c r="G77" s="3">
        <v>46155</v>
      </c>
      <c r="H77" s="3">
        <v>46154</v>
      </c>
      <c r="I77" s="2">
        <v>507</v>
      </c>
      <c r="J77" s="2">
        <v>9</v>
      </c>
    </row>
    <row r="78" spans="1:10">
      <c r="A78" s="2" t="s">
        <v>184</v>
      </c>
      <c r="B78" s="2" t="s">
        <v>177</v>
      </c>
      <c r="C78" s="2" t="s">
        <v>12</v>
      </c>
      <c r="D78" s="2" t="s">
        <v>185</v>
      </c>
      <c r="E78" s="2">
        <v>529</v>
      </c>
      <c r="F78" s="3">
        <v>46171</v>
      </c>
      <c r="G78" s="3">
        <v>46178</v>
      </c>
      <c r="H78" s="3">
        <v>46175</v>
      </c>
      <c r="I78" s="2">
        <v>538</v>
      </c>
      <c r="J78" s="2">
        <v>11</v>
      </c>
    </row>
    <row r="79" spans="1:10">
      <c r="A79" s="2" t="s">
        <v>186</v>
      </c>
      <c r="B79" s="2" t="s">
        <v>100</v>
      </c>
      <c r="C79" s="2" t="s">
        <v>12</v>
      </c>
      <c r="D79" s="2" t="s">
        <v>187</v>
      </c>
      <c r="E79" s="2">
        <v>339</v>
      </c>
      <c r="F79" s="3">
        <v>46167</v>
      </c>
      <c r="G79" s="3">
        <v>46176</v>
      </c>
      <c r="H79" s="3">
        <v>46184</v>
      </c>
      <c r="I79" s="2">
        <v>346</v>
      </c>
      <c r="J79" s="2">
        <v>1</v>
      </c>
    </row>
    <row r="80" spans="1:10">
      <c r="A80" s="2" t="s">
        <v>188</v>
      </c>
      <c r="B80" s="2" t="s">
        <v>81</v>
      </c>
      <c r="C80" s="2" t="s">
        <v>12</v>
      </c>
      <c r="D80" s="2" t="s">
        <v>189</v>
      </c>
      <c r="E80" s="2">
        <v>356</v>
      </c>
      <c r="F80" s="3">
        <v>46157</v>
      </c>
      <c r="G80" s="3">
        <v>46171</v>
      </c>
      <c r="H80" s="3">
        <v>46171</v>
      </c>
      <c r="I80" s="2">
        <v>311</v>
      </c>
      <c r="J80" s="2">
        <v>3</v>
      </c>
    </row>
    <row r="81" spans="1:10">
      <c r="A81" s="2" t="s">
        <v>190</v>
      </c>
      <c r="B81" s="2" t="s">
        <v>100</v>
      </c>
      <c r="C81" s="2" t="s">
        <v>12</v>
      </c>
      <c r="D81" s="2" t="s">
        <v>191</v>
      </c>
      <c r="E81" s="2">
        <v>493</v>
      </c>
      <c r="F81" s="3">
        <v>46122</v>
      </c>
      <c r="G81" s="3">
        <v>46137</v>
      </c>
      <c r="H81" s="3">
        <v>46135</v>
      </c>
      <c r="I81" s="2">
        <v>491</v>
      </c>
      <c r="J81" s="2">
        <v>12</v>
      </c>
    </row>
    <row r="82" spans="1:10">
      <c r="A82" s="2" t="s">
        <v>192</v>
      </c>
      <c r="B82" s="2" t="s">
        <v>193</v>
      </c>
      <c r="C82" s="2" t="s">
        <v>12</v>
      </c>
      <c r="D82" s="2" t="s">
        <v>140</v>
      </c>
      <c r="E82" s="2">
        <v>901</v>
      </c>
      <c r="F82" s="3">
        <v>46087</v>
      </c>
      <c r="G82" s="3">
        <v>46102</v>
      </c>
      <c r="H82" s="3">
        <v>46103</v>
      </c>
      <c r="I82" s="2">
        <v>898</v>
      </c>
      <c r="J82" s="2">
        <v>42</v>
      </c>
    </row>
    <row r="83" spans="1:10">
      <c r="A83" s="2" t="s">
        <v>194</v>
      </c>
      <c r="B83" s="2" t="s">
        <v>64</v>
      </c>
      <c r="C83" s="2" t="s">
        <v>12</v>
      </c>
      <c r="D83" s="2" t="s">
        <v>195</v>
      </c>
      <c r="E83" s="2">
        <v>241</v>
      </c>
      <c r="F83" s="3">
        <v>46160</v>
      </c>
      <c r="G83" s="3">
        <v>46171</v>
      </c>
      <c r="H83" s="3">
        <v>46171</v>
      </c>
      <c r="I83" s="2">
        <v>217</v>
      </c>
      <c r="J83" s="2">
        <v>11</v>
      </c>
    </row>
    <row r="84" spans="1:10">
      <c r="A84" s="2" t="s">
        <v>196</v>
      </c>
      <c r="B84" s="2" t="s">
        <v>70</v>
      </c>
      <c r="C84" s="2" t="s">
        <v>12</v>
      </c>
      <c r="D84" s="2" t="s">
        <v>38</v>
      </c>
      <c r="E84" s="2">
        <v>705</v>
      </c>
      <c r="F84" s="3">
        <v>46145</v>
      </c>
      <c r="G84" s="3">
        <v>46152</v>
      </c>
      <c r="H84" s="3">
        <v>46151</v>
      </c>
      <c r="I84" s="2">
        <v>698</v>
      </c>
      <c r="J84" s="2">
        <v>3</v>
      </c>
    </row>
    <row r="85" spans="1:10">
      <c r="A85" s="2" t="s">
        <v>197</v>
      </c>
      <c r="B85" s="2" t="s">
        <v>67</v>
      </c>
      <c r="C85" s="2" t="s">
        <v>16</v>
      </c>
      <c r="D85" s="2" t="s">
        <v>107</v>
      </c>
      <c r="E85" s="2">
        <v>100</v>
      </c>
      <c r="F85" s="3">
        <v>46061</v>
      </c>
      <c r="G85" s="3">
        <v>46066</v>
      </c>
      <c r="H85" s="3">
        <v>46066</v>
      </c>
      <c r="I85" s="2">
        <v>99</v>
      </c>
      <c r="J85" s="2">
        <v>3</v>
      </c>
    </row>
    <row r="86" spans="1:10">
      <c r="A86" s="2" t="s">
        <v>198</v>
      </c>
      <c r="B86" s="2" t="s">
        <v>11</v>
      </c>
      <c r="C86" s="2" t="s">
        <v>23</v>
      </c>
      <c r="D86" s="2" t="s">
        <v>199</v>
      </c>
      <c r="E86" s="2">
        <v>454</v>
      </c>
      <c r="F86" s="3">
        <v>46103</v>
      </c>
      <c r="G86" s="3">
        <v>46114</v>
      </c>
      <c r="H86" s="3">
        <v>46122</v>
      </c>
      <c r="I86" s="2">
        <v>455</v>
      </c>
      <c r="J86" s="2">
        <v>12</v>
      </c>
    </row>
    <row r="87" spans="1:10">
      <c r="A87" s="2" t="s">
        <v>200</v>
      </c>
      <c r="B87" s="2" t="s">
        <v>67</v>
      </c>
      <c r="C87" s="2" t="s">
        <v>23</v>
      </c>
      <c r="D87" s="2" t="s">
        <v>201</v>
      </c>
      <c r="E87" s="2">
        <v>773</v>
      </c>
      <c r="F87" s="3">
        <v>46174</v>
      </c>
      <c r="G87" s="3">
        <v>46184</v>
      </c>
      <c r="H87" s="3">
        <v>46181</v>
      </c>
      <c r="I87" s="2">
        <v>695</v>
      </c>
      <c r="J87" s="2">
        <v>11</v>
      </c>
    </row>
    <row r="88" spans="1:10">
      <c r="A88" s="2" t="s">
        <v>202</v>
      </c>
      <c r="B88" s="2" t="s">
        <v>203</v>
      </c>
      <c r="C88" s="2" t="s">
        <v>12</v>
      </c>
      <c r="D88" s="2" t="s">
        <v>204</v>
      </c>
      <c r="E88" s="2">
        <v>858</v>
      </c>
      <c r="F88" s="3">
        <v>46052</v>
      </c>
      <c r="G88" s="3">
        <v>46061</v>
      </c>
      <c r="H88" s="3">
        <v>46065</v>
      </c>
      <c r="I88" s="2">
        <v>851</v>
      </c>
      <c r="J88" s="2">
        <v>9</v>
      </c>
    </row>
    <row r="89" spans="1:10">
      <c r="A89" s="2" t="s">
        <v>205</v>
      </c>
      <c r="B89" s="2" t="s">
        <v>206</v>
      </c>
      <c r="C89" s="2" t="s">
        <v>16</v>
      </c>
      <c r="D89" s="2" t="s">
        <v>207</v>
      </c>
      <c r="E89" s="2">
        <v>243</v>
      </c>
      <c r="F89" s="3">
        <v>46037</v>
      </c>
      <c r="G89" s="3">
        <v>46047</v>
      </c>
      <c r="H89" s="3">
        <v>46045</v>
      </c>
      <c r="I89" s="2">
        <v>200</v>
      </c>
      <c r="J89" s="2">
        <v>1</v>
      </c>
    </row>
    <row r="90" spans="1:10">
      <c r="A90" s="2" t="s">
        <v>208</v>
      </c>
      <c r="B90" s="2" t="s">
        <v>49</v>
      </c>
      <c r="C90" s="2" t="s">
        <v>16</v>
      </c>
      <c r="D90" s="2" t="s">
        <v>209</v>
      </c>
      <c r="E90" s="2">
        <v>385</v>
      </c>
      <c r="F90" s="3">
        <v>46139</v>
      </c>
      <c r="G90" s="3">
        <v>46152</v>
      </c>
      <c r="H90" s="3">
        <v>46153</v>
      </c>
      <c r="I90" s="2">
        <v>389</v>
      </c>
      <c r="J90" s="2">
        <v>4</v>
      </c>
    </row>
    <row r="91" spans="1:10">
      <c r="A91" s="2" t="s">
        <v>210</v>
      </c>
      <c r="B91" s="2" t="s">
        <v>177</v>
      </c>
      <c r="C91" s="2" t="s">
        <v>12</v>
      </c>
      <c r="D91" s="2" t="s">
        <v>171</v>
      </c>
      <c r="E91" s="2">
        <v>867</v>
      </c>
      <c r="F91" s="3">
        <v>46115</v>
      </c>
      <c r="G91" s="3">
        <v>46121</v>
      </c>
      <c r="H91" s="3">
        <v>46118</v>
      </c>
      <c r="I91" s="2">
        <v>883</v>
      </c>
      <c r="J91" s="2">
        <v>21</v>
      </c>
    </row>
    <row r="92" spans="1:10">
      <c r="A92" s="2" t="s">
        <v>211</v>
      </c>
      <c r="B92" s="2" t="s">
        <v>35</v>
      </c>
      <c r="C92" s="2" t="s">
        <v>12</v>
      </c>
      <c r="D92" s="2" t="s">
        <v>212</v>
      </c>
      <c r="E92" s="2">
        <v>872</v>
      </c>
      <c r="F92" s="3">
        <v>46101</v>
      </c>
      <c r="G92" s="3">
        <v>46112</v>
      </c>
      <c r="H92" s="3">
        <v>46111</v>
      </c>
      <c r="I92" s="2">
        <v>878</v>
      </c>
      <c r="J92" s="2">
        <v>28</v>
      </c>
    </row>
    <row r="93" spans="1:10">
      <c r="A93" s="2" t="s">
        <v>213</v>
      </c>
      <c r="B93" s="2" t="s">
        <v>40</v>
      </c>
      <c r="C93" s="2" t="s">
        <v>12</v>
      </c>
      <c r="D93" s="2" t="s">
        <v>214</v>
      </c>
      <c r="E93" s="2">
        <v>498</v>
      </c>
      <c r="F93" s="3">
        <v>46069</v>
      </c>
      <c r="G93" s="3">
        <v>46077</v>
      </c>
      <c r="H93" s="2"/>
      <c r="I93" s="2"/>
      <c r="J93" s="2"/>
    </row>
    <row r="94" spans="1:10">
      <c r="A94" s="2" t="s">
        <v>215</v>
      </c>
      <c r="B94" s="2" t="s">
        <v>120</v>
      </c>
      <c r="C94" s="2" t="s">
        <v>23</v>
      </c>
      <c r="D94" s="2" t="s">
        <v>216</v>
      </c>
      <c r="E94" s="2">
        <v>899</v>
      </c>
      <c r="F94" s="3">
        <v>46089</v>
      </c>
      <c r="G94" s="3">
        <v>46104</v>
      </c>
      <c r="H94" s="3">
        <v>46102</v>
      </c>
      <c r="I94" s="2">
        <v>802</v>
      </c>
      <c r="J94" s="2">
        <v>37</v>
      </c>
    </row>
    <row r="95" spans="1:10">
      <c r="A95" s="2" t="s">
        <v>217</v>
      </c>
      <c r="B95" s="2" t="s">
        <v>218</v>
      </c>
      <c r="C95" s="2" t="s">
        <v>23</v>
      </c>
      <c r="D95" s="2" t="s">
        <v>219</v>
      </c>
      <c r="E95" s="2">
        <v>605</v>
      </c>
      <c r="F95" s="3">
        <v>46161</v>
      </c>
      <c r="G95" s="3">
        <v>46172</v>
      </c>
      <c r="H95" s="3">
        <v>46172</v>
      </c>
      <c r="I95" s="2">
        <v>595</v>
      </c>
      <c r="J95" s="2">
        <v>16</v>
      </c>
    </row>
    <row r="96" spans="1:10">
      <c r="A96" s="2" t="s">
        <v>220</v>
      </c>
      <c r="B96" s="2" t="s">
        <v>177</v>
      </c>
      <c r="C96" s="2" t="s">
        <v>12</v>
      </c>
      <c r="D96" s="2" t="s">
        <v>221</v>
      </c>
      <c r="E96" s="2">
        <v>225</v>
      </c>
      <c r="F96" s="3">
        <v>46032</v>
      </c>
      <c r="G96" s="3">
        <v>46046</v>
      </c>
      <c r="H96" s="3">
        <v>46055</v>
      </c>
      <c r="I96" s="2">
        <v>226</v>
      </c>
      <c r="J96" s="2">
        <v>4</v>
      </c>
    </row>
    <row r="97" spans="1:10">
      <c r="A97" s="2" t="s">
        <v>222</v>
      </c>
      <c r="B97" s="2" t="s">
        <v>81</v>
      </c>
      <c r="C97" s="2" t="s">
        <v>16</v>
      </c>
      <c r="D97" s="2" t="s">
        <v>223</v>
      </c>
      <c r="E97" s="2">
        <v>904</v>
      </c>
      <c r="F97" s="3">
        <v>46133</v>
      </c>
      <c r="G97" s="3">
        <v>46139</v>
      </c>
      <c r="H97" s="3">
        <v>46140</v>
      </c>
      <c r="I97" s="2">
        <v>916</v>
      </c>
      <c r="J97" s="2">
        <v>13</v>
      </c>
    </row>
    <row r="98" spans="1:10">
      <c r="A98" s="2" t="s">
        <v>224</v>
      </c>
      <c r="B98" s="2" t="s">
        <v>177</v>
      </c>
      <c r="C98" s="2" t="s">
        <v>23</v>
      </c>
      <c r="D98" s="2" t="s">
        <v>225</v>
      </c>
      <c r="E98" s="2">
        <v>928</v>
      </c>
      <c r="F98" s="3">
        <v>46069</v>
      </c>
      <c r="G98" s="3">
        <v>46078</v>
      </c>
      <c r="H98" s="3">
        <v>46085</v>
      </c>
      <c r="I98" s="2">
        <v>935</v>
      </c>
      <c r="J98" s="2">
        <v>11</v>
      </c>
    </row>
    <row r="99" spans="1:10">
      <c r="A99" s="2" t="s">
        <v>226</v>
      </c>
      <c r="B99" s="2" t="s">
        <v>100</v>
      </c>
      <c r="C99" s="2" t="s">
        <v>12</v>
      </c>
      <c r="D99" s="2" t="s">
        <v>227</v>
      </c>
      <c r="E99" s="2">
        <v>184</v>
      </c>
      <c r="F99" s="3">
        <v>46047</v>
      </c>
      <c r="G99" s="3">
        <v>46056</v>
      </c>
      <c r="H99" s="3">
        <v>46063</v>
      </c>
      <c r="I99" s="2">
        <v>184</v>
      </c>
      <c r="J99" s="2">
        <v>4</v>
      </c>
    </row>
    <row r="100" spans="1:10">
      <c r="A100" s="2" t="s">
        <v>228</v>
      </c>
      <c r="B100" s="2" t="s">
        <v>52</v>
      </c>
      <c r="C100" s="2" t="s">
        <v>12</v>
      </c>
      <c r="D100" s="2" t="s">
        <v>229</v>
      </c>
      <c r="E100" s="2">
        <v>936</v>
      </c>
      <c r="F100" s="3">
        <v>46057</v>
      </c>
      <c r="G100" s="3">
        <v>46065</v>
      </c>
      <c r="H100" s="3">
        <v>46064</v>
      </c>
      <c r="I100" s="2">
        <v>906</v>
      </c>
      <c r="J100" s="2">
        <v>15</v>
      </c>
    </row>
    <row r="101" spans="1:10">
      <c r="A101" s="2" t="s">
        <v>230</v>
      </c>
      <c r="B101" s="2" t="s">
        <v>46</v>
      </c>
      <c r="C101" s="2" t="s">
        <v>166</v>
      </c>
      <c r="D101" s="2" t="s">
        <v>231</v>
      </c>
      <c r="E101" s="2">
        <v>918</v>
      </c>
      <c r="F101" s="3">
        <v>46165</v>
      </c>
      <c r="G101" s="3">
        <v>46177</v>
      </c>
      <c r="H101" s="3">
        <v>46174</v>
      </c>
      <c r="I101" s="2">
        <v>915</v>
      </c>
      <c r="J101" s="2">
        <v>43</v>
      </c>
    </row>
    <row r="102" spans="1:10">
      <c r="A102" s="2" t="s">
        <v>232</v>
      </c>
      <c r="B102" s="2" t="s">
        <v>11</v>
      </c>
      <c r="C102" s="2" t="s">
        <v>16</v>
      </c>
      <c r="D102" s="2" t="s">
        <v>233</v>
      </c>
      <c r="E102" s="2">
        <v>697</v>
      </c>
      <c r="F102" s="3">
        <v>46067</v>
      </c>
      <c r="G102" s="3">
        <v>46078</v>
      </c>
      <c r="H102" s="3">
        <v>46078</v>
      </c>
      <c r="I102" s="2">
        <v>687</v>
      </c>
      <c r="J102" s="2">
        <v>17</v>
      </c>
    </row>
    <row r="103" spans="1:10">
      <c r="A103" s="2" t="s">
        <v>234</v>
      </c>
      <c r="B103" s="2" t="s">
        <v>43</v>
      </c>
      <c r="C103" s="2" t="s">
        <v>16</v>
      </c>
      <c r="D103" s="2" t="s">
        <v>235</v>
      </c>
      <c r="E103" s="2">
        <v>825</v>
      </c>
      <c r="F103" s="3">
        <v>46041</v>
      </c>
      <c r="G103" s="3">
        <v>46049</v>
      </c>
      <c r="H103" s="3">
        <v>46047</v>
      </c>
      <c r="I103" s="2">
        <v>837</v>
      </c>
      <c r="J103" s="2">
        <v>18</v>
      </c>
    </row>
    <row r="104" spans="1:10">
      <c r="A104" s="2" t="s">
        <v>236</v>
      </c>
      <c r="B104" s="2" t="s">
        <v>54</v>
      </c>
      <c r="C104" s="2" t="s">
        <v>12</v>
      </c>
      <c r="D104" s="2"/>
      <c r="E104" s="2">
        <v>300</v>
      </c>
      <c r="F104" s="3">
        <v>46133</v>
      </c>
      <c r="G104" s="3">
        <v>46148</v>
      </c>
      <c r="H104" s="3">
        <v>46146</v>
      </c>
      <c r="I104" s="2">
        <v>295</v>
      </c>
      <c r="J104" s="2">
        <v>4</v>
      </c>
    </row>
    <row r="105" spans="1:10">
      <c r="A105" s="2" t="s">
        <v>237</v>
      </c>
      <c r="B105" s="2" t="s">
        <v>19</v>
      </c>
      <c r="C105" s="2" t="s">
        <v>16</v>
      </c>
      <c r="D105" s="2" t="s">
        <v>238</v>
      </c>
      <c r="E105" s="2">
        <v>529</v>
      </c>
      <c r="F105" s="3">
        <v>46147</v>
      </c>
      <c r="G105" s="3">
        <v>46162</v>
      </c>
      <c r="H105" s="3">
        <v>46162</v>
      </c>
      <c r="I105" s="2">
        <v>524</v>
      </c>
      <c r="J105" s="2">
        <v>25</v>
      </c>
    </row>
    <row r="106" spans="1:10">
      <c r="A106" s="2" t="s">
        <v>239</v>
      </c>
      <c r="B106" s="2" t="s">
        <v>100</v>
      </c>
      <c r="C106" s="2" t="s">
        <v>12</v>
      </c>
      <c r="D106" s="2" t="s">
        <v>240</v>
      </c>
      <c r="E106" s="2">
        <v>787</v>
      </c>
      <c r="F106" s="3">
        <v>46104</v>
      </c>
      <c r="G106" s="3">
        <v>46117</v>
      </c>
      <c r="H106" s="3">
        <v>46125</v>
      </c>
      <c r="I106" s="2">
        <v>782</v>
      </c>
      <c r="J106" s="2">
        <v>10</v>
      </c>
    </row>
    <row r="107" spans="1:10">
      <c r="A107" s="2" t="s">
        <v>241</v>
      </c>
      <c r="B107" s="2" t="s">
        <v>35</v>
      </c>
      <c r="C107" s="2" t="s">
        <v>16</v>
      </c>
      <c r="D107" s="2" t="s">
        <v>242</v>
      </c>
      <c r="E107" s="2">
        <v>833</v>
      </c>
      <c r="F107" s="3">
        <v>46145</v>
      </c>
      <c r="G107" s="3">
        <v>46152</v>
      </c>
      <c r="H107" s="3">
        <v>46149</v>
      </c>
      <c r="I107" s="2">
        <v>847</v>
      </c>
      <c r="J107" s="2">
        <v>44</v>
      </c>
    </row>
    <row r="108" spans="1:10">
      <c r="A108" s="2" t="s">
        <v>243</v>
      </c>
      <c r="B108" s="2" t="s">
        <v>43</v>
      </c>
      <c r="C108" s="2" t="s">
        <v>16</v>
      </c>
      <c r="D108" s="2" t="s">
        <v>244</v>
      </c>
      <c r="E108" s="2">
        <v>845</v>
      </c>
      <c r="F108" s="3">
        <v>46098</v>
      </c>
      <c r="G108" s="3">
        <v>46107</v>
      </c>
      <c r="H108" s="3">
        <v>46107</v>
      </c>
      <c r="I108" s="2">
        <v>762</v>
      </c>
      <c r="J108" s="2">
        <v>47</v>
      </c>
    </row>
    <row r="109" spans="1:10">
      <c r="A109" s="2" t="s">
        <v>245</v>
      </c>
      <c r="B109" s="2" t="s">
        <v>46</v>
      </c>
      <c r="C109" s="2" t="s">
        <v>12</v>
      </c>
      <c r="D109" s="2" t="s">
        <v>246</v>
      </c>
      <c r="E109" s="2">
        <v>662</v>
      </c>
      <c r="F109" s="3">
        <v>46070</v>
      </c>
      <c r="G109" s="3">
        <v>46085</v>
      </c>
      <c r="H109" s="3">
        <v>46084</v>
      </c>
      <c r="I109" s="2">
        <v>669</v>
      </c>
      <c r="J109" s="2">
        <v>59</v>
      </c>
    </row>
    <row r="110" spans="1:10">
      <c r="A110" s="2" t="s">
        <v>247</v>
      </c>
      <c r="B110" s="2" t="s">
        <v>26</v>
      </c>
      <c r="C110" s="2" t="s">
        <v>23</v>
      </c>
      <c r="D110" s="2" t="s">
        <v>248</v>
      </c>
      <c r="E110" s="2">
        <v>832</v>
      </c>
      <c r="F110" s="3">
        <v>46045</v>
      </c>
      <c r="G110" s="3">
        <v>46052</v>
      </c>
      <c r="H110" s="3">
        <v>46049</v>
      </c>
      <c r="I110" s="2">
        <v>825</v>
      </c>
      <c r="J110" s="2">
        <v>25</v>
      </c>
    </row>
    <row r="111" spans="1:10">
      <c r="A111" s="2" t="s">
        <v>249</v>
      </c>
      <c r="B111" s="2" t="s">
        <v>46</v>
      </c>
      <c r="C111" s="2" t="s">
        <v>16</v>
      </c>
      <c r="D111" s="2" t="s">
        <v>250</v>
      </c>
      <c r="E111" s="2">
        <v>577</v>
      </c>
      <c r="F111" s="3">
        <v>46051</v>
      </c>
      <c r="G111" s="3">
        <v>46065</v>
      </c>
      <c r="H111" s="3">
        <v>46064</v>
      </c>
      <c r="I111" s="2">
        <v>582</v>
      </c>
      <c r="J111" s="2">
        <v>1</v>
      </c>
    </row>
    <row r="112" spans="1:10">
      <c r="A112" s="2" t="s">
        <v>251</v>
      </c>
      <c r="B112" s="2" t="s">
        <v>252</v>
      </c>
      <c r="C112" s="2" t="s">
        <v>16</v>
      </c>
      <c r="D112" s="2" t="s">
        <v>253</v>
      </c>
      <c r="E112" s="2">
        <v>992</v>
      </c>
      <c r="F112" s="3">
        <v>46126</v>
      </c>
      <c r="G112" s="3">
        <v>46131</v>
      </c>
      <c r="H112" s="3">
        <v>46130</v>
      </c>
      <c r="I112" s="2">
        <v>1004</v>
      </c>
      <c r="J112" s="2">
        <v>49</v>
      </c>
    </row>
    <row r="113" spans="1:10">
      <c r="A113" s="2" t="s">
        <v>254</v>
      </c>
      <c r="B113" s="2" t="s">
        <v>35</v>
      </c>
      <c r="C113" s="2" t="s">
        <v>16</v>
      </c>
      <c r="D113" s="2" t="s">
        <v>255</v>
      </c>
      <c r="E113" s="2">
        <v>749</v>
      </c>
      <c r="F113" s="3">
        <v>46029</v>
      </c>
      <c r="G113" s="3">
        <v>46041</v>
      </c>
      <c r="H113" s="3">
        <v>46039</v>
      </c>
      <c r="I113" s="2">
        <v>735</v>
      </c>
      <c r="J113" s="2">
        <v>1</v>
      </c>
    </row>
    <row r="114" spans="1:10">
      <c r="A114" s="2" t="s">
        <v>256</v>
      </c>
      <c r="B114" s="2" t="s">
        <v>40</v>
      </c>
      <c r="C114" s="2" t="s">
        <v>23</v>
      </c>
      <c r="D114" s="2" t="s">
        <v>201</v>
      </c>
      <c r="E114" s="2">
        <v>902</v>
      </c>
      <c r="F114" s="3">
        <v>46120</v>
      </c>
      <c r="G114" s="3">
        <v>46127</v>
      </c>
      <c r="H114" s="3">
        <v>46129</v>
      </c>
      <c r="I114" s="2">
        <v>896</v>
      </c>
      <c r="J114" s="2">
        <v>69</v>
      </c>
    </row>
    <row r="115" spans="1:10">
      <c r="A115" s="2" t="s">
        <v>257</v>
      </c>
      <c r="B115" s="2" t="s">
        <v>67</v>
      </c>
      <c r="C115" s="2" t="s">
        <v>12</v>
      </c>
      <c r="D115" s="2" t="s">
        <v>258</v>
      </c>
      <c r="E115" s="2">
        <v>979</v>
      </c>
      <c r="F115" s="3">
        <v>46170</v>
      </c>
      <c r="G115" s="3">
        <v>46182</v>
      </c>
      <c r="H115" s="3">
        <v>46190</v>
      </c>
      <c r="I115" s="2">
        <v>994</v>
      </c>
      <c r="J115" s="2">
        <v>29</v>
      </c>
    </row>
    <row r="116" spans="1:10">
      <c r="A116" s="2" t="s">
        <v>259</v>
      </c>
      <c r="B116" s="2" t="s">
        <v>49</v>
      </c>
      <c r="C116" s="2" t="s">
        <v>12</v>
      </c>
      <c r="D116" s="2" t="s">
        <v>260</v>
      </c>
      <c r="E116" s="2">
        <v>747</v>
      </c>
      <c r="F116" s="3">
        <v>46128</v>
      </c>
      <c r="G116" s="3">
        <v>46140</v>
      </c>
      <c r="H116" s="3">
        <v>46144</v>
      </c>
      <c r="I116" s="2">
        <v>743</v>
      </c>
      <c r="J116" s="2">
        <v>7</v>
      </c>
    </row>
    <row r="117" spans="1:10">
      <c r="A117" s="2" t="s">
        <v>261</v>
      </c>
      <c r="B117" s="2" t="s">
        <v>22</v>
      </c>
      <c r="C117" s="2" t="s">
        <v>23</v>
      </c>
      <c r="D117" s="2" t="s">
        <v>262</v>
      </c>
      <c r="E117" s="2">
        <v>584</v>
      </c>
      <c r="F117" s="3">
        <v>46154</v>
      </c>
      <c r="G117" s="3">
        <v>46164</v>
      </c>
      <c r="H117" s="3">
        <v>46170</v>
      </c>
      <c r="I117" s="2">
        <v>578</v>
      </c>
      <c r="J117" s="2">
        <v>28</v>
      </c>
    </row>
    <row r="118" spans="1:10">
      <c r="A118" s="2" t="s">
        <v>263</v>
      </c>
      <c r="B118" s="2" t="s">
        <v>19</v>
      </c>
      <c r="C118" s="2" t="s">
        <v>12</v>
      </c>
      <c r="D118" s="2" t="s">
        <v>264</v>
      </c>
      <c r="E118" s="2">
        <v>204</v>
      </c>
      <c r="F118" s="3">
        <v>46131</v>
      </c>
      <c r="G118" s="3">
        <v>46140</v>
      </c>
      <c r="H118" s="3">
        <v>46139</v>
      </c>
      <c r="I118" s="2">
        <v>204</v>
      </c>
      <c r="J118" s="2">
        <v>2</v>
      </c>
    </row>
    <row r="119" spans="1:10">
      <c r="A119" s="2" t="s">
        <v>265</v>
      </c>
      <c r="B119" s="2" t="s">
        <v>19</v>
      </c>
      <c r="C119" s="2" t="s">
        <v>16</v>
      </c>
      <c r="D119" s="2" t="s">
        <v>266</v>
      </c>
      <c r="E119" s="2">
        <v>167</v>
      </c>
      <c r="F119" s="3">
        <v>46084</v>
      </c>
      <c r="G119" s="3">
        <v>46091</v>
      </c>
      <c r="H119" s="3">
        <v>46088</v>
      </c>
      <c r="I119" s="2">
        <v>150</v>
      </c>
      <c r="J119" s="2">
        <v>3</v>
      </c>
    </row>
    <row r="120" spans="1:10">
      <c r="A120" s="2" t="s">
        <v>267</v>
      </c>
      <c r="B120" s="2" t="s">
        <v>54</v>
      </c>
      <c r="C120" s="2" t="s">
        <v>16</v>
      </c>
      <c r="D120" s="2" t="s">
        <v>268</v>
      </c>
      <c r="E120" s="2">
        <v>555</v>
      </c>
      <c r="F120" s="3">
        <v>46164</v>
      </c>
      <c r="G120" s="3">
        <v>46169</v>
      </c>
      <c r="H120" s="3">
        <v>46167</v>
      </c>
      <c r="I120" s="2">
        <v>460</v>
      </c>
      <c r="J120" s="2">
        <v>8</v>
      </c>
    </row>
    <row r="121" spans="1:10">
      <c r="A121" s="2" t="s">
        <v>269</v>
      </c>
      <c r="B121" s="2" t="s">
        <v>120</v>
      </c>
      <c r="C121" s="2" t="s">
        <v>12</v>
      </c>
      <c r="D121" s="2" t="s">
        <v>270</v>
      </c>
      <c r="E121" s="2">
        <v>346</v>
      </c>
      <c r="F121" s="3">
        <v>46035</v>
      </c>
      <c r="G121" s="3">
        <v>46044</v>
      </c>
      <c r="H121" s="3">
        <v>46041</v>
      </c>
      <c r="I121" s="2">
        <v>289</v>
      </c>
      <c r="J121" s="2">
        <v>8</v>
      </c>
    </row>
    <row r="122" spans="1:10">
      <c r="A122" s="2" t="s">
        <v>271</v>
      </c>
      <c r="B122" s="2" t="s">
        <v>177</v>
      </c>
      <c r="C122" s="2" t="s">
        <v>16</v>
      </c>
      <c r="D122" s="2" t="s">
        <v>272</v>
      </c>
      <c r="E122" s="2">
        <v>317</v>
      </c>
      <c r="F122" s="3">
        <v>46134</v>
      </c>
      <c r="G122" s="3">
        <v>46145</v>
      </c>
      <c r="H122" s="3">
        <v>46143</v>
      </c>
      <c r="I122" s="2">
        <v>312</v>
      </c>
      <c r="J122" s="2">
        <v>5</v>
      </c>
    </row>
    <row r="123" spans="1:10">
      <c r="A123" s="2" t="s">
        <v>273</v>
      </c>
      <c r="B123" s="2" t="s">
        <v>29</v>
      </c>
      <c r="C123" s="2" t="s">
        <v>12</v>
      </c>
      <c r="D123" s="2" t="s">
        <v>167</v>
      </c>
      <c r="E123" s="2">
        <v>101</v>
      </c>
      <c r="F123" s="3">
        <v>46105</v>
      </c>
      <c r="G123" s="3">
        <v>46110</v>
      </c>
      <c r="H123" s="3">
        <v>46107</v>
      </c>
      <c r="I123" s="2">
        <v>100</v>
      </c>
      <c r="J123" s="2">
        <v>0</v>
      </c>
    </row>
    <row r="124" spans="1:10">
      <c r="A124" s="2" t="s">
        <v>274</v>
      </c>
      <c r="B124" s="2" t="s">
        <v>203</v>
      </c>
      <c r="C124" s="2" t="s">
        <v>23</v>
      </c>
      <c r="D124" s="2" t="s">
        <v>275</v>
      </c>
      <c r="E124" s="2">
        <v>689</v>
      </c>
      <c r="F124" s="3">
        <v>46048</v>
      </c>
      <c r="G124" s="3">
        <v>46056</v>
      </c>
      <c r="H124" s="3">
        <v>46053</v>
      </c>
      <c r="I124" s="2">
        <v>553</v>
      </c>
      <c r="J124" s="2">
        <v>6</v>
      </c>
    </row>
    <row r="125" spans="1:10">
      <c r="A125" s="2" t="s">
        <v>276</v>
      </c>
      <c r="B125" s="2" t="s">
        <v>11</v>
      </c>
      <c r="C125" s="2" t="s">
        <v>16</v>
      </c>
      <c r="D125" s="2" t="s">
        <v>277</v>
      </c>
      <c r="E125" s="2">
        <v>880</v>
      </c>
      <c r="F125" s="3">
        <v>46115</v>
      </c>
      <c r="G125" s="3">
        <v>46123</v>
      </c>
      <c r="H125" s="3">
        <v>46122</v>
      </c>
      <c r="I125" s="2">
        <v>876</v>
      </c>
      <c r="J125" s="2">
        <v>25</v>
      </c>
    </row>
    <row r="126" spans="1:10">
      <c r="A126" s="2" t="s">
        <v>278</v>
      </c>
      <c r="B126" s="2" t="s">
        <v>46</v>
      </c>
      <c r="C126" s="2" t="s">
        <v>16</v>
      </c>
      <c r="D126" s="2" t="s">
        <v>279</v>
      </c>
      <c r="E126" s="2">
        <v>485</v>
      </c>
      <c r="F126" s="3">
        <v>46131</v>
      </c>
      <c r="G126" s="3">
        <v>46141</v>
      </c>
      <c r="H126" s="3">
        <v>46141</v>
      </c>
      <c r="I126" s="2">
        <v>482</v>
      </c>
      <c r="J126" s="2">
        <v>2</v>
      </c>
    </row>
    <row r="127" spans="1:10">
      <c r="A127" s="2" t="s">
        <v>280</v>
      </c>
      <c r="B127" s="2" t="s">
        <v>120</v>
      </c>
      <c r="C127" s="2" t="s">
        <v>12</v>
      </c>
      <c r="D127" s="2" t="s">
        <v>281</v>
      </c>
      <c r="E127" s="2">
        <v>555</v>
      </c>
      <c r="F127" s="3">
        <v>46084</v>
      </c>
      <c r="G127" s="3">
        <v>46092</v>
      </c>
      <c r="H127" s="3">
        <v>46091</v>
      </c>
      <c r="I127" s="2">
        <v>560</v>
      </c>
      <c r="J127" s="2">
        <v>21</v>
      </c>
    </row>
    <row r="128" spans="1:10">
      <c r="A128" s="2" t="s">
        <v>282</v>
      </c>
      <c r="B128" s="2" t="s">
        <v>81</v>
      </c>
      <c r="C128" s="2" t="s">
        <v>16</v>
      </c>
      <c r="D128" s="2" t="s">
        <v>283</v>
      </c>
      <c r="E128" s="2">
        <v>219</v>
      </c>
      <c r="F128" s="3">
        <v>46056</v>
      </c>
      <c r="G128" s="3">
        <v>46068</v>
      </c>
      <c r="H128" s="3">
        <v>46066</v>
      </c>
      <c r="I128" s="2">
        <v>216</v>
      </c>
      <c r="J128" s="2">
        <v>0</v>
      </c>
    </row>
    <row r="129" spans="1:10">
      <c r="A129" s="2" t="s">
        <v>284</v>
      </c>
      <c r="B129" s="2" t="s">
        <v>26</v>
      </c>
      <c r="C129" s="2" t="s">
        <v>23</v>
      </c>
      <c r="D129" s="2" t="s">
        <v>285</v>
      </c>
      <c r="E129" s="2">
        <v>94</v>
      </c>
      <c r="F129" s="3">
        <v>46131</v>
      </c>
      <c r="G129" s="3">
        <v>46139</v>
      </c>
      <c r="H129" s="3">
        <v>46138</v>
      </c>
      <c r="I129" s="2">
        <v>93</v>
      </c>
      <c r="J129" s="2">
        <v>2</v>
      </c>
    </row>
    <row r="130" spans="1:10">
      <c r="A130" s="2" t="s">
        <v>286</v>
      </c>
      <c r="B130" s="2" t="s">
        <v>46</v>
      </c>
      <c r="C130" s="2" t="s">
        <v>12</v>
      </c>
      <c r="D130" s="2" t="s">
        <v>281</v>
      </c>
      <c r="E130" s="2">
        <v>224</v>
      </c>
      <c r="F130" s="3">
        <v>46070</v>
      </c>
      <c r="G130" s="3">
        <v>46083</v>
      </c>
      <c r="H130" s="3">
        <v>46080</v>
      </c>
      <c r="I130" s="2">
        <v>227</v>
      </c>
      <c r="J130" s="2">
        <v>11</v>
      </c>
    </row>
    <row r="131" spans="1:10">
      <c r="A131" s="2" t="s">
        <v>287</v>
      </c>
      <c r="B131" s="2" t="s">
        <v>70</v>
      </c>
      <c r="C131" s="2" t="s">
        <v>23</v>
      </c>
      <c r="D131" s="2" t="s">
        <v>33</v>
      </c>
      <c r="E131" s="2">
        <v>178</v>
      </c>
      <c r="F131" s="3">
        <v>46054</v>
      </c>
      <c r="G131" s="3">
        <v>46066</v>
      </c>
      <c r="H131" s="3">
        <v>46068</v>
      </c>
      <c r="I131" s="2">
        <v>181</v>
      </c>
      <c r="J131" s="2">
        <v>3</v>
      </c>
    </row>
    <row r="132" spans="1:10">
      <c r="A132" s="2" t="s">
        <v>288</v>
      </c>
      <c r="B132" s="2" t="s">
        <v>289</v>
      </c>
      <c r="C132" s="2" t="s">
        <v>16</v>
      </c>
      <c r="D132" s="2" t="s">
        <v>272</v>
      </c>
      <c r="E132" s="2">
        <v>660</v>
      </c>
      <c r="F132" s="3">
        <v>46120</v>
      </c>
      <c r="G132" s="3">
        <v>46125</v>
      </c>
      <c r="H132" s="3">
        <v>46125</v>
      </c>
      <c r="I132" s="2">
        <v>671</v>
      </c>
      <c r="J132" s="2">
        <v>11</v>
      </c>
    </row>
    <row r="133" spans="1:10">
      <c r="A133" s="2" t="s">
        <v>290</v>
      </c>
      <c r="B133" s="2" t="s">
        <v>52</v>
      </c>
      <c r="C133" s="2" t="s">
        <v>23</v>
      </c>
      <c r="D133" s="2" t="s">
        <v>291</v>
      </c>
      <c r="E133" s="2">
        <v>930</v>
      </c>
      <c r="F133" s="3">
        <v>46054</v>
      </c>
      <c r="G133" s="3">
        <v>46062</v>
      </c>
      <c r="H133" s="3">
        <v>46062</v>
      </c>
      <c r="I133" s="2">
        <v>922</v>
      </c>
      <c r="J133" s="2">
        <v>8</v>
      </c>
    </row>
    <row r="134" spans="1:10">
      <c r="A134" s="2" t="s">
        <v>292</v>
      </c>
      <c r="B134" s="2" t="s">
        <v>177</v>
      </c>
      <c r="C134" s="2" t="s">
        <v>23</v>
      </c>
      <c r="D134" s="2" t="s">
        <v>118</v>
      </c>
      <c r="E134" s="2">
        <v>254</v>
      </c>
      <c r="F134" s="3">
        <v>46153</v>
      </c>
      <c r="G134" s="3">
        <v>46168</v>
      </c>
      <c r="H134" s="3">
        <v>46166</v>
      </c>
      <c r="I134" s="2">
        <v>204</v>
      </c>
      <c r="J134" s="2">
        <v>1</v>
      </c>
    </row>
    <row r="135" spans="1:10">
      <c r="A135" s="2" t="s">
        <v>293</v>
      </c>
      <c r="B135" s="2" t="s">
        <v>100</v>
      </c>
      <c r="C135" s="2" t="s">
        <v>16</v>
      </c>
      <c r="D135" s="2" t="s">
        <v>294</v>
      </c>
      <c r="E135" s="2">
        <v>251</v>
      </c>
      <c r="F135" s="3">
        <v>46080</v>
      </c>
      <c r="G135" s="3">
        <v>46085</v>
      </c>
      <c r="H135" s="3">
        <v>46092</v>
      </c>
      <c r="I135" s="2">
        <v>251</v>
      </c>
      <c r="J135" s="2">
        <v>6</v>
      </c>
    </row>
    <row r="136" spans="1:10">
      <c r="A136" s="2" t="s">
        <v>295</v>
      </c>
      <c r="B136" s="2" t="s">
        <v>70</v>
      </c>
      <c r="C136" s="2" t="s">
        <v>23</v>
      </c>
      <c r="D136" s="2" t="s">
        <v>296</v>
      </c>
      <c r="E136" s="2">
        <v>813</v>
      </c>
      <c r="F136" s="3">
        <v>46105</v>
      </c>
      <c r="G136" s="3">
        <v>46115</v>
      </c>
      <c r="H136" s="3">
        <v>46120</v>
      </c>
      <c r="I136" s="2">
        <v>806</v>
      </c>
      <c r="J136" s="2">
        <v>14</v>
      </c>
    </row>
    <row r="137" spans="1:10">
      <c r="A137" s="2" t="s">
        <v>297</v>
      </c>
      <c r="B137" s="2" t="s">
        <v>54</v>
      </c>
      <c r="C137" s="2" t="s">
        <v>16</v>
      </c>
      <c r="D137" s="2" t="s">
        <v>298</v>
      </c>
      <c r="E137" s="2">
        <v>310</v>
      </c>
      <c r="F137" s="3">
        <v>46086</v>
      </c>
      <c r="G137" s="3">
        <v>46100</v>
      </c>
      <c r="H137" s="3">
        <v>46098</v>
      </c>
      <c r="I137" s="2">
        <v>307</v>
      </c>
      <c r="J137" s="2">
        <v>0</v>
      </c>
    </row>
    <row r="138" spans="1:10">
      <c r="A138" s="2" t="s">
        <v>299</v>
      </c>
      <c r="B138" s="2" t="s">
        <v>52</v>
      </c>
      <c r="C138" s="2" t="s">
        <v>16</v>
      </c>
      <c r="D138" s="2" t="s">
        <v>255</v>
      </c>
      <c r="E138" s="2">
        <v>677</v>
      </c>
      <c r="F138" s="3">
        <v>46119</v>
      </c>
      <c r="G138" s="3">
        <v>46132</v>
      </c>
      <c r="H138" s="3">
        <v>46131</v>
      </c>
      <c r="I138" s="2">
        <v>574</v>
      </c>
      <c r="J138" s="2">
        <v>9</v>
      </c>
    </row>
    <row r="139" spans="1:10">
      <c r="A139" s="2" t="s">
        <v>300</v>
      </c>
      <c r="B139" s="2" t="s">
        <v>100</v>
      </c>
      <c r="C139" s="2" t="s">
        <v>16</v>
      </c>
      <c r="D139" s="2" t="s">
        <v>301</v>
      </c>
      <c r="E139" s="2">
        <v>238</v>
      </c>
      <c r="F139" s="3">
        <v>46108</v>
      </c>
      <c r="G139" s="3">
        <v>46115</v>
      </c>
      <c r="H139" s="3">
        <v>46118</v>
      </c>
      <c r="I139" s="2">
        <v>234</v>
      </c>
      <c r="J139" s="2">
        <v>1</v>
      </c>
    </row>
    <row r="140" spans="1:10">
      <c r="A140" s="2" t="s">
        <v>302</v>
      </c>
      <c r="B140" s="2" t="s">
        <v>303</v>
      </c>
      <c r="C140" s="2" t="s">
        <v>23</v>
      </c>
      <c r="D140" s="2" t="s">
        <v>103</v>
      </c>
      <c r="E140" s="2">
        <v>264</v>
      </c>
      <c r="F140" s="3">
        <v>46051</v>
      </c>
      <c r="G140" s="3">
        <v>46062</v>
      </c>
      <c r="H140" s="3">
        <v>46069</v>
      </c>
      <c r="I140" s="2">
        <v>261</v>
      </c>
      <c r="J140" s="2">
        <v>4</v>
      </c>
    </row>
    <row r="141" spans="1:10">
      <c r="A141" s="2" t="s">
        <v>304</v>
      </c>
      <c r="B141" s="2" t="s">
        <v>22</v>
      </c>
      <c r="C141" s="2" t="s">
        <v>12</v>
      </c>
      <c r="D141" s="2" t="s">
        <v>305</v>
      </c>
      <c r="E141" s="2">
        <v>912</v>
      </c>
      <c r="F141" s="3">
        <v>46175</v>
      </c>
      <c r="G141" s="3">
        <v>46188</v>
      </c>
      <c r="H141" s="3">
        <v>46194</v>
      </c>
      <c r="I141" s="2">
        <v>895</v>
      </c>
      <c r="J141" s="2">
        <v>7</v>
      </c>
    </row>
    <row r="142" spans="1:10">
      <c r="A142" s="2" t="s">
        <v>306</v>
      </c>
      <c r="B142" s="2" t="s">
        <v>70</v>
      </c>
      <c r="C142" s="2" t="s">
        <v>12</v>
      </c>
      <c r="D142" s="2" t="s">
        <v>307</v>
      </c>
      <c r="E142" s="2">
        <v>798</v>
      </c>
      <c r="F142" s="3">
        <v>46139</v>
      </c>
      <c r="G142" s="3">
        <v>46152</v>
      </c>
      <c r="H142" s="3">
        <v>46149</v>
      </c>
      <c r="I142" s="2">
        <v>795</v>
      </c>
      <c r="J142" s="2">
        <v>3</v>
      </c>
    </row>
    <row r="143" spans="1:10">
      <c r="A143" s="2" t="s">
        <v>308</v>
      </c>
      <c r="B143" s="2" t="s">
        <v>54</v>
      </c>
      <c r="C143" s="2" t="s">
        <v>16</v>
      </c>
      <c r="D143" s="2" t="s">
        <v>242</v>
      </c>
      <c r="E143" s="2">
        <v>249</v>
      </c>
      <c r="F143" s="3">
        <v>46094</v>
      </c>
      <c r="G143" s="3">
        <v>46100</v>
      </c>
      <c r="H143" s="3">
        <v>46100</v>
      </c>
      <c r="I143" s="2">
        <v>253</v>
      </c>
      <c r="J143" s="2">
        <v>2</v>
      </c>
    </row>
    <row r="144" spans="1:10">
      <c r="A144" s="2" t="s">
        <v>309</v>
      </c>
      <c r="B144" s="2" t="s">
        <v>26</v>
      </c>
      <c r="C144" s="2" t="s">
        <v>12</v>
      </c>
      <c r="D144" s="2" t="s">
        <v>310</v>
      </c>
      <c r="E144" s="2">
        <v>684</v>
      </c>
      <c r="F144" s="3">
        <v>46144</v>
      </c>
      <c r="G144" s="3">
        <v>46158</v>
      </c>
      <c r="H144" s="3">
        <v>46156</v>
      </c>
      <c r="I144" s="2">
        <v>599</v>
      </c>
      <c r="J144" s="2">
        <v>12</v>
      </c>
    </row>
    <row r="145" spans="1:10">
      <c r="A145" s="2" t="s">
        <v>311</v>
      </c>
      <c r="B145" s="2" t="s">
        <v>120</v>
      </c>
      <c r="C145" s="2" t="s">
        <v>12</v>
      </c>
      <c r="D145" s="2" t="s">
        <v>312</v>
      </c>
      <c r="E145" s="2">
        <v>678</v>
      </c>
      <c r="F145" s="3">
        <v>46055</v>
      </c>
      <c r="G145" s="3">
        <v>46064</v>
      </c>
      <c r="H145" s="3">
        <v>46062</v>
      </c>
      <c r="I145" s="2">
        <v>599</v>
      </c>
      <c r="J145" s="2">
        <v>16</v>
      </c>
    </row>
    <row r="146" spans="1:10">
      <c r="A146" s="2" t="s">
        <v>313</v>
      </c>
      <c r="B146" s="2" t="s">
        <v>35</v>
      </c>
      <c r="C146" s="2" t="s">
        <v>23</v>
      </c>
      <c r="D146" s="2" t="s">
        <v>314</v>
      </c>
      <c r="E146" s="2">
        <v>572</v>
      </c>
      <c r="F146" s="3">
        <v>46117</v>
      </c>
      <c r="G146" s="3">
        <v>46131</v>
      </c>
      <c r="H146" s="3">
        <v>46138</v>
      </c>
      <c r="I146" s="2">
        <v>483</v>
      </c>
      <c r="J146" s="2">
        <v>12</v>
      </c>
    </row>
    <row r="147" spans="1:10">
      <c r="A147" s="2" t="s">
        <v>315</v>
      </c>
      <c r="B147" s="2" t="s">
        <v>52</v>
      </c>
      <c r="C147" s="2" t="s">
        <v>16</v>
      </c>
      <c r="D147" s="2" t="s">
        <v>316</v>
      </c>
      <c r="E147" s="2">
        <v>250</v>
      </c>
      <c r="F147" s="3">
        <v>46149</v>
      </c>
      <c r="G147" s="3">
        <v>46159</v>
      </c>
      <c r="H147" s="3">
        <v>46158</v>
      </c>
      <c r="I147" s="2">
        <v>247</v>
      </c>
      <c r="J147" s="2">
        <v>1</v>
      </c>
    </row>
    <row r="148" spans="1:10">
      <c r="A148" s="2" t="s">
        <v>317</v>
      </c>
      <c r="B148" s="2" t="s">
        <v>52</v>
      </c>
      <c r="C148" s="2" t="s">
        <v>16</v>
      </c>
      <c r="D148" s="2" t="s">
        <v>318</v>
      </c>
      <c r="E148" s="2">
        <v>663</v>
      </c>
      <c r="F148" s="3">
        <v>46147</v>
      </c>
      <c r="G148" s="3">
        <v>46161</v>
      </c>
      <c r="H148" s="3">
        <v>46158</v>
      </c>
      <c r="I148" s="2">
        <v>618</v>
      </c>
      <c r="J148" s="2">
        <v>5</v>
      </c>
    </row>
    <row r="149" spans="1:10">
      <c r="A149" s="2" t="s">
        <v>319</v>
      </c>
      <c r="B149" s="2" t="s">
        <v>32</v>
      </c>
      <c r="C149" s="2" t="s">
        <v>16</v>
      </c>
      <c r="D149" s="2" t="s">
        <v>320</v>
      </c>
      <c r="E149" s="2">
        <v>728</v>
      </c>
      <c r="F149" s="3">
        <v>46141</v>
      </c>
      <c r="G149" s="3">
        <v>46155</v>
      </c>
      <c r="H149" s="3">
        <v>46155</v>
      </c>
      <c r="I149" s="2">
        <v>724</v>
      </c>
      <c r="J149" s="2">
        <v>34</v>
      </c>
    </row>
    <row r="150" spans="1:10">
      <c r="A150" s="2" t="s">
        <v>321</v>
      </c>
      <c r="B150" s="2" t="s">
        <v>35</v>
      </c>
      <c r="C150" s="2" t="s">
        <v>322</v>
      </c>
      <c r="D150" s="2" t="s">
        <v>323</v>
      </c>
      <c r="E150" s="2">
        <v>842</v>
      </c>
      <c r="F150" s="3">
        <v>46107</v>
      </c>
      <c r="G150" s="3">
        <v>46113</v>
      </c>
      <c r="H150" s="3">
        <v>46122</v>
      </c>
      <c r="I150" s="2">
        <v>836</v>
      </c>
      <c r="J150" s="2">
        <v>53</v>
      </c>
    </row>
    <row r="151" spans="1:10">
      <c r="A151" s="2" t="s">
        <v>324</v>
      </c>
      <c r="B151" s="2" t="s">
        <v>325</v>
      </c>
      <c r="C151" s="2" t="s">
        <v>16</v>
      </c>
      <c r="D151" s="2" t="s">
        <v>283</v>
      </c>
      <c r="E151" s="2">
        <v>605</v>
      </c>
      <c r="F151" s="3">
        <v>46156</v>
      </c>
      <c r="G151" s="3">
        <v>46170</v>
      </c>
      <c r="H151" s="3">
        <v>46173</v>
      </c>
      <c r="I151" s="2">
        <v>615</v>
      </c>
      <c r="J151" s="2">
        <v>17</v>
      </c>
    </row>
    <row r="152" spans="1:10">
      <c r="A152" s="2" t="s">
        <v>326</v>
      </c>
      <c r="B152" s="2" t="s">
        <v>327</v>
      </c>
      <c r="C152" s="2" t="s">
        <v>16</v>
      </c>
      <c r="D152" s="2" t="s">
        <v>209</v>
      </c>
      <c r="E152" s="2">
        <v>316</v>
      </c>
      <c r="F152" s="3">
        <v>46057</v>
      </c>
      <c r="G152" s="3">
        <v>46072</v>
      </c>
      <c r="H152" s="3">
        <v>46070</v>
      </c>
      <c r="I152" s="2">
        <v>311</v>
      </c>
      <c r="J152" s="2">
        <v>8</v>
      </c>
    </row>
    <row r="153" spans="1:10">
      <c r="A153" s="2" t="s">
        <v>328</v>
      </c>
      <c r="B153" s="2" t="s">
        <v>329</v>
      </c>
      <c r="C153" s="2" t="s">
        <v>12</v>
      </c>
      <c r="D153" s="2" t="s">
        <v>330</v>
      </c>
      <c r="E153" s="2">
        <v>238</v>
      </c>
      <c r="F153" s="3">
        <v>46115</v>
      </c>
      <c r="G153" s="3">
        <v>46122</v>
      </c>
      <c r="H153" s="3">
        <v>46131</v>
      </c>
      <c r="I153" s="2">
        <v>240</v>
      </c>
      <c r="J153" s="2">
        <v>5</v>
      </c>
    </row>
    <row r="154" spans="1:10">
      <c r="A154" s="2" t="s">
        <v>331</v>
      </c>
      <c r="B154" s="2" t="s">
        <v>22</v>
      </c>
      <c r="C154" s="2" t="s">
        <v>23</v>
      </c>
      <c r="D154" s="2" t="s">
        <v>332</v>
      </c>
      <c r="E154" s="2">
        <v>585</v>
      </c>
      <c r="F154" s="3">
        <v>46096</v>
      </c>
      <c r="G154" s="3">
        <v>46106</v>
      </c>
      <c r="H154" s="3">
        <v>46104</v>
      </c>
      <c r="I154" s="2">
        <v>554</v>
      </c>
      <c r="J154" s="2">
        <v>13</v>
      </c>
    </row>
    <row r="155" spans="1:10">
      <c r="A155" s="2" t="s">
        <v>333</v>
      </c>
      <c r="B155" s="2" t="s">
        <v>32</v>
      </c>
      <c r="C155" s="2" t="s">
        <v>23</v>
      </c>
      <c r="D155" s="2" t="s">
        <v>262</v>
      </c>
      <c r="E155" s="2">
        <v>162</v>
      </c>
      <c r="F155" s="3">
        <v>46050</v>
      </c>
      <c r="G155" s="3">
        <v>46061</v>
      </c>
      <c r="H155" s="3">
        <v>46058</v>
      </c>
      <c r="I155" s="2">
        <v>141</v>
      </c>
      <c r="J155" s="2">
        <v>-4</v>
      </c>
    </row>
    <row r="156" spans="1:10">
      <c r="A156" s="2" t="s">
        <v>334</v>
      </c>
      <c r="B156" s="2" t="s">
        <v>177</v>
      </c>
      <c r="C156" s="2" t="s">
        <v>23</v>
      </c>
      <c r="D156" s="2" t="s">
        <v>219</v>
      </c>
      <c r="E156" s="2">
        <v>999</v>
      </c>
      <c r="F156" s="3">
        <v>46060</v>
      </c>
      <c r="G156" s="3">
        <v>46065</v>
      </c>
      <c r="H156" s="3">
        <v>46063</v>
      </c>
      <c r="I156" s="2">
        <v>1005</v>
      </c>
      <c r="J156" s="2">
        <v>22</v>
      </c>
    </row>
    <row r="157" spans="1:10">
      <c r="A157" s="2" t="s">
        <v>335</v>
      </c>
      <c r="B157" s="2" t="s">
        <v>32</v>
      </c>
      <c r="C157" s="2" t="s">
        <v>12</v>
      </c>
      <c r="D157" s="2" t="s">
        <v>336</v>
      </c>
      <c r="E157" s="2">
        <v>594</v>
      </c>
      <c r="F157" s="3">
        <v>46037</v>
      </c>
      <c r="G157" s="3">
        <v>46052</v>
      </c>
      <c r="H157" s="3">
        <v>46052</v>
      </c>
      <c r="I157" s="2">
        <v>598</v>
      </c>
      <c r="J157" s="2">
        <v>5</v>
      </c>
    </row>
    <row r="158" spans="1:10">
      <c r="A158" s="2" t="s">
        <v>337</v>
      </c>
      <c r="B158" s="2" t="s">
        <v>338</v>
      </c>
      <c r="C158" s="2" t="s">
        <v>12</v>
      </c>
      <c r="D158" s="2" t="s">
        <v>339</v>
      </c>
      <c r="E158" s="2">
        <v>765</v>
      </c>
      <c r="F158" s="3">
        <v>46114</v>
      </c>
      <c r="G158" s="3">
        <v>46121</v>
      </c>
      <c r="H158" s="3">
        <v>46120</v>
      </c>
      <c r="I158" s="2">
        <v>656</v>
      </c>
      <c r="J158" s="2">
        <v>51</v>
      </c>
    </row>
    <row r="159" spans="1:10">
      <c r="A159" s="2" t="s">
        <v>340</v>
      </c>
      <c r="B159" s="2" t="s">
        <v>22</v>
      </c>
      <c r="C159" s="2" t="s">
        <v>12</v>
      </c>
      <c r="D159" s="2" t="s">
        <v>341</v>
      </c>
      <c r="E159" s="2">
        <v>387</v>
      </c>
      <c r="F159" s="3">
        <v>46165</v>
      </c>
      <c r="G159" s="3">
        <v>46174</v>
      </c>
      <c r="H159" s="3">
        <v>46179</v>
      </c>
      <c r="I159" s="2">
        <v>382</v>
      </c>
      <c r="J159" s="2">
        <v>11</v>
      </c>
    </row>
    <row r="160" spans="1:10">
      <c r="A160" s="2" t="s">
        <v>342</v>
      </c>
      <c r="B160" s="2" t="s">
        <v>49</v>
      </c>
      <c r="C160" s="2" t="s">
        <v>23</v>
      </c>
      <c r="D160" s="2" t="s">
        <v>343</v>
      </c>
      <c r="E160" s="2">
        <v>659</v>
      </c>
      <c r="F160" s="3">
        <v>46072</v>
      </c>
      <c r="G160" s="3">
        <v>46079</v>
      </c>
      <c r="H160" s="3">
        <v>46077</v>
      </c>
      <c r="I160" s="2">
        <v>666</v>
      </c>
      <c r="J160" s="2">
        <v>3</v>
      </c>
    </row>
    <row r="161" spans="1:10">
      <c r="A161" s="2" t="s">
        <v>344</v>
      </c>
      <c r="B161" s="2" t="s">
        <v>35</v>
      </c>
      <c r="C161" s="2" t="s">
        <v>23</v>
      </c>
      <c r="D161" s="2" t="s">
        <v>61</v>
      </c>
      <c r="E161" s="2">
        <v>957</v>
      </c>
      <c r="F161" s="3">
        <v>46153</v>
      </c>
      <c r="G161" s="3">
        <v>46161</v>
      </c>
      <c r="H161" s="3">
        <v>46160</v>
      </c>
      <c r="I161" s="2">
        <v>971</v>
      </c>
      <c r="J161" s="2">
        <v>56</v>
      </c>
    </row>
    <row r="162" spans="1:10">
      <c r="A162" s="2" t="s">
        <v>345</v>
      </c>
      <c r="B162" s="2" t="s">
        <v>29</v>
      </c>
      <c r="C162" s="2" t="s">
        <v>12</v>
      </c>
      <c r="D162" s="2" t="s">
        <v>339</v>
      </c>
      <c r="E162" s="2">
        <v>882</v>
      </c>
      <c r="F162" s="3">
        <v>46121</v>
      </c>
      <c r="G162" s="3">
        <v>46126</v>
      </c>
      <c r="H162" s="3">
        <v>46131</v>
      </c>
      <c r="I162" s="2">
        <v>884</v>
      </c>
      <c r="J162" s="2">
        <v>4</v>
      </c>
    </row>
    <row r="163" spans="1:10">
      <c r="A163" s="2" t="s">
        <v>346</v>
      </c>
      <c r="B163" s="2" t="s">
        <v>117</v>
      </c>
      <c r="C163" s="2" t="s">
        <v>23</v>
      </c>
      <c r="D163" s="2" t="s">
        <v>347</v>
      </c>
      <c r="E163" s="2">
        <v>494</v>
      </c>
      <c r="F163" s="3">
        <v>46061</v>
      </c>
      <c r="G163" s="3">
        <v>46069</v>
      </c>
      <c r="H163" s="3">
        <v>46068</v>
      </c>
      <c r="I163" s="2">
        <v>486</v>
      </c>
      <c r="J163" s="2">
        <v>13</v>
      </c>
    </row>
    <row r="164" spans="1:10">
      <c r="A164" s="2" t="s">
        <v>348</v>
      </c>
      <c r="B164" s="2" t="s">
        <v>120</v>
      </c>
      <c r="C164" s="2" t="s">
        <v>12</v>
      </c>
      <c r="D164" s="2" t="s">
        <v>349</v>
      </c>
      <c r="E164" s="2">
        <v>556</v>
      </c>
      <c r="F164" s="3">
        <v>46055</v>
      </c>
      <c r="G164" s="3">
        <v>46060</v>
      </c>
      <c r="H164" s="3">
        <v>46069</v>
      </c>
      <c r="I164" s="2">
        <v>551</v>
      </c>
      <c r="J164" s="2">
        <v>14</v>
      </c>
    </row>
    <row r="165" spans="1:10">
      <c r="A165" s="2" t="s">
        <v>350</v>
      </c>
      <c r="B165" s="2" t="s">
        <v>351</v>
      </c>
      <c r="C165" s="2" t="s">
        <v>12</v>
      </c>
      <c r="D165" s="2" t="s">
        <v>352</v>
      </c>
      <c r="E165" s="2">
        <v>524</v>
      </c>
      <c r="F165" s="3">
        <v>46154</v>
      </c>
      <c r="G165" s="3">
        <v>46167</v>
      </c>
      <c r="H165" s="3">
        <v>46169</v>
      </c>
      <c r="I165" s="2">
        <v>522</v>
      </c>
      <c r="J165" s="2">
        <v>1</v>
      </c>
    </row>
    <row r="166" spans="1:10">
      <c r="A166" s="2" t="s">
        <v>353</v>
      </c>
      <c r="B166" s="2" t="s">
        <v>49</v>
      </c>
      <c r="C166" s="2" t="s">
        <v>12</v>
      </c>
      <c r="D166" s="2" t="s">
        <v>354</v>
      </c>
      <c r="E166" s="2">
        <v>471</v>
      </c>
      <c r="F166" s="3">
        <v>46090</v>
      </c>
      <c r="G166" s="3">
        <v>46099</v>
      </c>
      <c r="H166" s="3">
        <v>46099</v>
      </c>
      <c r="I166" s="2">
        <v>472</v>
      </c>
      <c r="J166" s="2">
        <v>1</v>
      </c>
    </row>
    <row r="167" spans="1:10">
      <c r="A167" s="2" t="s">
        <v>355</v>
      </c>
      <c r="B167" s="2" t="s">
        <v>43</v>
      </c>
      <c r="C167" s="2" t="s">
        <v>12</v>
      </c>
      <c r="D167" s="2" t="s">
        <v>356</v>
      </c>
      <c r="E167" s="2">
        <v>961</v>
      </c>
      <c r="F167" s="3">
        <v>46063</v>
      </c>
      <c r="G167" s="3">
        <v>46078</v>
      </c>
      <c r="H167" s="3">
        <v>46078</v>
      </c>
      <c r="I167" s="2">
        <v>954</v>
      </c>
      <c r="J167" s="2">
        <v>66</v>
      </c>
    </row>
    <row r="168" spans="1:10">
      <c r="A168" s="2" t="s">
        <v>357</v>
      </c>
      <c r="B168" s="2" t="s">
        <v>81</v>
      </c>
      <c r="C168" s="2" t="s">
        <v>16</v>
      </c>
      <c r="D168" s="2" t="s">
        <v>17</v>
      </c>
      <c r="E168" s="2">
        <v>994</v>
      </c>
      <c r="F168" s="3">
        <v>46107</v>
      </c>
      <c r="G168" s="3">
        <v>46114</v>
      </c>
      <c r="H168" s="3">
        <v>46117</v>
      </c>
      <c r="I168" s="2">
        <v>936</v>
      </c>
      <c r="J168" s="2">
        <v>14</v>
      </c>
    </row>
    <row r="169" spans="1:10">
      <c r="A169" s="2" t="s">
        <v>358</v>
      </c>
      <c r="B169" s="2" t="s">
        <v>70</v>
      </c>
      <c r="C169" s="2" t="s">
        <v>12</v>
      </c>
      <c r="D169" s="2" t="s">
        <v>341</v>
      </c>
      <c r="E169" s="2">
        <v>309</v>
      </c>
      <c r="F169" s="3">
        <v>46175</v>
      </c>
      <c r="G169" s="3">
        <v>46187</v>
      </c>
      <c r="H169" s="3">
        <v>46186</v>
      </c>
      <c r="I169" s="2">
        <v>307</v>
      </c>
      <c r="J169" s="2">
        <v>3</v>
      </c>
    </row>
    <row r="170" spans="1:10">
      <c r="A170" s="2" t="s">
        <v>359</v>
      </c>
      <c r="B170" s="2" t="s">
        <v>64</v>
      </c>
      <c r="C170" s="2" t="s">
        <v>12</v>
      </c>
      <c r="D170" s="2" t="s">
        <v>148</v>
      </c>
      <c r="E170" s="2">
        <v>995</v>
      </c>
      <c r="F170" s="3">
        <v>46160</v>
      </c>
      <c r="G170" s="3">
        <v>46175</v>
      </c>
      <c r="H170" s="3">
        <v>46177</v>
      </c>
      <c r="I170" s="2">
        <v>835</v>
      </c>
      <c r="J170" s="2">
        <v>4</v>
      </c>
    </row>
    <row r="171" spans="1:10">
      <c r="A171" s="2" t="s">
        <v>360</v>
      </c>
      <c r="B171" s="2" t="s">
        <v>120</v>
      </c>
      <c r="C171" s="2" t="s">
        <v>23</v>
      </c>
      <c r="D171" s="2" t="s">
        <v>361</v>
      </c>
      <c r="E171" s="2">
        <v>531</v>
      </c>
      <c r="F171" s="3">
        <v>46171</v>
      </c>
      <c r="G171" s="3">
        <v>46179</v>
      </c>
      <c r="H171" s="3">
        <v>46178</v>
      </c>
      <c r="I171" s="2">
        <v>485</v>
      </c>
      <c r="J171" s="2">
        <v>25</v>
      </c>
    </row>
    <row r="172" spans="1:10">
      <c r="A172" s="2" t="s">
        <v>362</v>
      </c>
      <c r="B172" s="2" t="s">
        <v>363</v>
      </c>
      <c r="C172" s="2" t="s">
        <v>23</v>
      </c>
      <c r="D172" s="2" t="s">
        <v>364</v>
      </c>
      <c r="E172" s="2">
        <v>201</v>
      </c>
      <c r="F172" s="3">
        <v>46175</v>
      </c>
      <c r="G172" s="3">
        <v>46190</v>
      </c>
      <c r="H172" s="3">
        <v>46198</v>
      </c>
      <c r="I172" s="2">
        <v>200</v>
      </c>
      <c r="J172" s="2">
        <v>1</v>
      </c>
    </row>
    <row r="173" spans="1:10">
      <c r="A173" s="2" t="s">
        <v>365</v>
      </c>
      <c r="B173" s="2" t="s">
        <v>218</v>
      </c>
      <c r="C173" s="2" t="s">
        <v>16</v>
      </c>
      <c r="D173" s="2" t="s">
        <v>366</v>
      </c>
      <c r="E173" s="2">
        <v>246</v>
      </c>
      <c r="F173" s="3">
        <v>46121</v>
      </c>
      <c r="G173" s="3">
        <v>46128</v>
      </c>
      <c r="H173" s="3">
        <v>46126</v>
      </c>
      <c r="I173" s="2">
        <v>250</v>
      </c>
      <c r="J173" s="2">
        <v>19</v>
      </c>
    </row>
    <row r="174" spans="1:10">
      <c r="A174" s="2" t="s">
        <v>367</v>
      </c>
      <c r="B174" s="2" t="s">
        <v>29</v>
      </c>
      <c r="C174" s="2" t="s">
        <v>12</v>
      </c>
      <c r="D174" s="2" t="s">
        <v>368</v>
      </c>
      <c r="E174" s="2">
        <v>212</v>
      </c>
      <c r="F174" s="3">
        <v>46103</v>
      </c>
      <c r="G174" s="3">
        <v>46108</v>
      </c>
      <c r="H174" s="3">
        <v>46105</v>
      </c>
      <c r="I174" s="2">
        <v>206</v>
      </c>
      <c r="J174" s="2">
        <v>1</v>
      </c>
    </row>
    <row r="175" spans="1:10">
      <c r="A175" s="2" t="s">
        <v>369</v>
      </c>
      <c r="B175" s="2" t="s">
        <v>67</v>
      </c>
      <c r="C175" s="2" t="s">
        <v>12</v>
      </c>
      <c r="D175" s="2" t="s">
        <v>121</v>
      </c>
      <c r="E175" s="2">
        <v>87</v>
      </c>
      <c r="F175" s="3">
        <v>46037</v>
      </c>
      <c r="G175" s="3">
        <v>46046</v>
      </c>
      <c r="H175" s="3">
        <v>46054</v>
      </c>
      <c r="I175" s="2">
        <v>86</v>
      </c>
      <c r="J175" s="2">
        <v>2</v>
      </c>
    </row>
    <row r="176" spans="1:10">
      <c r="A176" s="2" t="s">
        <v>370</v>
      </c>
      <c r="B176" s="2" t="s">
        <v>371</v>
      </c>
      <c r="C176" s="2" t="s">
        <v>23</v>
      </c>
      <c r="D176" s="2" t="s">
        <v>372</v>
      </c>
      <c r="E176" s="2">
        <v>226</v>
      </c>
      <c r="F176" s="3">
        <v>46095</v>
      </c>
      <c r="G176" s="3">
        <v>46101</v>
      </c>
      <c r="H176" s="3">
        <v>46106</v>
      </c>
      <c r="I176" s="2">
        <v>203</v>
      </c>
      <c r="J176" s="2">
        <v>10</v>
      </c>
    </row>
    <row r="177" spans="1:10">
      <c r="A177" s="2" t="s">
        <v>373</v>
      </c>
      <c r="B177" s="2" t="s">
        <v>67</v>
      </c>
      <c r="C177" s="2" t="s">
        <v>16</v>
      </c>
      <c r="D177" s="2" t="s">
        <v>164</v>
      </c>
      <c r="E177" s="2">
        <v>974</v>
      </c>
      <c r="F177" s="3">
        <v>46048</v>
      </c>
      <c r="G177" s="3">
        <v>46062</v>
      </c>
      <c r="H177" s="3">
        <v>46059</v>
      </c>
      <c r="I177" s="2">
        <v>852</v>
      </c>
      <c r="J177" s="2">
        <v>35</v>
      </c>
    </row>
    <row r="178" spans="1:10">
      <c r="A178" s="2" t="s">
        <v>374</v>
      </c>
      <c r="B178" s="2" t="s">
        <v>375</v>
      </c>
      <c r="C178" s="2" t="s">
        <v>12</v>
      </c>
      <c r="D178" s="2" t="s">
        <v>376</v>
      </c>
      <c r="E178" s="2">
        <v>350</v>
      </c>
      <c r="F178" s="3">
        <v>46050</v>
      </c>
      <c r="G178" s="3">
        <v>46056</v>
      </c>
      <c r="H178" s="3">
        <v>46055</v>
      </c>
      <c r="I178" s="2">
        <v>346</v>
      </c>
      <c r="J178" s="2">
        <v>19</v>
      </c>
    </row>
    <row r="179" spans="1:10">
      <c r="A179" s="2" t="s">
        <v>377</v>
      </c>
      <c r="B179" s="2" t="s">
        <v>378</v>
      </c>
      <c r="C179" s="2" t="s">
        <v>12</v>
      </c>
      <c r="D179" s="2" t="s">
        <v>379</v>
      </c>
      <c r="E179" s="2">
        <v>621</v>
      </c>
      <c r="F179" s="3">
        <v>46152</v>
      </c>
      <c r="G179" s="3">
        <v>46159</v>
      </c>
      <c r="H179" s="3">
        <v>46162</v>
      </c>
      <c r="I179" s="2">
        <v>524</v>
      </c>
      <c r="J179" s="2">
        <v>1</v>
      </c>
    </row>
    <row r="180" spans="1:10">
      <c r="A180" s="2" t="s">
        <v>380</v>
      </c>
      <c r="B180" s="2" t="s">
        <v>100</v>
      </c>
      <c r="C180" s="2" t="s">
        <v>16</v>
      </c>
      <c r="D180" s="2" t="s">
        <v>381</v>
      </c>
      <c r="E180" s="2">
        <v>974</v>
      </c>
      <c r="F180" s="3">
        <v>46114</v>
      </c>
      <c r="G180" s="3">
        <v>46122</v>
      </c>
      <c r="H180" s="3">
        <v>46122</v>
      </c>
      <c r="I180" s="2">
        <v>960</v>
      </c>
      <c r="J180" s="2">
        <v>13</v>
      </c>
    </row>
    <row r="181" spans="1:10">
      <c r="A181" s="2" t="s">
        <v>382</v>
      </c>
      <c r="B181" s="2" t="s">
        <v>70</v>
      </c>
      <c r="C181" s="2" t="s">
        <v>16</v>
      </c>
      <c r="D181" s="2" t="s">
        <v>383</v>
      </c>
      <c r="E181" s="2">
        <v>190</v>
      </c>
      <c r="F181" s="3">
        <v>46146</v>
      </c>
      <c r="G181" s="3">
        <v>46153</v>
      </c>
      <c r="H181" s="3">
        <v>46157</v>
      </c>
      <c r="I181" s="2">
        <v>186</v>
      </c>
      <c r="J181" s="2">
        <v>1</v>
      </c>
    </row>
    <row r="182" spans="1:10">
      <c r="A182" s="2" t="s">
        <v>384</v>
      </c>
      <c r="B182" s="2" t="s">
        <v>67</v>
      </c>
      <c r="C182" s="2" t="s">
        <v>12</v>
      </c>
      <c r="D182" s="2" t="s">
        <v>385</v>
      </c>
      <c r="E182" s="2">
        <v>375</v>
      </c>
      <c r="F182" s="3">
        <v>46134</v>
      </c>
      <c r="G182" s="3">
        <v>46147</v>
      </c>
      <c r="H182" s="3">
        <v>46153</v>
      </c>
      <c r="I182" s="2">
        <v>372</v>
      </c>
      <c r="J182" s="2">
        <v>1</v>
      </c>
    </row>
    <row r="183" spans="1:10">
      <c r="A183" s="2" t="s">
        <v>386</v>
      </c>
      <c r="B183" s="2" t="s">
        <v>70</v>
      </c>
      <c r="C183" s="2" t="s">
        <v>12</v>
      </c>
      <c r="D183" s="2" t="s">
        <v>30</v>
      </c>
      <c r="E183" s="2">
        <v>133</v>
      </c>
      <c r="F183" s="3">
        <v>46054</v>
      </c>
      <c r="G183" s="3">
        <v>46069</v>
      </c>
      <c r="H183" s="3">
        <v>46069</v>
      </c>
      <c r="I183" s="2">
        <v>134</v>
      </c>
      <c r="J183" s="2">
        <v>1</v>
      </c>
    </row>
    <row r="184" spans="1:10">
      <c r="A184" s="2" t="s">
        <v>387</v>
      </c>
      <c r="B184" s="2" t="s">
        <v>26</v>
      </c>
      <c r="C184" s="2" t="s">
        <v>23</v>
      </c>
      <c r="D184" s="2" t="s">
        <v>388</v>
      </c>
      <c r="E184" s="2">
        <v>705</v>
      </c>
      <c r="F184" s="3">
        <v>46043</v>
      </c>
      <c r="G184" s="3">
        <v>46056</v>
      </c>
      <c r="H184" s="3">
        <v>46056</v>
      </c>
      <c r="I184" s="2">
        <v>706</v>
      </c>
      <c r="J184" s="2">
        <v>10</v>
      </c>
    </row>
    <row r="185" spans="1:10">
      <c r="A185" s="2" t="s">
        <v>389</v>
      </c>
      <c r="B185" s="2" t="s">
        <v>390</v>
      </c>
      <c r="C185" s="2" t="s">
        <v>12</v>
      </c>
      <c r="D185" s="2" t="s">
        <v>391</v>
      </c>
      <c r="E185" s="2">
        <v>381</v>
      </c>
      <c r="F185" s="3">
        <v>46143</v>
      </c>
      <c r="G185" s="3">
        <v>46152</v>
      </c>
      <c r="H185" s="3">
        <v>46152</v>
      </c>
      <c r="I185" s="2">
        <v>385</v>
      </c>
      <c r="J185" s="2">
        <v>10</v>
      </c>
    </row>
    <row r="186" spans="1:10">
      <c r="A186" s="2" t="s">
        <v>392</v>
      </c>
      <c r="B186" s="2" t="s">
        <v>43</v>
      </c>
      <c r="C186" s="2" t="s">
        <v>16</v>
      </c>
      <c r="D186" s="2" t="s">
        <v>393</v>
      </c>
      <c r="E186" s="2">
        <v>319</v>
      </c>
      <c r="F186" s="3">
        <v>46050</v>
      </c>
      <c r="G186" s="3">
        <v>46061</v>
      </c>
      <c r="H186" s="3">
        <v>46058</v>
      </c>
      <c r="I186" s="2">
        <v>314</v>
      </c>
      <c r="J186" s="2">
        <v>20</v>
      </c>
    </row>
    <row r="187" spans="1:10">
      <c r="A187" s="2" t="s">
        <v>394</v>
      </c>
      <c r="B187" s="2" t="s">
        <v>32</v>
      </c>
      <c r="C187" s="2" t="s">
        <v>16</v>
      </c>
      <c r="D187" s="2" t="s">
        <v>395</v>
      </c>
      <c r="E187" s="2">
        <v>864</v>
      </c>
      <c r="F187" s="3">
        <v>46066</v>
      </c>
      <c r="G187" s="3">
        <v>46075</v>
      </c>
      <c r="H187" s="3">
        <v>46072</v>
      </c>
      <c r="I187" s="2">
        <v>736</v>
      </c>
      <c r="J187" s="2">
        <v>42</v>
      </c>
    </row>
    <row r="188" spans="1:10">
      <c r="A188" s="2" t="s">
        <v>396</v>
      </c>
      <c r="B188" s="2" t="s">
        <v>43</v>
      </c>
      <c r="C188" s="2" t="s">
        <v>16</v>
      </c>
      <c r="D188" s="2" t="s">
        <v>316</v>
      </c>
      <c r="E188" s="2">
        <v>878</v>
      </c>
      <c r="F188" s="3">
        <v>46100</v>
      </c>
      <c r="G188" s="3">
        <v>46115</v>
      </c>
      <c r="H188" s="3">
        <v>46118</v>
      </c>
      <c r="I188" s="2">
        <v>889</v>
      </c>
      <c r="J188" s="2">
        <v>37</v>
      </c>
    </row>
    <row r="189" spans="1:10">
      <c r="A189" s="2" t="s">
        <v>397</v>
      </c>
      <c r="B189" s="2" t="s">
        <v>100</v>
      </c>
      <c r="C189" s="2" t="s">
        <v>16</v>
      </c>
      <c r="D189" s="2" t="s">
        <v>398</v>
      </c>
      <c r="E189" s="2">
        <v>848</v>
      </c>
      <c r="F189" s="3">
        <v>46054</v>
      </c>
      <c r="G189" s="3">
        <v>46066</v>
      </c>
      <c r="H189" s="3">
        <v>46064</v>
      </c>
      <c r="I189" s="2">
        <v>805</v>
      </c>
      <c r="J189" s="2">
        <v>8</v>
      </c>
    </row>
    <row r="190" spans="1:10">
      <c r="A190" s="2" t="s">
        <v>399</v>
      </c>
      <c r="B190" s="2" t="s">
        <v>64</v>
      </c>
      <c r="C190" s="2" t="s">
        <v>12</v>
      </c>
      <c r="D190" s="2" t="s">
        <v>68</v>
      </c>
      <c r="E190" s="2">
        <v>539</v>
      </c>
      <c r="F190" s="3">
        <v>46100</v>
      </c>
      <c r="G190" s="3">
        <v>46111</v>
      </c>
      <c r="H190" s="3">
        <v>46120</v>
      </c>
      <c r="I190" s="2">
        <v>536</v>
      </c>
      <c r="J190" s="2">
        <v>5</v>
      </c>
    </row>
    <row r="191" spans="1:10">
      <c r="A191" s="2" t="s">
        <v>400</v>
      </c>
      <c r="B191" s="2" t="s">
        <v>22</v>
      </c>
      <c r="C191" s="2" t="s">
        <v>16</v>
      </c>
      <c r="D191" s="2" t="s">
        <v>401</v>
      </c>
      <c r="E191" s="2">
        <v>695</v>
      </c>
      <c r="F191" s="3">
        <v>46034</v>
      </c>
      <c r="G191" s="3">
        <v>46046</v>
      </c>
      <c r="H191" s="3">
        <v>46050</v>
      </c>
      <c r="I191" s="2">
        <v>658</v>
      </c>
      <c r="J191" s="2">
        <v>55</v>
      </c>
    </row>
    <row r="192" spans="1:10">
      <c r="A192" s="2" t="s">
        <v>402</v>
      </c>
      <c r="B192" s="2" t="s">
        <v>52</v>
      </c>
      <c r="C192" s="2" t="s">
        <v>12</v>
      </c>
      <c r="D192" s="2" t="s">
        <v>403</v>
      </c>
      <c r="E192" s="2">
        <v>745</v>
      </c>
      <c r="F192" s="3">
        <v>46103</v>
      </c>
      <c r="G192" s="3">
        <v>46111</v>
      </c>
      <c r="H192" s="3">
        <v>46109</v>
      </c>
      <c r="I192" s="2">
        <v>736</v>
      </c>
      <c r="J192" s="2">
        <v>14</v>
      </c>
    </row>
    <row r="193" spans="1:10">
      <c r="A193" s="2" t="s">
        <v>404</v>
      </c>
      <c r="B193" s="2" t="s">
        <v>52</v>
      </c>
      <c r="C193" s="2" t="s">
        <v>16</v>
      </c>
      <c r="D193" s="2" t="s">
        <v>405</v>
      </c>
      <c r="E193" s="2">
        <v>466</v>
      </c>
      <c r="F193" s="3">
        <v>46097</v>
      </c>
      <c r="G193" s="3">
        <v>46112</v>
      </c>
      <c r="H193" s="3">
        <v>46121</v>
      </c>
      <c r="I193" s="2">
        <v>468</v>
      </c>
      <c r="J193" s="2">
        <v>7</v>
      </c>
    </row>
    <row r="194" spans="1:10">
      <c r="A194" s="2" t="s">
        <v>406</v>
      </c>
      <c r="B194" s="2" t="s">
        <v>52</v>
      </c>
      <c r="C194" s="2" t="s">
        <v>12</v>
      </c>
      <c r="D194" s="2" t="s">
        <v>407</v>
      </c>
      <c r="E194" s="2">
        <v>483</v>
      </c>
      <c r="F194" s="3">
        <v>46074</v>
      </c>
      <c r="G194" s="3">
        <v>46081</v>
      </c>
      <c r="H194" s="3">
        <v>46081</v>
      </c>
      <c r="I194" s="2">
        <v>490</v>
      </c>
      <c r="J194" s="2">
        <v>13</v>
      </c>
    </row>
    <row r="195" spans="1:10">
      <c r="A195" s="2" t="s">
        <v>408</v>
      </c>
      <c r="B195" s="2" t="s">
        <v>177</v>
      </c>
      <c r="C195" s="2" t="s">
        <v>12</v>
      </c>
      <c r="D195" s="2" t="s">
        <v>409</v>
      </c>
      <c r="E195" s="2">
        <v>689</v>
      </c>
      <c r="F195" s="3">
        <v>46037</v>
      </c>
      <c r="G195" s="3">
        <v>46047</v>
      </c>
      <c r="H195" s="3">
        <v>46047</v>
      </c>
      <c r="I195" s="2">
        <v>692</v>
      </c>
      <c r="J195" s="2">
        <v>25</v>
      </c>
    </row>
    <row r="196" spans="1:10">
      <c r="A196" s="2" t="s">
        <v>410</v>
      </c>
      <c r="B196" s="2" t="s">
        <v>49</v>
      </c>
      <c r="C196" s="2" t="s">
        <v>16</v>
      </c>
      <c r="D196" s="2" t="s">
        <v>366</v>
      </c>
      <c r="E196" s="2">
        <v>443</v>
      </c>
      <c r="F196" s="3">
        <v>46072</v>
      </c>
      <c r="G196" s="3">
        <v>46078</v>
      </c>
      <c r="H196" s="3">
        <v>46075</v>
      </c>
      <c r="I196" s="2">
        <v>442</v>
      </c>
      <c r="J196" s="2">
        <v>6</v>
      </c>
    </row>
    <row r="197" spans="1:10">
      <c r="A197" s="2" t="s">
        <v>411</v>
      </c>
      <c r="B197" s="2" t="s">
        <v>40</v>
      </c>
      <c r="C197" s="2" t="s">
        <v>23</v>
      </c>
      <c r="D197" s="2" t="s">
        <v>412</v>
      </c>
      <c r="E197" s="2">
        <v>490</v>
      </c>
      <c r="F197" s="3">
        <v>46147</v>
      </c>
      <c r="G197" s="3">
        <v>46152</v>
      </c>
      <c r="H197" s="3">
        <v>46150</v>
      </c>
      <c r="I197" s="2">
        <v>496</v>
      </c>
      <c r="J197" s="2">
        <v>1</v>
      </c>
    </row>
    <row r="198" spans="1:10">
      <c r="A198" s="2" t="s">
        <v>413</v>
      </c>
      <c r="B198" s="2" t="s">
        <v>32</v>
      </c>
      <c r="C198" s="2" t="s">
        <v>16</v>
      </c>
      <c r="D198" s="2" t="s">
        <v>414</v>
      </c>
      <c r="E198" s="2">
        <v>759</v>
      </c>
      <c r="F198" s="3">
        <v>46092</v>
      </c>
      <c r="G198" s="3">
        <v>46097</v>
      </c>
      <c r="H198" s="3">
        <v>46094</v>
      </c>
      <c r="I198" s="2">
        <v>759</v>
      </c>
      <c r="J198" s="2">
        <v>6</v>
      </c>
    </row>
    <row r="199" spans="1:10">
      <c r="A199" s="2" t="s">
        <v>415</v>
      </c>
      <c r="B199" s="2" t="s">
        <v>46</v>
      </c>
      <c r="C199" s="2" t="s">
        <v>16</v>
      </c>
      <c r="D199" s="2" t="s">
        <v>50</v>
      </c>
      <c r="E199" s="2">
        <v>451</v>
      </c>
      <c r="F199" s="3">
        <v>46074</v>
      </c>
      <c r="G199" s="3">
        <v>46081</v>
      </c>
      <c r="H199" s="3">
        <v>46080</v>
      </c>
      <c r="I199" s="2">
        <v>454</v>
      </c>
      <c r="J199" s="2">
        <v>31</v>
      </c>
    </row>
    <row r="200" spans="1:10">
      <c r="A200" s="2" t="s">
        <v>416</v>
      </c>
      <c r="B200" s="2" t="s">
        <v>417</v>
      </c>
      <c r="C200" s="2" t="s">
        <v>12</v>
      </c>
      <c r="D200" s="2" t="s">
        <v>171</v>
      </c>
      <c r="E200" s="2">
        <v>529</v>
      </c>
      <c r="F200" s="3">
        <v>46073</v>
      </c>
      <c r="G200" s="3">
        <v>46086</v>
      </c>
      <c r="H200" s="3">
        <v>46088</v>
      </c>
      <c r="I200" s="2">
        <v>522</v>
      </c>
      <c r="J200" s="2">
        <v>19</v>
      </c>
    </row>
    <row r="201" spans="1:10">
      <c r="A201" s="2" t="s">
        <v>418</v>
      </c>
      <c r="B201" s="2" t="s">
        <v>11</v>
      </c>
      <c r="C201" s="2" t="s">
        <v>12</v>
      </c>
      <c r="D201" s="2" t="s">
        <v>419</v>
      </c>
      <c r="E201" s="2">
        <v>716</v>
      </c>
      <c r="F201" s="3">
        <v>46058</v>
      </c>
      <c r="G201" s="3">
        <v>46065</v>
      </c>
      <c r="H201" s="3">
        <v>46064</v>
      </c>
      <c r="I201" s="2">
        <v>718</v>
      </c>
      <c r="J201" s="2">
        <v>11</v>
      </c>
    </row>
    <row r="202" spans="1:10">
      <c r="A202" s="2" t="s">
        <v>420</v>
      </c>
      <c r="B202" s="2" t="s">
        <v>120</v>
      </c>
      <c r="C202" s="2" t="s">
        <v>12</v>
      </c>
      <c r="D202" s="2" t="s">
        <v>421</v>
      </c>
      <c r="E202" s="2">
        <v>879</v>
      </c>
      <c r="F202" s="3">
        <v>46148</v>
      </c>
      <c r="G202" s="3">
        <v>46154</v>
      </c>
      <c r="H202" s="3">
        <v>46154</v>
      </c>
      <c r="I202" s="2">
        <v>888</v>
      </c>
      <c r="J202" s="2">
        <v>6</v>
      </c>
    </row>
    <row r="203" spans="1:10">
      <c r="A203" s="2" t="s">
        <v>422</v>
      </c>
      <c r="B203" s="2" t="s">
        <v>67</v>
      </c>
      <c r="C203" s="2" t="s">
        <v>23</v>
      </c>
      <c r="D203" s="2" t="s">
        <v>423</v>
      </c>
      <c r="E203" s="2">
        <v>202</v>
      </c>
      <c r="F203" s="3">
        <v>46113</v>
      </c>
      <c r="G203" s="3">
        <v>46126</v>
      </c>
      <c r="H203" s="3">
        <v>46123</v>
      </c>
      <c r="I203" s="2">
        <v>201</v>
      </c>
      <c r="J203" s="2">
        <v>7</v>
      </c>
    </row>
    <row r="204" spans="1:10">
      <c r="A204" s="2" t="s">
        <v>424</v>
      </c>
      <c r="B204" s="2" t="s">
        <v>40</v>
      </c>
      <c r="C204" s="2" t="s">
        <v>12</v>
      </c>
      <c r="D204" s="2" t="s">
        <v>96</v>
      </c>
      <c r="E204" s="2">
        <v>561</v>
      </c>
      <c r="F204" s="3">
        <v>46164</v>
      </c>
      <c r="G204" s="3">
        <v>46179</v>
      </c>
      <c r="H204" s="3">
        <v>46181</v>
      </c>
      <c r="I204" s="2">
        <v>555</v>
      </c>
      <c r="J204" s="2">
        <v>49</v>
      </c>
    </row>
    <row r="205" spans="1:10">
      <c r="A205" s="2" t="s">
        <v>425</v>
      </c>
      <c r="B205" s="2" t="s">
        <v>26</v>
      </c>
      <c r="C205" s="2" t="s">
        <v>16</v>
      </c>
      <c r="D205" s="2" t="s">
        <v>426</v>
      </c>
      <c r="E205" s="2">
        <v>994</v>
      </c>
      <c r="F205" s="3">
        <v>46082</v>
      </c>
      <c r="G205" s="3">
        <v>46093</v>
      </c>
      <c r="H205" s="3">
        <v>46091</v>
      </c>
      <c r="I205" s="2">
        <v>982</v>
      </c>
      <c r="J205" s="2">
        <v>27</v>
      </c>
    </row>
    <row r="206" spans="1:10">
      <c r="A206" s="2" t="s">
        <v>427</v>
      </c>
      <c r="B206" s="2" t="s">
        <v>120</v>
      </c>
      <c r="C206" s="2" t="s">
        <v>16</v>
      </c>
      <c r="D206" s="2" t="s">
        <v>428</v>
      </c>
      <c r="E206" s="2">
        <v>176</v>
      </c>
      <c r="F206" s="3">
        <v>46142</v>
      </c>
      <c r="G206" s="3">
        <v>46157</v>
      </c>
      <c r="H206" s="2"/>
      <c r="I206" s="2"/>
      <c r="J206" s="2"/>
    </row>
    <row r="207" spans="1:10">
      <c r="A207" s="2" t="s">
        <v>429</v>
      </c>
      <c r="B207" s="2" t="s">
        <v>430</v>
      </c>
      <c r="C207" s="2" t="s">
        <v>12</v>
      </c>
      <c r="D207" s="2" t="s">
        <v>260</v>
      </c>
      <c r="E207" s="2">
        <v>242</v>
      </c>
      <c r="F207" s="3">
        <v>46080</v>
      </c>
      <c r="G207" s="3">
        <v>46090</v>
      </c>
      <c r="H207" s="3">
        <v>46088</v>
      </c>
      <c r="I207" s="2">
        <v>242</v>
      </c>
      <c r="J207" s="2">
        <v>2</v>
      </c>
    </row>
    <row r="208" spans="1:10">
      <c r="A208" s="2" t="s">
        <v>431</v>
      </c>
      <c r="B208" s="2" t="s">
        <v>100</v>
      </c>
      <c r="C208" s="2" t="s">
        <v>16</v>
      </c>
      <c r="D208" s="2" t="s">
        <v>432</v>
      </c>
      <c r="E208" s="2">
        <v>641</v>
      </c>
      <c r="F208" s="3">
        <v>46073</v>
      </c>
      <c r="G208" s="3">
        <v>46086</v>
      </c>
      <c r="H208" s="3">
        <v>46085</v>
      </c>
      <c r="I208" s="2">
        <v>636</v>
      </c>
      <c r="J208" s="2">
        <v>4</v>
      </c>
    </row>
    <row r="209" spans="1:10">
      <c r="A209" s="2" t="s">
        <v>433</v>
      </c>
      <c r="B209" s="2" t="s">
        <v>19</v>
      </c>
      <c r="C209" s="2" t="s">
        <v>12</v>
      </c>
      <c r="D209" s="2" t="s">
        <v>434</v>
      </c>
      <c r="E209" s="2">
        <v>884</v>
      </c>
      <c r="F209" s="3">
        <v>46123</v>
      </c>
      <c r="G209" s="3">
        <v>46131</v>
      </c>
      <c r="H209" s="3">
        <v>46133</v>
      </c>
      <c r="I209" s="2">
        <v>871</v>
      </c>
      <c r="J209" s="2">
        <v>49</v>
      </c>
    </row>
    <row r="210" spans="1:10">
      <c r="A210" s="2" t="s">
        <v>435</v>
      </c>
      <c r="B210" s="2" t="s">
        <v>436</v>
      </c>
      <c r="C210" s="2" t="s">
        <v>23</v>
      </c>
      <c r="D210" s="2" t="s">
        <v>437</v>
      </c>
      <c r="E210" s="2">
        <v>940</v>
      </c>
      <c r="F210" s="3">
        <v>46069</v>
      </c>
      <c r="G210" s="3">
        <v>46074</v>
      </c>
      <c r="H210" s="3">
        <v>46072</v>
      </c>
      <c r="I210" s="2">
        <v>934</v>
      </c>
      <c r="J210" s="2">
        <v>43</v>
      </c>
    </row>
    <row r="211" spans="1:10">
      <c r="A211" s="2" t="s">
        <v>438</v>
      </c>
      <c r="B211" s="2" t="s">
        <v>26</v>
      </c>
      <c r="C211" s="2" t="s">
        <v>12</v>
      </c>
      <c r="D211" s="2" t="s">
        <v>214</v>
      </c>
      <c r="E211" s="2">
        <v>473</v>
      </c>
      <c r="F211" s="3">
        <v>46119</v>
      </c>
      <c r="G211" s="3">
        <v>46128</v>
      </c>
      <c r="H211" s="3">
        <v>46125</v>
      </c>
      <c r="I211" s="2">
        <v>467</v>
      </c>
      <c r="J211" s="2">
        <v>5</v>
      </c>
    </row>
    <row r="212" spans="1:10">
      <c r="A212" s="2" t="s">
        <v>439</v>
      </c>
      <c r="B212" s="2" t="s">
        <v>81</v>
      </c>
      <c r="C212" s="2" t="s">
        <v>23</v>
      </c>
      <c r="D212" s="2" t="s">
        <v>296</v>
      </c>
      <c r="E212" s="2">
        <v>177</v>
      </c>
      <c r="F212" s="3">
        <v>46064</v>
      </c>
      <c r="G212" s="3">
        <v>46070</v>
      </c>
      <c r="H212" s="3">
        <v>46069</v>
      </c>
      <c r="I212" s="2">
        <v>180</v>
      </c>
      <c r="J212" s="2">
        <v>1</v>
      </c>
    </row>
    <row r="213" spans="1:10">
      <c r="A213" s="2" t="s">
        <v>440</v>
      </c>
      <c r="B213" s="2" t="s">
        <v>120</v>
      </c>
      <c r="C213" s="2" t="s">
        <v>12</v>
      </c>
      <c r="D213" s="2" t="s">
        <v>55</v>
      </c>
      <c r="E213" s="2">
        <v>179</v>
      </c>
      <c r="F213" s="3">
        <v>46115</v>
      </c>
      <c r="G213" s="3">
        <v>46120</v>
      </c>
      <c r="H213" s="3">
        <v>46118</v>
      </c>
      <c r="I213" s="2">
        <v>179</v>
      </c>
      <c r="J213" s="2">
        <v>9</v>
      </c>
    </row>
    <row r="214" spans="1:10">
      <c r="A214" s="2" t="s">
        <v>441</v>
      </c>
      <c r="B214" s="2" t="s">
        <v>19</v>
      </c>
      <c r="C214" s="2" t="s">
        <v>12</v>
      </c>
      <c r="D214" s="2" t="s">
        <v>442</v>
      </c>
      <c r="E214" s="2">
        <v>708</v>
      </c>
      <c r="F214" s="3">
        <v>46148</v>
      </c>
      <c r="G214" s="3">
        <v>46159</v>
      </c>
      <c r="H214" s="3">
        <v>46164</v>
      </c>
      <c r="I214" s="2">
        <v>701</v>
      </c>
      <c r="J214" s="2">
        <v>29</v>
      </c>
    </row>
    <row r="215" spans="1:10">
      <c r="A215" s="2" t="s">
        <v>443</v>
      </c>
      <c r="B215" s="2" t="s">
        <v>177</v>
      </c>
      <c r="C215" s="2" t="s">
        <v>12</v>
      </c>
      <c r="D215" s="2" t="s">
        <v>444</v>
      </c>
      <c r="E215" s="2">
        <v>899</v>
      </c>
      <c r="F215" s="3">
        <v>46031</v>
      </c>
      <c r="G215" s="3">
        <v>46039</v>
      </c>
      <c r="H215" s="3">
        <v>46047</v>
      </c>
      <c r="I215" s="2">
        <v>915</v>
      </c>
      <c r="J215" s="2">
        <v>26</v>
      </c>
    </row>
    <row r="216" spans="1:10">
      <c r="A216" s="2" t="s">
        <v>445</v>
      </c>
      <c r="B216" s="2" t="s">
        <v>52</v>
      </c>
      <c r="C216" s="2" t="s">
        <v>16</v>
      </c>
      <c r="D216" s="2" t="s">
        <v>446</v>
      </c>
      <c r="E216" s="2">
        <v>744</v>
      </c>
      <c r="F216" s="3">
        <v>46032</v>
      </c>
      <c r="G216" s="3">
        <v>46042</v>
      </c>
      <c r="H216" s="2"/>
      <c r="I216" s="2"/>
      <c r="J216" s="2"/>
    </row>
    <row r="217" spans="1:10">
      <c r="A217" s="2" t="s">
        <v>447</v>
      </c>
      <c r="B217" s="2" t="s">
        <v>19</v>
      </c>
      <c r="C217" s="2" t="s">
        <v>16</v>
      </c>
      <c r="D217" s="2" t="s">
        <v>448</v>
      </c>
      <c r="E217" s="2">
        <v>252</v>
      </c>
      <c r="F217" s="3">
        <v>46126</v>
      </c>
      <c r="G217" s="3">
        <v>46137</v>
      </c>
      <c r="H217" s="3">
        <v>46146</v>
      </c>
      <c r="I217" s="2">
        <v>230</v>
      </c>
      <c r="J217" s="2">
        <v>10</v>
      </c>
    </row>
    <row r="218" spans="1:10">
      <c r="A218" s="2" t="s">
        <v>449</v>
      </c>
      <c r="B218" s="2" t="s">
        <v>32</v>
      </c>
      <c r="C218" s="2" t="s">
        <v>16</v>
      </c>
      <c r="D218" s="2" t="s">
        <v>209</v>
      </c>
      <c r="E218" s="2">
        <v>787</v>
      </c>
      <c r="F218" s="3">
        <v>46082</v>
      </c>
      <c r="G218" s="3">
        <v>46092</v>
      </c>
      <c r="H218" s="3">
        <v>46091</v>
      </c>
      <c r="I218" s="2">
        <v>637</v>
      </c>
      <c r="J218" s="2">
        <v>35</v>
      </c>
    </row>
    <row r="219" spans="1:10">
      <c r="A219" s="2" t="s">
        <v>450</v>
      </c>
      <c r="B219" s="2" t="s">
        <v>67</v>
      </c>
      <c r="C219" s="2" t="s">
        <v>23</v>
      </c>
      <c r="D219" s="2" t="s">
        <v>219</v>
      </c>
      <c r="E219" s="2">
        <v>532</v>
      </c>
      <c r="F219" s="3">
        <v>46032</v>
      </c>
      <c r="G219" s="3">
        <v>46039</v>
      </c>
      <c r="H219" s="3">
        <v>46036</v>
      </c>
      <c r="I219" s="2">
        <v>537</v>
      </c>
      <c r="J219" s="2">
        <v>23</v>
      </c>
    </row>
    <row r="220" spans="1:10">
      <c r="A220" s="2" t="s">
        <v>451</v>
      </c>
      <c r="B220" s="2" t="s">
        <v>100</v>
      </c>
      <c r="C220" s="2" t="s">
        <v>16</v>
      </c>
      <c r="D220" s="2" t="s">
        <v>452</v>
      </c>
      <c r="E220" s="2">
        <v>445</v>
      </c>
      <c r="F220" s="3">
        <v>46075</v>
      </c>
      <c r="G220" s="3">
        <v>46086</v>
      </c>
      <c r="H220" s="3">
        <v>46086</v>
      </c>
      <c r="I220" s="2">
        <v>441</v>
      </c>
      <c r="J220" s="2">
        <v>2</v>
      </c>
    </row>
    <row r="221" spans="1:10">
      <c r="A221" s="2" t="s">
        <v>453</v>
      </c>
      <c r="B221" s="2" t="s">
        <v>81</v>
      </c>
      <c r="C221" s="2" t="s">
        <v>12</v>
      </c>
      <c r="D221" s="2" t="s">
        <v>409</v>
      </c>
      <c r="E221" s="2">
        <v>927</v>
      </c>
      <c r="F221" s="3">
        <v>46173</v>
      </c>
      <c r="G221" s="3">
        <v>46178</v>
      </c>
      <c r="H221" s="3">
        <v>46185</v>
      </c>
      <c r="I221" s="2">
        <v>810</v>
      </c>
      <c r="J221" s="2">
        <v>9</v>
      </c>
    </row>
    <row r="222" spans="1:10">
      <c r="A222" s="2" t="s">
        <v>454</v>
      </c>
      <c r="B222" s="2" t="s">
        <v>455</v>
      </c>
      <c r="C222" s="2" t="s">
        <v>12</v>
      </c>
      <c r="D222" s="2" t="s">
        <v>456</v>
      </c>
      <c r="E222" s="2">
        <v>967</v>
      </c>
      <c r="F222" s="3">
        <v>46091</v>
      </c>
      <c r="G222" s="3">
        <v>46102</v>
      </c>
      <c r="H222" s="3">
        <v>46102</v>
      </c>
      <c r="I222" s="2">
        <v>835</v>
      </c>
      <c r="J222" s="2">
        <v>42</v>
      </c>
    </row>
    <row r="223" spans="1:10">
      <c r="A223" s="2" t="s">
        <v>457</v>
      </c>
      <c r="B223" s="2" t="s">
        <v>26</v>
      </c>
      <c r="C223" s="2" t="s">
        <v>23</v>
      </c>
      <c r="D223" s="2" t="s">
        <v>458</v>
      </c>
      <c r="E223" s="2">
        <v>476</v>
      </c>
      <c r="F223" s="3">
        <v>46072</v>
      </c>
      <c r="G223" s="3">
        <v>46082</v>
      </c>
      <c r="H223" s="3">
        <v>46083</v>
      </c>
      <c r="I223" s="2">
        <v>402</v>
      </c>
      <c r="J223" s="2">
        <v>13</v>
      </c>
    </row>
    <row r="224" spans="1:10">
      <c r="A224" s="2" t="s">
        <v>459</v>
      </c>
      <c r="B224" s="2" t="s">
        <v>43</v>
      </c>
      <c r="C224" s="2" t="s">
        <v>23</v>
      </c>
      <c r="D224" s="2" t="s">
        <v>86</v>
      </c>
      <c r="E224" s="2">
        <v>255</v>
      </c>
      <c r="F224" s="3">
        <v>46114</v>
      </c>
      <c r="G224" s="3">
        <v>46120</v>
      </c>
      <c r="H224" s="3">
        <v>46123</v>
      </c>
      <c r="I224" s="2">
        <v>256</v>
      </c>
      <c r="J224" s="2">
        <v>16</v>
      </c>
    </row>
    <row r="225" spans="1:10">
      <c r="A225" s="2" t="s">
        <v>460</v>
      </c>
      <c r="B225" s="2" t="s">
        <v>70</v>
      </c>
      <c r="C225" s="2" t="s">
        <v>12</v>
      </c>
      <c r="D225" s="2" t="s">
        <v>461</v>
      </c>
      <c r="E225" s="2">
        <v>490</v>
      </c>
      <c r="F225" s="3">
        <v>46119</v>
      </c>
      <c r="G225" s="3">
        <v>46129</v>
      </c>
      <c r="H225" s="3">
        <v>46132</v>
      </c>
      <c r="I225" s="2">
        <v>438</v>
      </c>
      <c r="J225" s="2">
        <v>8</v>
      </c>
    </row>
    <row r="226" spans="1:10">
      <c r="A226" s="2" t="s">
        <v>462</v>
      </c>
      <c r="B226" s="2" t="s">
        <v>120</v>
      </c>
      <c r="C226" s="2" t="s">
        <v>23</v>
      </c>
      <c r="D226" s="2" t="s">
        <v>463</v>
      </c>
      <c r="E226" s="2">
        <v>561</v>
      </c>
      <c r="F226" s="3">
        <v>46152</v>
      </c>
      <c r="G226" s="3">
        <v>46167</v>
      </c>
      <c r="H226" s="3">
        <v>46165</v>
      </c>
      <c r="I226" s="2">
        <v>568</v>
      </c>
      <c r="J226" s="2">
        <v>22</v>
      </c>
    </row>
    <row r="227" spans="1:10">
      <c r="A227" s="2" t="s">
        <v>464</v>
      </c>
      <c r="B227" s="2" t="s">
        <v>26</v>
      </c>
      <c r="C227" s="2" t="s">
        <v>12</v>
      </c>
      <c r="D227" s="2" t="s">
        <v>191</v>
      </c>
      <c r="E227" s="2">
        <v>220</v>
      </c>
      <c r="F227" s="3">
        <v>46166</v>
      </c>
      <c r="G227" s="3">
        <v>46180</v>
      </c>
      <c r="H227" s="3">
        <v>46178</v>
      </c>
      <c r="I227" s="2">
        <v>216</v>
      </c>
      <c r="J227" s="2">
        <v>6</v>
      </c>
    </row>
    <row r="228" spans="1:10">
      <c r="A228" s="2" t="s">
        <v>465</v>
      </c>
      <c r="B228" s="2" t="s">
        <v>11</v>
      </c>
      <c r="C228" s="2" t="s">
        <v>16</v>
      </c>
      <c r="D228" s="2" t="s">
        <v>393</v>
      </c>
      <c r="E228" s="2">
        <v>744</v>
      </c>
      <c r="F228" s="3">
        <v>46143</v>
      </c>
      <c r="G228" s="3">
        <v>46157</v>
      </c>
      <c r="H228" s="3">
        <v>46155</v>
      </c>
      <c r="I228" s="2">
        <v>736</v>
      </c>
      <c r="J228" s="2">
        <v>15</v>
      </c>
    </row>
    <row r="229" spans="1:10">
      <c r="A229" s="2" t="s">
        <v>466</v>
      </c>
      <c r="B229" s="2" t="s">
        <v>22</v>
      </c>
      <c r="C229" s="2" t="s">
        <v>16</v>
      </c>
      <c r="D229" s="2" t="s">
        <v>467</v>
      </c>
      <c r="E229" s="2">
        <v>112</v>
      </c>
      <c r="F229" s="3">
        <v>46056</v>
      </c>
      <c r="G229" s="3">
        <v>46069</v>
      </c>
      <c r="H229" s="3">
        <v>46075</v>
      </c>
      <c r="I229" s="2">
        <v>111</v>
      </c>
      <c r="J229" s="2">
        <v>9</v>
      </c>
    </row>
    <row r="230" spans="1:10">
      <c r="A230" s="2" t="s">
        <v>468</v>
      </c>
      <c r="B230" s="2" t="s">
        <v>327</v>
      </c>
      <c r="C230" s="2" t="s">
        <v>12</v>
      </c>
      <c r="D230" s="2" t="s">
        <v>469</v>
      </c>
      <c r="E230" s="2">
        <v>673</v>
      </c>
      <c r="F230" s="3">
        <v>46149</v>
      </c>
      <c r="G230" s="3">
        <v>46158</v>
      </c>
      <c r="H230" s="3">
        <v>46158</v>
      </c>
      <c r="I230" s="2">
        <v>665</v>
      </c>
      <c r="J230" s="2">
        <v>2</v>
      </c>
    </row>
    <row r="231" spans="1:10">
      <c r="A231" s="2" t="s">
        <v>470</v>
      </c>
      <c r="B231" s="2" t="s">
        <v>40</v>
      </c>
      <c r="C231" s="2" t="s">
        <v>23</v>
      </c>
      <c r="D231" s="2" t="s">
        <v>262</v>
      </c>
      <c r="E231" s="2">
        <v>510</v>
      </c>
      <c r="F231" s="3">
        <v>46055</v>
      </c>
      <c r="G231" s="3">
        <v>46070</v>
      </c>
      <c r="H231" s="3">
        <v>46071</v>
      </c>
      <c r="I231" s="2">
        <v>507</v>
      </c>
      <c r="J231" s="2">
        <v>27</v>
      </c>
    </row>
    <row r="232" spans="1:10">
      <c r="A232" s="2" t="s">
        <v>471</v>
      </c>
      <c r="B232" s="2" t="s">
        <v>29</v>
      </c>
      <c r="C232" s="2" t="s">
        <v>16</v>
      </c>
      <c r="D232" s="2" t="s">
        <v>472</v>
      </c>
      <c r="E232" s="2">
        <v>533</v>
      </c>
      <c r="F232" s="3">
        <v>46054</v>
      </c>
      <c r="G232" s="3">
        <v>46064</v>
      </c>
      <c r="H232" s="3">
        <v>46071</v>
      </c>
      <c r="I232" s="2">
        <v>430</v>
      </c>
      <c r="J232" s="2">
        <v>1</v>
      </c>
    </row>
    <row r="233" spans="1:10">
      <c r="A233" s="2" t="s">
        <v>473</v>
      </c>
      <c r="B233" s="2" t="s">
        <v>474</v>
      </c>
      <c r="C233" s="2" t="s">
        <v>12</v>
      </c>
      <c r="D233" s="2" t="s">
        <v>376</v>
      </c>
      <c r="E233" s="2">
        <v>926</v>
      </c>
      <c r="F233" s="3">
        <v>46085</v>
      </c>
      <c r="G233" s="3">
        <v>46100</v>
      </c>
      <c r="H233" s="3">
        <v>46098</v>
      </c>
      <c r="I233" s="2">
        <v>790</v>
      </c>
      <c r="J233" s="2">
        <v>32</v>
      </c>
    </row>
    <row r="234" spans="1:10">
      <c r="A234" s="2" t="s">
        <v>475</v>
      </c>
      <c r="B234" s="2" t="s">
        <v>476</v>
      </c>
      <c r="C234" s="2" t="s">
        <v>12</v>
      </c>
      <c r="D234" s="2"/>
      <c r="E234" s="2">
        <v>831</v>
      </c>
      <c r="F234" s="3">
        <v>46149</v>
      </c>
      <c r="G234" s="3">
        <v>46154</v>
      </c>
      <c r="H234" s="3">
        <v>46160</v>
      </c>
      <c r="I234" s="2">
        <v>803</v>
      </c>
      <c r="J234" s="2">
        <v>12</v>
      </c>
    </row>
    <row r="235" spans="1:10">
      <c r="A235" s="2" t="s">
        <v>477</v>
      </c>
      <c r="B235" s="2" t="s">
        <v>52</v>
      </c>
      <c r="C235" s="2" t="s">
        <v>12</v>
      </c>
      <c r="D235" s="2" t="s">
        <v>478</v>
      </c>
      <c r="E235" s="2">
        <v>559</v>
      </c>
      <c r="F235" s="3">
        <v>46068</v>
      </c>
      <c r="G235" s="3">
        <v>46077</v>
      </c>
      <c r="H235" s="3">
        <v>46076</v>
      </c>
      <c r="I235" s="2">
        <v>550</v>
      </c>
      <c r="J235" s="2">
        <v>7</v>
      </c>
    </row>
    <row r="236" spans="1:10">
      <c r="A236" s="2" t="s">
        <v>479</v>
      </c>
      <c r="B236" s="2" t="s">
        <v>19</v>
      </c>
      <c r="C236" s="2" t="s">
        <v>16</v>
      </c>
      <c r="D236" s="2" t="s">
        <v>381</v>
      </c>
      <c r="E236" s="2">
        <v>901</v>
      </c>
      <c r="F236" s="3">
        <v>46054</v>
      </c>
      <c r="G236" s="3">
        <v>46066</v>
      </c>
      <c r="H236" s="3">
        <v>46066</v>
      </c>
      <c r="I236" s="2">
        <v>727</v>
      </c>
      <c r="J236" s="2">
        <v>28</v>
      </c>
    </row>
    <row r="237" spans="1:10">
      <c r="A237" s="2" t="s">
        <v>480</v>
      </c>
      <c r="B237" s="2" t="s">
        <v>29</v>
      </c>
      <c r="C237" s="2" t="s">
        <v>12</v>
      </c>
      <c r="D237" s="2" t="s">
        <v>136</v>
      </c>
      <c r="E237" s="2">
        <v>325</v>
      </c>
      <c r="F237" s="3">
        <v>46096</v>
      </c>
      <c r="G237" s="3">
        <v>46106</v>
      </c>
      <c r="H237" s="3">
        <v>46105</v>
      </c>
      <c r="I237" s="2">
        <v>327</v>
      </c>
      <c r="J237" s="2">
        <v>4</v>
      </c>
    </row>
    <row r="238" spans="1:10">
      <c r="A238" s="2" t="s">
        <v>481</v>
      </c>
      <c r="B238" s="2" t="s">
        <v>22</v>
      </c>
      <c r="C238" s="2" t="s">
        <v>16</v>
      </c>
      <c r="D238" s="2" t="s">
        <v>414</v>
      </c>
      <c r="E238" s="2">
        <v>960</v>
      </c>
      <c r="F238" s="3">
        <v>46065</v>
      </c>
      <c r="G238" s="3">
        <v>46070</v>
      </c>
      <c r="H238" s="3">
        <v>46068</v>
      </c>
      <c r="I238" s="2">
        <v>950</v>
      </c>
      <c r="J238" s="2">
        <v>33</v>
      </c>
    </row>
    <row r="239" spans="1:10">
      <c r="A239" s="2" t="s">
        <v>482</v>
      </c>
      <c r="B239" s="2" t="s">
        <v>19</v>
      </c>
      <c r="C239" s="2" t="s">
        <v>12</v>
      </c>
      <c r="D239" s="2" t="s">
        <v>339</v>
      </c>
      <c r="E239" s="2">
        <v>288</v>
      </c>
      <c r="F239" s="3">
        <v>46080</v>
      </c>
      <c r="G239" s="3">
        <v>46086</v>
      </c>
      <c r="H239" s="3">
        <v>46083</v>
      </c>
      <c r="I239" s="2">
        <v>287</v>
      </c>
      <c r="J239" s="2">
        <v>7</v>
      </c>
    </row>
    <row r="240" spans="1:10">
      <c r="A240" s="2" t="s">
        <v>483</v>
      </c>
      <c r="B240" s="2" t="s">
        <v>81</v>
      </c>
      <c r="C240" s="2" t="s">
        <v>16</v>
      </c>
      <c r="D240" s="2" t="s">
        <v>484</v>
      </c>
      <c r="E240" s="2">
        <v>272</v>
      </c>
      <c r="F240" s="3">
        <v>46109</v>
      </c>
      <c r="G240" s="3">
        <v>46118</v>
      </c>
      <c r="H240" s="3">
        <v>46124</v>
      </c>
      <c r="I240" s="2">
        <v>262</v>
      </c>
      <c r="J240" s="2">
        <v>3</v>
      </c>
    </row>
    <row r="241" spans="1:10">
      <c r="A241" s="2" t="s">
        <v>485</v>
      </c>
      <c r="B241" s="2" t="s">
        <v>177</v>
      </c>
      <c r="C241" s="2" t="s">
        <v>12</v>
      </c>
      <c r="D241" s="2" t="s">
        <v>486</v>
      </c>
      <c r="E241" s="2">
        <v>732</v>
      </c>
      <c r="F241" s="3">
        <v>46160</v>
      </c>
      <c r="G241" s="3">
        <v>46173</v>
      </c>
      <c r="H241" s="3">
        <v>46173</v>
      </c>
      <c r="I241" s="2">
        <v>732</v>
      </c>
      <c r="J241" s="2">
        <v>9</v>
      </c>
    </row>
    <row r="242" spans="1:10">
      <c r="A242" s="2" t="s">
        <v>487</v>
      </c>
      <c r="B242" s="2" t="s">
        <v>46</v>
      </c>
      <c r="C242" s="2" t="s">
        <v>23</v>
      </c>
      <c r="D242" s="2" t="s">
        <v>488</v>
      </c>
      <c r="E242" s="2">
        <v>795</v>
      </c>
      <c r="F242" s="3">
        <v>46157</v>
      </c>
      <c r="G242" s="3">
        <v>46168</v>
      </c>
      <c r="H242" s="3">
        <v>46174</v>
      </c>
      <c r="I242" s="2">
        <v>784</v>
      </c>
      <c r="J242" s="2">
        <v>72</v>
      </c>
    </row>
    <row r="243" spans="1:10">
      <c r="A243" s="2" t="s">
        <v>489</v>
      </c>
      <c r="B243" s="2" t="s">
        <v>49</v>
      </c>
      <c r="C243" s="2" t="s">
        <v>16</v>
      </c>
      <c r="D243" s="2" t="s">
        <v>490</v>
      </c>
      <c r="E243" s="2">
        <v>438</v>
      </c>
      <c r="F243" s="3">
        <v>46167</v>
      </c>
      <c r="G243" s="3">
        <v>46173</v>
      </c>
      <c r="H243" s="2"/>
      <c r="I243" s="2"/>
      <c r="J243" s="2"/>
    </row>
    <row r="244" spans="1:10">
      <c r="A244" s="2" t="s">
        <v>491</v>
      </c>
      <c r="B244" s="2" t="s">
        <v>67</v>
      </c>
      <c r="C244" s="2" t="s">
        <v>16</v>
      </c>
      <c r="D244" s="2" t="s">
        <v>426</v>
      </c>
      <c r="E244" s="2">
        <v>867</v>
      </c>
      <c r="F244" s="3">
        <v>46034</v>
      </c>
      <c r="G244" s="3">
        <v>46049</v>
      </c>
      <c r="H244" s="3">
        <v>46056</v>
      </c>
      <c r="I244" s="2">
        <v>841</v>
      </c>
      <c r="J244" s="2">
        <v>30</v>
      </c>
    </row>
    <row r="245" spans="1:10">
      <c r="A245" s="2" t="s">
        <v>492</v>
      </c>
      <c r="B245" s="2" t="s">
        <v>54</v>
      </c>
      <c r="C245" s="2" t="s">
        <v>12</v>
      </c>
      <c r="D245" s="2" t="s">
        <v>493</v>
      </c>
      <c r="E245" s="2">
        <v>357</v>
      </c>
      <c r="F245" s="3">
        <v>46105</v>
      </c>
      <c r="G245" s="3">
        <v>46114</v>
      </c>
      <c r="H245" s="3">
        <v>46114</v>
      </c>
      <c r="I245" s="2">
        <v>363</v>
      </c>
      <c r="J245" s="2">
        <v>1</v>
      </c>
    </row>
    <row r="246" spans="1:10">
      <c r="A246" s="2" t="s">
        <v>494</v>
      </c>
      <c r="B246" s="2" t="s">
        <v>70</v>
      </c>
      <c r="C246" s="2" t="s">
        <v>23</v>
      </c>
      <c r="D246" s="2" t="s">
        <v>495</v>
      </c>
      <c r="E246" s="2">
        <v>728</v>
      </c>
      <c r="F246" s="3">
        <v>46147</v>
      </c>
      <c r="G246" s="3">
        <v>46159</v>
      </c>
      <c r="H246" s="3">
        <v>46160</v>
      </c>
      <c r="I246" s="2">
        <v>742</v>
      </c>
      <c r="J246" s="2">
        <v>4</v>
      </c>
    </row>
    <row r="247" spans="1:10">
      <c r="A247" s="2" t="s">
        <v>496</v>
      </c>
      <c r="B247" s="2" t="s">
        <v>32</v>
      </c>
      <c r="C247" s="2" t="s">
        <v>12</v>
      </c>
      <c r="D247" s="2" t="s">
        <v>486</v>
      </c>
      <c r="E247" s="2">
        <v>742</v>
      </c>
      <c r="F247" s="3">
        <v>46111</v>
      </c>
      <c r="G247" s="3">
        <v>46124</v>
      </c>
      <c r="H247" s="3">
        <v>46129</v>
      </c>
      <c r="I247" s="2">
        <v>661</v>
      </c>
      <c r="J247" s="2">
        <v>22</v>
      </c>
    </row>
    <row r="248" spans="1:10">
      <c r="A248" s="2" t="s">
        <v>497</v>
      </c>
      <c r="B248" s="2" t="s">
        <v>139</v>
      </c>
      <c r="C248" s="2" t="s">
        <v>16</v>
      </c>
      <c r="D248" s="2" t="s">
        <v>298</v>
      </c>
      <c r="E248" s="2">
        <v>336</v>
      </c>
      <c r="F248" s="3">
        <v>46172</v>
      </c>
      <c r="G248" s="3">
        <v>46182</v>
      </c>
      <c r="H248" s="3">
        <v>46181</v>
      </c>
      <c r="I248" s="2">
        <v>333</v>
      </c>
      <c r="J248" s="2">
        <v>3</v>
      </c>
    </row>
    <row r="249" spans="1:10">
      <c r="A249" s="2" t="s">
        <v>498</v>
      </c>
      <c r="B249" s="2" t="s">
        <v>32</v>
      </c>
      <c r="C249" s="2" t="s">
        <v>12</v>
      </c>
      <c r="D249" s="2" t="s">
        <v>499</v>
      </c>
      <c r="E249" s="2">
        <v>719</v>
      </c>
      <c r="F249" s="3">
        <v>46129</v>
      </c>
      <c r="G249" s="3">
        <v>46143</v>
      </c>
      <c r="H249" s="3">
        <v>46151</v>
      </c>
      <c r="I249" s="2">
        <v>730</v>
      </c>
      <c r="J249" s="2">
        <v>41</v>
      </c>
    </row>
    <row r="250" spans="1:10">
      <c r="A250" s="2" t="s">
        <v>500</v>
      </c>
      <c r="B250" s="2" t="s">
        <v>67</v>
      </c>
      <c r="C250" s="2" t="s">
        <v>16</v>
      </c>
      <c r="D250" s="2" t="s">
        <v>17</v>
      </c>
      <c r="E250" s="2">
        <v>315</v>
      </c>
      <c r="F250" s="3">
        <v>46072</v>
      </c>
      <c r="G250" s="3">
        <v>46084</v>
      </c>
      <c r="H250" s="3">
        <v>46082</v>
      </c>
      <c r="I250" s="2">
        <v>320</v>
      </c>
      <c r="J250" s="2">
        <v>18</v>
      </c>
    </row>
    <row r="251" spans="1:10">
      <c r="A251" s="2" t="s">
        <v>501</v>
      </c>
      <c r="B251" s="2" t="s">
        <v>19</v>
      </c>
      <c r="C251" s="2" t="s">
        <v>16</v>
      </c>
      <c r="D251" s="2" t="s">
        <v>294</v>
      </c>
      <c r="E251" s="2">
        <v>801</v>
      </c>
      <c r="F251" s="3">
        <v>46048</v>
      </c>
      <c r="G251" s="3">
        <v>46053</v>
      </c>
      <c r="H251" s="3">
        <v>46051</v>
      </c>
      <c r="I251" s="2">
        <v>804</v>
      </c>
      <c r="J251" s="2">
        <v>27</v>
      </c>
    </row>
    <row r="252" spans="1:10">
      <c r="A252" s="2" t="s">
        <v>502</v>
      </c>
      <c r="B252" s="2" t="s">
        <v>43</v>
      </c>
      <c r="C252" s="2" t="s">
        <v>12</v>
      </c>
      <c r="D252" s="2" t="s">
        <v>503</v>
      </c>
      <c r="E252" s="2">
        <v>517</v>
      </c>
      <c r="F252" s="3">
        <v>46175</v>
      </c>
      <c r="G252" s="3">
        <v>46181</v>
      </c>
      <c r="H252" s="3">
        <v>46179</v>
      </c>
      <c r="I252" s="2">
        <v>515</v>
      </c>
      <c r="J252" s="2">
        <v>31</v>
      </c>
    </row>
    <row r="253" spans="1:10">
      <c r="A253" s="2" t="s">
        <v>504</v>
      </c>
      <c r="B253" s="2" t="s">
        <v>26</v>
      </c>
      <c r="C253" s="2" t="s">
        <v>12</v>
      </c>
      <c r="D253" s="2" t="s">
        <v>505</v>
      </c>
      <c r="E253" s="2">
        <v>87</v>
      </c>
      <c r="F253" s="3">
        <v>46110</v>
      </c>
      <c r="G253" s="3">
        <v>46120</v>
      </c>
      <c r="H253" s="3">
        <v>46119</v>
      </c>
      <c r="I253" s="2">
        <v>81</v>
      </c>
      <c r="J253" s="2">
        <v>2</v>
      </c>
    </row>
    <row r="254" spans="1:10">
      <c r="A254" s="2" t="s">
        <v>506</v>
      </c>
      <c r="B254" s="2" t="s">
        <v>49</v>
      </c>
      <c r="C254" s="2" t="s">
        <v>23</v>
      </c>
      <c r="D254" s="2" t="s">
        <v>507</v>
      </c>
      <c r="E254" s="2">
        <v>800</v>
      </c>
      <c r="F254" s="3">
        <v>46161</v>
      </c>
      <c r="G254" s="3">
        <v>46172</v>
      </c>
      <c r="H254" s="3">
        <v>46174</v>
      </c>
      <c r="I254" s="2">
        <v>797</v>
      </c>
      <c r="J254" s="2">
        <v>1</v>
      </c>
    </row>
    <row r="255" spans="1:10">
      <c r="A255" s="2" t="s">
        <v>508</v>
      </c>
      <c r="B255" s="2" t="s">
        <v>40</v>
      </c>
      <c r="C255" s="2" t="s">
        <v>23</v>
      </c>
      <c r="D255" s="2" t="s">
        <v>509</v>
      </c>
      <c r="E255" s="2">
        <v>390</v>
      </c>
      <c r="F255" s="3">
        <v>46073</v>
      </c>
      <c r="G255" s="3">
        <v>46086</v>
      </c>
      <c r="H255" s="3">
        <v>46084</v>
      </c>
      <c r="I255" s="2">
        <v>395</v>
      </c>
      <c r="J255" s="2">
        <v>0</v>
      </c>
    </row>
    <row r="256" spans="1:10">
      <c r="A256" s="2" t="s">
        <v>510</v>
      </c>
      <c r="B256" s="2" t="s">
        <v>40</v>
      </c>
      <c r="C256" s="2" t="s">
        <v>23</v>
      </c>
      <c r="D256" s="2" t="s">
        <v>47</v>
      </c>
      <c r="E256" s="2">
        <v>520</v>
      </c>
      <c r="F256" s="3">
        <v>46154</v>
      </c>
      <c r="G256" s="3">
        <v>46161</v>
      </c>
      <c r="H256" s="3">
        <v>46160</v>
      </c>
      <c r="I256" s="2">
        <v>519</v>
      </c>
      <c r="J256" s="2">
        <v>31</v>
      </c>
    </row>
    <row r="257" spans="1:10">
      <c r="A257" s="2" t="s">
        <v>511</v>
      </c>
      <c r="B257" s="2" t="s">
        <v>81</v>
      </c>
      <c r="C257" s="2" t="s">
        <v>23</v>
      </c>
      <c r="D257" s="2" t="s">
        <v>512</v>
      </c>
      <c r="E257" s="2">
        <v>98</v>
      </c>
      <c r="F257" s="3">
        <v>46160</v>
      </c>
      <c r="G257" s="3">
        <v>46172</v>
      </c>
      <c r="H257" s="3">
        <v>46171</v>
      </c>
      <c r="I257" s="2">
        <v>99</v>
      </c>
      <c r="J257" s="2">
        <v>1</v>
      </c>
    </row>
    <row r="258" spans="1:10">
      <c r="A258" s="2" t="s">
        <v>513</v>
      </c>
      <c r="B258" s="2" t="s">
        <v>177</v>
      </c>
      <c r="C258" s="2" t="s">
        <v>12</v>
      </c>
      <c r="D258" s="2" t="s">
        <v>336</v>
      </c>
      <c r="E258" s="2">
        <v>831</v>
      </c>
      <c r="F258" s="3">
        <v>46152</v>
      </c>
      <c r="G258" s="3">
        <v>46167</v>
      </c>
      <c r="H258" s="3">
        <v>46167</v>
      </c>
      <c r="I258" s="2">
        <v>837</v>
      </c>
      <c r="J258" s="2">
        <v>40</v>
      </c>
    </row>
    <row r="259" spans="1:10">
      <c r="A259" s="2" t="s">
        <v>514</v>
      </c>
      <c r="B259" s="2" t="s">
        <v>32</v>
      </c>
      <c r="C259" s="2" t="s">
        <v>16</v>
      </c>
      <c r="D259" s="2" t="s">
        <v>452</v>
      </c>
      <c r="E259" s="2">
        <v>638</v>
      </c>
      <c r="F259" s="3">
        <v>46151</v>
      </c>
      <c r="G259" s="3">
        <v>46165</v>
      </c>
      <c r="H259" s="3">
        <v>46162</v>
      </c>
      <c r="I259" s="2">
        <v>571</v>
      </c>
      <c r="J259" s="2">
        <v>5</v>
      </c>
    </row>
    <row r="260" spans="1:10">
      <c r="A260" s="2" t="s">
        <v>515</v>
      </c>
      <c r="B260" s="2" t="s">
        <v>64</v>
      </c>
      <c r="C260" s="2" t="s">
        <v>23</v>
      </c>
      <c r="D260" s="2" t="s">
        <v>516</v>
      </c>
      <c r="E260" s="2">
        <v>331</v>
      </c>
      <c r="F260" s="3">
        <v>46094</v>
      </c>
      <c r="G260" s="3">
        <v>46101</v>
      </c>
      <c r="H260" s="3">
        <v>46101</v>
      </c>
      <c r="I260" s="2">
        <v>331</v>
      </c>
      <c r="J260" s="2">
        <v>6</v>
      </c>
    </row>
    <row r="261" spans="1:10">
      <c r="A261" s="2" t="s">
        <v>517</v>
      </c>
      <c r="B261" s="2" t="s">
        <v>26</v>
      </c>
      <c r="C261" s="2" t="s">
        <v>23</v>
      </c>
      <c r="D261" s="2" t="s">
        <v>296</v>
      </c>
      <c r="E261" s="2">
        <v>566</v>
      </c>
      <c r="F261" s="3">
        <v>46106</v>
      </c>
      <c r="G261" s="3">
        <v>46118</v>
      </c>
      <c r="H261" s="3">
        <v>46116</v>
      </c>
      <c r="I261" s="2">
        <v>555</v>
      </c>
      <c r="J261" s="2">
        <v>2</v>
      </c>
    </row>
    <row r="262" spans="1:10">
      <c r="A262" s="2" t="s">
        <v>518</v>
      </c>
      <c r="B262" s="2" t="s">
        <v>329</v>
      </c>
      <c r="C262" s="2" t="s">
        <v>12</v>
      </c>
      <c r="D262" s="2" t="s">
        <v>136</v>
      </c>
      <c r="E262" s="2">
        <v>502</v>
      </c>
      <c r="F262" s="3">
        <v>46050</v>
      </c>
      <c r="G262" s="3">
        <v>46058</v>
      </c>
      <c r="H262" s="3">
        <v>46055</v>
      </c>
      <c r="I262" s="2">
        <v>404</v>
      </c>
      <c r="J262" s="2">
        <v>18</v>
      </c>
    </row>
    <row r="263" spans="1:10">
      <c r="A263" s="2" t="s">
        <v>519</v>
      </c>
      <c r="B263" s="2" t="s">
        <v>26</v>
      </c>
      <c r="C263" s="2" t="s">
        <v>12</v>
      </c>
      <c r="D263" s="2" t="s">
        <v>520</v>
      </c>
      <c r="E263" s="2">
        <v>810</v>
      </c>
      <c r="F263" s="3">
        <v>46084</v>
      </c>
      <c r="G263" s="3">
        <v>46096</v>
      </c>
      <c r="H263" s="3">
        <v>46104</v>
      </c>
      <c r="I263" s="2">
        <v>681</v>
      </c>
      <c r="J263" s="2">
        <v>21</v>
      </c>
    </row>
    <row r="264" spans="1:10">
      <c r="A264" s="2" t="s">
        <v>521</v>
      </c>
      <c r="B264" s="2" t="s">
        <v>11</v>
      </c>
      <c r="C264" s="2" t="s">
        <v>16</v>
      </c>
      <c r="D264" s="2" t="s">
        <v>125</v>
      </c>
      <c r="E264" s="2">
        <v>896</v>
      </c>
      <c r="F264" s="3">
        <v>46165</v>
      </c>
      <c r="G264" s="3">
        <v>46177</v>
      </c>
      <c r="H264" s="3">
        <v>46175</v>
      </c>
      <c r="I264" s="2">
        <v>912</v>
      </c>
      <c r="J264" s="2">
        <v>10</v>
      </c>
    </row>
    <row r="265" spans="1:10">
      <c r="A265" s="2" t="s">
        <v>522</v>
      </c>
      <c r="B265" s="2" t="s">
        <v>64</v>
      </c>
      <c r="C265" s="2" t="s">
        <v>16</v>
      </c>
      <c r="D265" s="2" t="s">
        <v>181</v>
      </c>
      <c r="E265" s="2">
        <v>363</v>
      </c>
      <c r="F265" s="3">
        <v>46144</v>
      </c>
      <c r="G265" s="3">
        <v>46152</v>
      </c>
      <c r="H265" s="3">
        <v>46157</v>
      </c>
      <c r="I265" s="2">
        <v>323</v>
      </c>
      <c r="J265" s="2">
        <v>21</v>
      </c>
    </row>
    <row r="266" spans="1:10">
      <c r="A266" s="2" t="s">
        <v>523</v>
      </c>
      <c r="B266" s="2" t="s">
        <v>67</v>
      </c>
      <c r="C266" s="2" t="s">
        <v>12</v>
      </c>
      <c r="D266" s="2" t="s">
        <v>524</v>
      </c>
      <c r="E266" s="2">
        <v>258</v>
      </c>
      <c r="F266" s="3">
        <v>46099</v>
      </c>
      <c r="G266" s="3">
        <v>46106</v>
      </c>
      <c r="H266" s="3">
        <v>46107</v>
      </c>
      <c r="I266" s="2">
        <v>263</v>
      </c>
      <c r="J266" s="2">
        <v>7</v>
      </c>
    </row>
    <row r="267" spans="1:10">
      <c r="A267" s="2" t="s">
        <v>525</v>
      </c>
      <c r="B267" s="2" t="s">
        <v>120</v>
      </c>
      <c r="C267" s="2" t="s">
        <v>23</v>
      </c>
      <c r="D267" s="2" t="s">
        <v>142</v>
      </c>
      <c r="E267" s="2">
        <v>990</v>
      </c>
      <c r="F267" s="3">
        <v>46128</v>
      </c>
      <c r="G267" s="3">
        <v>46141</v>
      </c>
      <c r="H267" s="3">
        <v>46140</v>
      </c>
      <c r="I267" s="2">
        <v>979</v>
      </c>
      <c r="J267" s="2">
        <v>17</v>
      </c>
    </row>
    <row r="268" spans="1:10">
      <c r="A268" s="2" t="s">
        <v>526</v>
      </c>
      <c r="B268" s="2" t="s">
        <v>46</v>
      </c>
      <c r="C268" s="2" t="s">
        <v>16</v>
      </c>
      <c r="D268" s="2" t="s">
        <v>448</v>
      </c>
      <c r="E268" s="2">
        <v>629</v>
      </c>
      <c r="F268" s="3">
        <v>46054</v>
      </c>
      <c r="G268" s="3">
        <v>46060</v>
      </c>
      <c r="H268" s="3">
        <v>46059</v>
      </c>
      <c r="I268" s="2">
        <v>625</v>
      </c>
      <c r="J268" s="2">
        <v>55</v>
      </c>
    </row>
    <row r="269" spans="1:10">
      <c r="A269" s="2" t="s">
        <v>527</v>
      </c>
      <c r="B269" s="2" t="s">
        <v>528</v>
      </c>
      <c r="C269" s="2" t="s">
        <v>16</v>
      </c>
      <c r="D269" s="2" t="s">
        <v>529</v>
      </c>
      <c r="E269" s="2">
        <v>157</v>
      </c>
      <c r="F269" s="3">
        <v>46171</v>
      </c>
      <c r="G269" s="3">
        <v>46180</v>
      </c>
      <c r="H269" s="3">
        <v>46181</v>
      </c>
      <c r="I269" s="2">
        <v>158</v>
      </c>
      <c r="J269" s="2">
        <v>1</v>
      </c>
    </row>
    <row r="270" spans="1:10">
      <c r="A270" s="2" t="s">
        <v>530</v>
      </c>
      <c r="B270" s="2" t="s">
        <v>67</v>
      </c>
      <c r="C270" s="2" t="s">
        <v>12</v>
      </c>
      <c r="D270" s="2" t="s">
        <v>531</v>
      </c>
      <c r="E270" s="2">
        <v>596</v>
      </c>
      <c r="F270" s="3">
        <v>46103</v>
      </c>
      <c r="G270" s="3">
        <v>46108</v>
      </c>
      <c r="H270" s="3">
        <v>46107</v>
      </c>
      <c r="I270" s="2">
        <v>601</v>
      </c>
      <c r="J270" s="2">
        <v>27</v>
      </c>
    </row>
    <row r="271" spans="1:10">
      <c r="A271" s="2" t="s">
        <v>532</v>
      </c>
      <c r="B271" s="2" t="s">
        <v>177</v>
      </c>
      <c r="C271" s="2" t="s">
        <v>12</v>
      </c>
      <c r="D271" s="2" t="s">
        <v>533</v>
      </c>
      <c r="E271" s="2">
        <v>665</v>
      </c>
      <c r="F271" s="3">
        <v>46161</v>
      </c>
      <c r="G271" s="3">
        <v>46171</v>
      </c>
      <c r="H271" s="3">
        <v>46170</v>
      </c>
      <c r="I271" s="2">
        <v>664</v>
      </c>
      <c r="J271" s="2">
        <v>36</v>
      </c>
    </row>
    <row r="272" spans="1:10">
      <c r="A272" s="2" t="s">
        <v>534</v>
      </c>
      <c r="B272" s="2" t="s">
        <v>26</v>
      </c>
      <c r="C272" s="2" t="s">
        <v>322</v>
      </c>
      <c r="D272" s="2" t="s">
        <v>535</v>
      </c>
      <c r="E272" s="2">
        <v>569</v>
      </c>
      <c r="F272" s="3">
        <v>46153</v>
      </c>
      <c r="G272" s="3">
        <v>46168</v>
      </c>
      <c r="H272" s="3">
        <v>46165</v>
      </c>
      <c r="I272" s="2">
        <v>561</v>
      </c>
      <c r="J272" s="2">
        <v>13</v>
      </c>
    </row>
    <row r="273" spans="1:10">
      <c r="A273" s="2" t="s">
        <v>536</v>
      </c>
      <c r="B273" s="2" t="s">
        <v>52</v>
      </c>
      <c r="C273" s="2" t="s">
        <v>12</v>
      </c>
      <c r="D273" s="2" t="s">
        <v>38</v>
      </c>
      <c r="E273" s="2">
        <v>454</v>
      </c>
      <c r="F273" s="3">
        <v>46102</v>
      </c>
      <c r="G273" s="3">
        <v>46114</v>
      </c>
      <c r="H273" s="3">
        <v>46111</v>
      </c>
      <c r="I273" s="2">
        <v>448</v>
      </c>
      <c r="J273" s="2">
        <v>0</v>
      </c>
    </row>
    <row r="274" spans="1:10">
      <c r="A274" s="2" t="s">
        <v>370</v>
      </c>
      <c r="B274" s="2" t="s">
        <v>64</v>
      </c>
      <c r="C274" s="2" t="s">
        <v>23</v>
      </c>
      <c r="D274" s="2" t="s">
        <v>372</v>
      </c>
      <c r="E274" s="2">
        <v>226</v>
      </c>
      <c r="F274" s="3">
        <v>46095</v>
      </c>
      <c r="G274" s="3">
        <v>46101</v>
      </c>
      <c r="H274" s="3">
        <v>46106</v>
      </c>
      <c r="I274" s="2">
        <v>203</v>
      </c>
      <c r="J274" s="2">
        <v>10</v>
      </c>
    </row>
    <row r="275" spans="1:10">
      <c r="A275" s="2" t="s">
        <v>537</v>
      </c>
      <c r="B275" s="2" t="s">
        <v>177</v>
      </c>
      <c r="C275" s="2" t="s">
        <v>12</v>
      </c>
      <c r="D275" s="2" t="s">
        <v>538</v>
      </c>
      <c r="E275" s="2">
        <v>125</v>
      </c>
      <c r="F275" s="3">
        <v>46143</v>
      </c>
      <c r="G275" s="3">
        <v>46152</v>
      </c>
      <c r="H275" s="3">
        <v>46152</v>
      </c>
      <c r="I275" s="2">
        <v>116</v>
      </c>
      <c r="J275" s="2">
        <v>4</v>
      </c>
    </row>
    <row r="276" spans="1:10">
      <c r="A276" s="2" t="s">
        <v>539</v>
      </c>
      <c r="B276" s="2" t="s">
        <v>120</v>
      </c>
      <c r="C276" s="2" t="s">
        <v>12</v>
      </c>
      <c r="D276" s="2" t="s">
        <v>540</v>
      </c>
      <c r="E276" s="2">
        <v>789</v>
      </c>
      <c r="F276" s="3">
        <v>46120</v>
      </c>
      <c r="G276" s="3">
        <v>46130</v>
      </c>
      <c r="H276" s="3">
        <v>46127</v>
      </c>
      <c r="I276" s="2">
        <v>775</v>
      </c>
      <c r="J276" s="2">
        <v>42</v>
      </c>
    </row>
    <row r="277" spans="1:10">
      <c r="A277" s="2" t="s">
        <v>541</v>
      </c>
      <c r="B277" s="2" t="s">
        <v>542</v>
      </c>
      <c r="C277" s="2" t="s">
        <v>12</v>
      </c>
      <c r="D277" s="2" t="s">
        <v>543</v>
      </c>
      <c r="E277" s="2">
        <v>991</v>
      </c>
      <c r="F277" s="3">
        <v>46058</v>
      </c>
      <c r="G277" s="3">
        <v>46072</v>
      </c>
      <c r="H277" s="3">
        <v>46069</v>
      </c>
      <c r="I277" s="2">
        <v>1005</v>
      </c>
      <c r="J277" s="2">
        <v>22</v>
      </c>
    </row>
    <row r="278" spans="1:10">
      <c r="A278" s="2" t="s">
        <v>544</v>
      </c>
      <c r="B278" s="2" t="s">
        <v>40</v>
      </c>
      <c r="C278" s="2" t="s">
        <v>23</v>
      </c>
      <c r="D278" s="2" t="s">
        <v>545</v>
      </c>
      <c r="E278" s="2">
        <v>834</v>
      </c>
      <c r="F278" s="3">
        <v>46032</v>
      </c>
      <c r="G278" s="3">
        <v>46043</v>
      </c>
      <c r="H278" s="2"/>
      <c r="I278" s="2"/>
      <c r="J278" s="2"/>
    </row>
    <row r="279" spans="1:10">
      <c r="A279" s="2" t="s">
        <v>546</v>
      </c>
      <c r="B279" s="2" t="s">
        <v>52</v>
      </c>
      <c r="C279" s="2" t="s">
        <v>12</v>
      </c>
      <c r="D279" s="2" t="s">
        <v>547</v>
      </c>
      <c r="E279" s="2">
        <v>597</v>
      </c>
      <c r="F279" s="3">
        <v>46175</v>
      </c>
      <c r="G279" s="3">
        <v>46186</v>
      </c>
      <c r="H279" s="3">
        <v>46183</v>
      </c>
      <c r="I279" s="2">
        <v>609</v>
      </c>
      <c r="J279" s="2">
        <v>9</v>
      </c>
    </row>
    <row r="280" spans="1:10">
      <c r="A280" s="2" t="s">
        <v>548</v>
      </c>
      <c r="B280" s="2" t="s">
        <v>64</v>
      </c>
      <c r="C280" s="2" t="s">
        <v>23</v>
      </c>
      <c r="D280" s="2" t="s">
        <v>549</v>
      </c>
      <c r="E280" s="2">
        <v>741</v>
      </c>
      <c r="F280" s="3">
        <v>46175</v>
      </c>
      <c r="G280" s="3">
        <v>46180</v>
      </c>
      <c r="H280" s="3">
        <v>46183</v>
      </c>
      <c r="I280" s="2">
        <v>742</v>
      </c>
      <c r="J280" s="2">
        <v>14</v>
      </c>
    </row>
    <row r="281" spans="1:10">
      <c r="A281" s="2" t="s">
        <v>550</v>
      </c>
      <c r="B281" s="2" t="s">
        <v>54</v>
      </c>
      <c r="C281" s="2" t="s">
        <v>12</v>
      </c>
      <c r="D281" s="2" t="s">
        <v>421</v>
      </c>
      <c r="E281" s="2">
        <v>567</v>
      </c>
      <c r="F281" s="3">
        <v>46141</v>
      </c>
      <c r="G281" s="3">
        <v>46149</v>
      </c>
      <c r="H281" s="3">
        <v>46146</v>
      </c>
      <c r="I281" s="2">
        <v>556</v>
      </c>
      <c r="J281" s="2">
        <v>9</v>
      </c>
    </row>
    <row r="282" spans="1:10">
      <c r="A282" s="2" t="s">
        <v>551</v>
      </c>
      <c r="B282" s="2" t="s">
        <v>46</v>
      </c>
      <c r="C282" s="2" t="s">
        <v>23</v>
      </c>
      <c r="D282" s="2" t="s">
        <v>552</v>
      </c>
      <c r="E282" s="2">
        <v>973</v>
      </c>
      <c r="F282" s="3">
        <v>46039</v>
      </c>
      <c r="G282" s="3">
        <v>46051</v>
      </c>
      <c r="H282" s="3">
        <v>46049</v>
      </c>
      <c r="I282" s="2">
        <v>970</v>
      </c>
      <c r="J282" s="2">
        <v>5</v>
      </c>
    </row>
    <row r="283" spans="1:10">
      <c r="A283" s="2" t="s">
        <v>553</v>
      </c>
      <c r="B283" s="2" t="s">
        <v>554</v>
      </c>
      <c r="C283" s="2" t="s">
        <v>12</v>
      </c>
      <c r="D283" s="2" t="s">
        <v>183</v>
      </c>
      <c r="E283" s="2">
        <v>884</v>
      </c>
      <c r="F283" s="3">
        <v>46159</v>
      </c>
      <c r="G283" s="3">
        <v>46171</v>
      </c>
      <c r="H283" s="3">
        <v>46169</v>
      </c>
      <c r="I283" s="2">
        <v>880</v>
      </c>
      <c r="J283" s="2">
        <v>5</v>
      </c>
    </row>
    <row r="284" spans="1:10">
      <c r="A284" s="2" t="s">
        <v>555</v>
      </c>
      <c r="B284" s="2" t="s">
        <v>81</v>
      </c>
      <c r="C284" s="2" t="s">
        <v>16</v>
      </c>
      <c r="D284" s="2" t="s">
        <v>556</v>
      </c>
      <c r="E284" s="2">
        <v>762</v>
      </c>
      <c r="F284" s="3">
        <v>46055</v>
      </c>
      <c r="G284" s="3">
        <v>46062</v>
      </c>
      <c r="H284" s="3">
        <v>46059</v>
      </c>
      <c r="I284" s="2">
        <v>639</v>
      </c>
      <c r="J284" s="2">
        <v>7</v>
      </c>
    </row>
    <row r="285" spans="1:10">
      <c r="A285" s="2" t="s">
        <v>557</v>
      </c>
      <c r="B285" s="2" t="s">
        <v>52</v>
      </c>
      <c r="C285" s="2" t="s">
        <v>16</v>
      </c>
      <c r="D285" s="2"/>
      <c r="E285" s="2">
        <v>122</v>
      </c>
      <c r="F285" s="3">
        <v>46078</v>
      </c>
      <c r="G285" s="3">
        <v>46093</v>
      </c>
      <c r="H285" s="3">
        <v>46091</v>
      </c>
      <c r="I285" s="2">
        <v>121</v>
      </c>
      <c r="J285" s="2">
        <v>1</v>
      </c>
    </row>
    <row r="286" spans="1:10">
      <c r="A286" s="2" t="s">
        <v>558</v>
      </c>
      <c r="B286" s="2" t="s">
        <v>26</v>
      </c>
      <c r="C286" s="2" t="s">
        <v>16</v>
      </c>
      <c r="D286" s="2" t="s">
        <v>17</v>
      </c>
      <c r="E286" s="2">
        <v>735</v>
      </c>
      <c r="F286" s="3">
        <v>46114</v>
      </c>
      <c r="G286" s="3">
        <v>46119</v>
      </c>
      <c r="H286" s="3">
        <v>46118</v>
      </c>
      <c r="I286" s="2">
        <v>743</v>
      </c>
      <c r="J286" s="2">
        <v>13</v>
      </c>
    </row>
    <row r="287" spans="1:10">
      <c r="A287" s="2" t="s">
        <v>559</v>
      </c>
      <c r="B287" s="2" t="s">
        <v>40</v>
      </c>
      <c r="C287" s="2" t="s">
        <v>23</v>
      </c>
      <c r="D287" s="2" t="s">
        <v>111</v>
      </c>
      <c r="E287" s="2">
        <v>902</v>
      </c>
      <c r="F287" s="3">
        <v>46088</v>
      </c>
      <c r="G287" s="3">
        <v>46100</v>
      </c>
      <c r="H287" s="3">
        <v>46099</v>
      </c>
      <c r="I287" s="2">
        <v>899</v>
      </c>
      <c r="J287" s="2">
        <v>86</v>
      </c>
    </row>
    <row r="288" spans="1:10">
      <c r="A288" s="2" t="s">
        <v>560</v>
      </c>
      <c r="B288" s="2" t="s">
        <v>43</v>
      </c>
      <c r="C288" s="2" t="s">
        <v>16</v>
      </c>
      <c r="D288" s="2"/>
      <c r="E288" s="2">
        <v>410</v>
      </c>
      <c r="F288" s="3">
        <v>46072</v>
      </c>
      <c r="G288" s="3">
        <v>46083</v>
      </c>
      <c r="H288" s="3">
        <v>46083</v>
      </c>
      <c r="I288" s="2">
        <v>417</v>
      </c>
      <c r="J288" s="2">
        <v>6</v>
      </c>
    </row>
    <row r="289" spans="1:10">
      <c r="A289" s="2" t="s">
        <v>561</v>
      </c>
      <c r="B289" s="2" t="s">
        <v>22</v>
      </c>
      <c r="C289" s="2" t="s">
        <v>16</v>
      </c>
      <c r="D289" s="2" t="s">
        <v>233</v>
      </c>
      <c r="E289" s="2">
        <v>350</v>
      </c>
      <c r="F289" s="3">
        <v>46063</v>
      </c>
      <c r="G289" s="3">
        <v>46077</v>
      </c>
      <c r="H289" s="3">
        <v>46076</v>
      </c>
      <c r="I289" s="2">
        <v>284</v>
      </c>
      <c r="J289" s="2">
        <v>25</v>
      </c>
    </row>
    <row r="290" spans="1:10">
      <c r="A290" s="2" t="s">
        <v>562</v>
      </c>
      <c r="B290" s="2" t="s">
        <v>54</v>
      </c>
      <c r="C290" s="2" t="s">
        <v>12</v>
      </c>
      <c r="D290" s="2" t="s">
        <v>140</v>
      </c>
      <c r="E290" s="2">
        <v>598</v>
      </c>
      <c r="F290" s="3">
        <v>46059</v>
      </c>
      <c r="G290" s="3">
        <v>46070</v>
      </c>
      <c r="H290" s="3">
        <v>46075</v>
      </c>
      <c r="I290" s="2">
        <v>609</v>
      </c>
      <c r="J290" s="2">
        <v>12</v>
      </c>
    </row>
    <row r="291" spans="1:10">
      <c r="A291" s="2" t="s">
        <v>563</v>
      </c>
      <c r="B291" s="2" t="s">
        <v>303</v>
      </c>
      <c r="C291" s="2" t="s">
        <v>12</v>
      </c>
      <c r="D291" s="2" t="s">
        <v>84</v>
      </c>
      <c r="E291" s="2">
        <v>471</v>
      </c>
      <c r="F291" s="3">
        <v>46124</v>
      </c>
      <c r="G291" s="3">
        <v>46134</v>
      </c>
      <c r="H291" s="3">
        <v>46143</v>
      </c>
      <c r="I291" s="2">
        <v>471</v>
      </c>
      <c r="J291" s="2">
        <v>6</v>
      </c>
    </row>
    <row r="292" spans="1:10">
      <c r="A292" s="2" t="s">
        <v>564</v>
      </c>
      <c r="B292" s="2" t="s">
        <v>67</v>
      </c>
      <c r="C292" s="2" t="s">
        <v>12</v>
      </c>
      <c r="D292" s="2" t="s">
        <v>195</v>
      </c>
      <c r="E292" s="2">
        <v>92</v>
      </c>
      <c r="F292" s="3">
        <v>46150</v>
      </c>
      <c r="G292" s="3">
        <v>46161</v>
      </c>
      <c r="H292" s="3">
        <v>46158</v>
      </c>
      <c r="I292" s="2">
        <v>93</v>
      </c>
      <c r="J292" s="2">
        <v>2</v>
      </c>
    </row>
    <row r="293" spans="1:10">
      <c r="A293" s="2" t="s">
        <v>565</v>
      </c>
      <c r="B293" s="2" t="s">
        <v>49</v>
      </c>
      <c r="C293" s="2" t="s">
        <v>12</v>
      </c>
      <c r="D293" s="2" t="s">
        <v>178</v>
      </c>
      <c r="E293" s="2">
        <v>674</v>
      </c>
      <c r="F293" s="3">
        <v>46167</v>
      </c>
      <c r="G293" s="3">
        <v>46178</v>
      </c>
      <c r="H293" s="3">
        <v>46177</v>
      </c>
      <c r="I293" s="2">
        <v>684</v>
      </c>
      <c r="J293" s="2">
        <v>0</v>
      </c>
    </row>
    <row r="294" spans="1:10">
      <c r="A294" s="2" t="s">
        <v>566</v>
      </c>
      <c r="B294" s="2" t="s">
        <v>29</v>
      </c>
      <c r="C294" s="2" t="s">
        <v>12</v>
      </c>
      <c r="D294" s="2" t="s">
        <v>567</v>
      </c>
      <c r="E294" s="2">
        <v>634</v>
      </c>
      <c r="F294" s="3">
        <v>46126</v>
      </c>
      <c r="G294" s="3">
        <v>46138</v>
      </c>
      <c r="H294" s="3">
        <v>46147</v>
      </c>
      <c r="I294" s="2">
        <v>511</v>
      </c>
      <c r="J294" s="2">
        <v>1</v>
      </c>
    </row>
    <row r="295" spans="1:10">
      <c r="A295" s="2" t="s">
        <v>568</v>
      </c>
      <c r="B295" s="2" t="s">
        <v>26</v>
      </c>
      <c r="C295" s="2" t="s">
        <v>16</v>
      </c>
      <c r="D295" s="2" t="s">
        <v>569</v>
      </c>
      <c r="E295" s="2">
        <v>448</v>
      </c>
      <c r="F295" s="3">
        <v>46137</v>
      </c>
      <c r="G295" s="3">
        <v>46149</v>
      </c>
      <c r="H295" s="3">
        <v>46147</v>
      </c>
      <c r="I295" s="2">
        <v>386</v>
      </c>
      <c r="J295" s="2">
        <v>8</v>
      </c>
    </row>
    <row r="296" spans="1:10">
      <c r="A296" s="2" t="s">
        <v>570</v>
      </c>
      <c r="B296" s="2" t="s">
        <v>100</v>
      </c>
      <c r="C296" s="2" t="s">
        <v>16</v>
      </c>
      <c r="D296" s="2" t="s">
        <v>571</v>
      </c>
      <c r="E296" s="2">
        <v>908</v>
      </c>
      <c r="F296" s="3">
        <v>46118</v>
      </c>
      <c r="G296" s="3">
        <v>46127</v>
      </c>
      <c r="H296" s="3">
        <v>46127</v>
      </c>
      <c r="I296" s="2">
        <v>902</v>
      </c>
      <c r="J296" s="2">
        <v>20</v>
      </c>
    </row>
    <row r="297" spans="1:10">
      <c r="A297" s="2" t="s">
        <v>572</v>
      </c>
      <c r="B297" s="2" t="s">
        <v>573</v>
      </c>
      <c r="C297" s="2" t="s">
        <v>23</v>
      </c>
      <c r="D297" s="2" t="s">
        <v>574</v>
      </c>
      <c r="E297" s="2">
        <v>555</v>
      </c>
      <c r="F297" s="3">
        <v>46165</v>
      </c>
      <c r="G297" s="3">
        <v>46176</v>
      </c>
      <c r="H297" s="3">
        <v>46184</v>
      </c>
      <c r="I297" s="2">
        <v>527</v>
      </c>
      <c r="J297" s="2">
        <v>17</v>
      </c>
    </row>
    <row r="298" spans="1:10">
      <c r="A298" s="2" t="s">
        <v>575</v>
      </c>
      <c r="B298" s="2" t="s">
        <v>576</v>
      </c>
      <c r="C298" s="2" t="s">
        <v>12</v>
      </c>
      <c r="D298" s="2" t="s">
        <v>356</v>
      </c>
      <c r="E298" s="2">
        <v>669</v>
      </c>
      <c r="F298" s="3">
        <v>46156</v>
      </c>
      <c r="G298" s="3">
        <v>46169</v>
      </c>
      <c r="H298" s="3">
        <v>46166</v>
      </c>
      <c r="I298" s="2">
        <v>670</v>
      </c>
      <c r="J298" s="2">
        <v>19</v>
      </c>
    </row>
    <row r="299" spans="1:10">
      <c r="A299" s="2" t="s">
        <v>577</v>
      </c>
      <c r="B299" s="2" t="s">
        <v>35</v>
      </c>
      <c r="C299" s="2" t="s">
        <v>16</v>
      </c>
      <c r="D299" s="2" t="s">
        <v>578</v>
      </c>
      <c r="E299" s="2">
        <v>382</v>
      </c>
      <c r="F299" s="3">
        <v>46114</v>
      </c>
      <c r="G299" s="3">
        <v>46121</v>
      </c>
      <c r="H299" s="3">
        <v>46128</v>
      </c>
      <c r="I299" s="2">
        <v>383</v>
      </c>
      <c r="J299" s="2">
        <v>7</v>
      </c>
    </row>
    <row r="300" spans="1:10">
      <c r="A300" s="2" t="s">
        <v>579</v>
      </c>
      <c r="B300" s="2" t="s">
        <v>206</v>
      </c>
      <c r="C300" s="2" t="s">
        <v>23</v>
      </c>
      <c r="D300" s="2" t="s">
        <v>580</v>
      </c>
      <c r="E300" s="2">
        <v>622</v>
      </c>
      <c r="F300" s="3">
        <v>46068</v>
      </c>
      <c r="G300" s="3">
        <v>46074</v>
      </c>
      <c r="H300" s="3">
        <v>46076</v>
      </c>
      <c r="I300" s="2">
        <v>617</v>
      </c>
      <c r="J300" s="2">
        <v>3</v>
      </c>
    </row>
    <row r="301" spans="1:10">
      <c r="A301" s="2" t="s">
        <v>581</v>
      </c>
      <c r="B301" s="2" t="s">
        <v>64</v>
      </c>
      <c r="C301" s="2" t="s">
        <v>23</v>
      </c>
      <c r="D301" s="2" t="s">
        <v>372</v>
      </c>
      <c r="E301" s="2">
        <v>178</v>
      </c>
      <c r="F301" s="3">
        <v>46143</v>
      </c>
      <c r="G301" s="3">
        <v>46153</v>
      </c>
      <c r="H301" s="3">
        <v>46150</v>
      </c>
      <c r="I301" s="2">
        <v>177</v>
      </c>
      <c r="J301" s="2">
        <v>14</v>
      </c>
    </row>
    <row r="302" spans="1:10">
      <c r="A302" s="2" t="s">
        <v>582</v>
      </c>
      <c r="B302" s="2" t="s">
        <v>32</v>
      </c>
      <c r="C302" s="2" t="s">
        <v>23</v>
      </c>
      <c r="D302" s="2" t="s">
        <v>583</v>
      </c>
      <c r="E302" s="2">
        <v>196</v>
      </c>
      <c r="F302" s="3">
        <v>46127</v>
      </c>
      <c r="G302" s="3">
        <v>46142</v>
      </c>
      <c r="H302" s="3">
        <v>46139</v>
      </c>
      <c r="I302" s="2">
        <v>194</v>
      </c>
      <c r="J302" s="2">
        <v>8</v>
      </c>
    </row>
    <row r="303" spans="1:10">
      <c r="A303" s="2" t="s">
        <v>584</v>
      </c>
      <c r="B303" s="2" t="s">
        <v>26</v>
      </c>
      <c r="C303" s="2" t="s">
        <v>23</v>
      </c>
      <c r="D303" s="2" t="s">
        <v>585</v>
      </c>
      <c r="E303" s="2">
        <v>438</v>
      </c>
      <c r="F303" s="3">
        <v>46109</v>
      </c>
      <c r="G303" s="3">
        <v>46121</v>
      </c>
      <c r="H303" s="3">
        <v>46119</v>
      </c>
      <c r="I303" s="2">
        <v>434</v>
      </c>
      <c r="J303" s="2">
        <v>7</v>
      </c>
    </row>
    <row r="304" spans="1:10">
      <c r="A304" s="2" t="s">
        <v>586</v>
      </c>
      <c r="B304" s="2" t="s">
        <v>19</v>
      </c>
      <c r="C304" s="2" t="s">
        <v>23</v>
      </c>
      <c r="D304" s="2" t="s">
        <v>412</v>
      </c>
      <c r="E304" s="2">
        <v>232</v>
      </c>
      <c r="F304" s="3">
        <v>46087</v>
      </c>
      <c r="G304" s="3">
        <v>46098</v>
      </c>
      <c r="H304" s="3">
        <v>46095</v>
      </c>
      <c r="I304" s="2">
        <v>229</v>
      </c>
      <c r="J304" s="2">
        <v>6</v>
      </c>
    </row>
    <row r="305" spans="1:10">
      <c r="A305" s="2" t="s">
        <v>587</v>
      </c>
      <c r="B305" s="2" t="s">
        <v>120</v>
      </c>
      <c r="C305" s="2" t="s">
        <v>12</v>
      </c>
      <c r="D305" s="2" t="s">
        <v>221</v>
      </c>
      <c r="E305" s="2">
        <v>699</v>
      </c>
      <c r="F305" s="3">
        <v>46034</v>
      </c>
      <c r="G305" s="3">
        <v>46049</v>
      </c>
      <c r="H305" s="3">
        <v>46049</v>
      </c>
      <c r="I305" s="2">
        <v>700</v>
      </c>
      <c r="J305" s="2">
        <v>18</v>
      </c>
    </row>
    <row r="306" spans="1:10">
      <c r="A306" s="2" t="s">
        <v>588</v>
      </c>
      <c r="B306" s="2" t="s">
        <v>120</v>
      </c>
      <c r="C306" s="2" t="s">
        <v>12</v>
      </c>
      <c r="D306" s="2" t="s">
        <v>589</v>
      </c>
      <c r="E306" s="2">
        <v>959</v>
      </c>
      <c r="F306" s="3">
        <v>46139</v>
      </c>
      <c r="G306" s="3">
        <v>46147</v>
      </c>
      <c r="H306" s="3">
        <v>46144</v>
      </c>
      <c r="I306" s="2">
        <v>955</v>
      </c>
      <c r="J306" s="2">
        <v>1</v>
      </c>
    </row>
    <row r="307" spans="1:10">
      <c r="A307" s="2" t="s">
        <v>590</v>
      </c>
      <c r="B307" s="2" t="s">
        <v>591</v>
      </c>
      <c r="C307" s="2" t="s">
        <v>23</v>
      </c>
      <c r="D307" s="2" t="s">
        <v>592</v>
      </c>
      <c r="E307" s="2">
        <v>459</v>
      </c>
      <c r="F307" s="3">
        <v>46136</v>
      </c>
      <c r="G307" s="3">
        <v>46151</v>
      </c>
      <c r="H307" s="3">
        <v>46149</v>
      </c>
      <c r="I307" s="2">
        <v>466</v>
      </c>
      <c r="J307" s="2">
        <v>17</v>
      </c>
    </row>
    <row r="308" spans="1:10">
      <c r="A308" s="2" t="s">
        <v>593</v>
      </c>
      <c r="B308" s="2" t="s">
        <v>46</v>
      </c>
      <c r="C308" s="2" t="s">
        <v>16</v>
      </c>
      <c r="D308" s="2" t="s">
        <v>594</v>
      </c>
      <c r="E308" s="2">
        <v>438</v>
      </c>
      <c r="F308" s="3">
        <v>46047</v>
      </c>
      <c r="G308" s="3">
        <v>46062</v>
      </c>
      <c r="H308" s="3">
        <v>46059</v>
      </c>
      <c r="I308" s="2">
        <v>432</v>
      </c>
      <c r="J308" s="2">
        <v>19</v>
      </c>
    </row>
    <row r="309" spans="1:10">
      <c r="A309" s="2" t="s">
        <v>595</v>
      </c>
      <c r="B309" s="2" t="s">
        <v>54</v>
      </c>
      <c r="C309" s="2" t="s">
        <v>23</v>
      </c>
      <c r="D309" s="2" t="s">
        <v>458</v>
      </c>
      <c r="E309" s="2">
        <v>770</v>
      </c>
      <c r="F309" s="3">
        <v>46094</v>
      </c>
      <c r="G309" s="3">
        <v>46107</v>
      </c>
      <c r="H309" s="3">
        <v>46110</v>
      </c>
      <c r="I309" s="2">
        <v>763</v>
      </c>
      <c r="J309" s="2">
        <v>1</v>
      </c>
    </row>
    <row r="310" spans="1:10">
      <c r="A310" s="2" t="s">
        <v>596</v>
      </c>
      <c r="B310" s="2" t="s">
        <v>100</v>
      </c>
      <c r="C310" s="2" t="s">
        <v>16</v>
      </c>
      <c r="D310" s="2" t="s">
        <v>597</v>
      </c>
      <c r="E310" s="2">
        <v>344</v>
      </c>
      <c r="F310" s="3">
        <v>46175</v>
      </c>
      <c r="G310" s="3">
        <v>46185</v>
      </c>
      <c r="H310" s="3">
        <v>46184</v>
      </c>
      <c r="I310" s="2">
        <v>346</v>
      </c>
      <c r="J310" s="2">
        <v>6</v>
      </c>
    </row>
    <row r="311" spans="1:10">
      <c r="A311" s="2" t="s">
        <v>598</v>
      </c>
      <c r="B311" s="2" t="s">
        <v>54</v>
      </c>
      <c r="C311" s="2" t="s">
        <v>12</v>
      </c>
      <c r="D311" s="2" t="s">
        <v>533</v>
      </c>
      <c r="E311" s="2">
        <v>357</v>
      </c>
      <c r="F311" s="3">
        <v>46112</v>
      </c>
      <c r="G311" s="3">
        <v>46122</v>
      </c>
      <c r="H311" s="2"/>
      <c r="I311" s="2"/>
      <c r="J311" s="2"/>
    </row>
    <row r="312" spans="1:10">
      <c r="A312" s="2" t="s">
        <v>599</v>
      </c>
      <c r="B312" s="2" t="s">
        <v>100</v>
      </c>
      <c r="C312" s="2" t="s">
        <v>12</v>
      </c>
      <c r="D312" s="2" t="s">
        <v>600</v>
      </c>
      <c r="E312" s="2">
        <v>997</v>
      </c>
      <c r="F312" s="3">
        <v>46079</v>
      </c>
      <c r="G312" s="3">
        <v>46085</v>
      </c>
      <c r="H312" s="3">
        <v>46084</v>
      </c>
      <c r="I312" s="2">
        <v>995</v>
      </c>
      <c r="J312" s="2">
        <v>26</v>
      </c>
    </row>
    <row r="313" spans="1:10">
      <c r="A313" s="2" t="s">
        <v>601</v>
      </c>
      <c r="B313" s="2" t="s">
        <v>22</v>
      </c>
      <c r="C313" s="2" t="s">
        <v>12</v>
      </c>
      <c r="D313" s="2" t="s">
        <v>524</v>
      </c>
      <c r="E313" s="2">
        <v>288</v>
      </c>
      <c r="F313" s="3">
        <v>46125</v>
      </c>
      <c r="G313" s="3">
        <v>46136</v>
      </c>
      <c r="H313" s="3">
        <v>46136</v>
      </c>
      <c r="I313" s="2">
        <v>291</v>
      </c>
      <c r="J313" s="2">
        <v>13</v>
      </c>
    </row>
    <row r="314" spans="1:10">
      <c r="A314" s="2" t="s">
        <v>602</v>
      </c>
      <c r="B314" s="2" t="s">
        <v>32</v>
      </c>
      <c r="C314" s="2" t="s">
        <v>12</v>
      </c>
      <c r="D314" s="2" t="s">
        <v>603</v>
      </c>
      <c r="E314" s="2">
        <v>204</v>
      </c>
      <c r="F314" s="3">
        <v>46158</v>
      </c>
      <c r="G314" s="3">
        <v>46166</v>
      </c>
      <c r="H314" s="3">
        <v>46165</v>
      </c>
      <c r="I314" s="2">
        <v>206</v>
      </c>
      <c r="J314" s="2">
        <v>4</v>
      </c>
    </row>
    <row r="315" spans="1:10">
      <c r="A315" s="2" t="s">
        <v>604</v>
      </c>
      <c r="B315" s="2" t="s">
        <v>11</v>
      </c>
      <c r="C315" s="2" t="s">
        <v>12</v>
      </c>
      <c r="D315" s="2" t="s">
        <v>605</v>
      </c>
      <c r="E315" s="2">
        <v>262</v>
      </c>
      <c r="F315" s="3">
        <v>46101</v>
      </c>
      <c r="G315" s="3">
        <v>46106</v>
      </c>
      <c r="H315" s="3">
        <v>46106</v>
      </c>
      <c r="I315" s="2">
        <v>258</v>
      </c>
      <c r="J315" s="2">
        <v>0</v>
      </c>
    </row>
    <row r="316" spans="1:10">
      <c r="A316" s="2" t="s">
        <v>606</v>
      </c>
      <c r="B316" s="2" t="s">
        <v>54</v>
      </c>
      <c r="C316" s="2" t="s">
        <v>12</v>
      </c>
      <c r="D316" s="2" t="s">
        <v>55</v>
      </c>
      <c r="E316" s="2">
        <v>321</v>
      </c>
      <c r="F316" s="3">
        <v>46123</v>
      </c>
      <c r="G316" s="3">
        <v>46137</v>
      </c>
      <c r="H316" s="3">
        <v>46145</v>
      </c>
      <c r="I316" s="2">
        <v>323</v>
      </c>
      <c r="J316" s="2">
        <v>5</v>
      </c>
    </row>
    <row r="317" spans="1:10">
      <c r="A317" s="2" t="s">
        <v>607</v>
      </c>
      <c r="B317" s="2" t="s">
        <v>19</v>
      </c>
      <c r="C317" s="2" t="s">
        <v>23</v>
      </c>
      <c r="D317" s="2" t="s">
        <v>608</v>
      </c>
      <c r="E317" s="2">
        <v>160</v>
      </c>
      <c r="F317" s="3">
        <v>46066</v>
      </c>
      <c r="G317" s="3">
        <v>46072</v>
      </c>
      <c r="H317" s="3">
        <v>46072</v>
      </c>
      <c r="I317" s="2">
        <v>160</v>
      </c>
      <c r="J317" s="2">
        <v>5</v>
      </c>
    </row>
    <row r="318" spans="1:10">
      <c r="A318" s="2" t="s">
        <v>288</v>
      </c>
      <c r="B318" s="2" t="s">
        <v>49</v>
      </c>
      <c r="C318" s="2" t="s">
        <v>16</v>
      </c>
      <c r="D318" s="2" t="s">
        <v>272</v>
      </c>
      <c r="E318" s="2">
        <v>660</v>
      </c>
      <c r="F318" s="3">
        <v>46120</v>
      </c>
      <c r="G318" s="3">
        <v>46125</v>
      </c>
      <c r="H318" s="3">
        <v>46125</v>
      </c>
      <c r="I318" s="2">
        <v>671</v>
      </c>
      <c r="J318" s="2">
        <v>11</v>
      </c>
    </row>
    <row r="319" spans="1:10">
      <c r="A319" s="2" t="s">
        <v>609</v>
      </c>
      <c r="B319" s="2" t="s">
        <v>117</v>
      </c>
      <c r="C319" s="2" t="s">
        <v>16</v>
      </c>
      <c r="D319" s="2" t="s">
        <v>610</v>
      </c>
      <c r="E319" s="2">
        <v>551</v>
      </c>
      <c r="F319" s="3">
        <v>46156</v>
      </c>
      <c r="G319" s="3">
        <v>46161</v>
      </c>
      <c r="H319" s="3">
        <v>46169</v>
      </c>
      <c r="I319" s="2">
        <v>551</v>
      </c>
      <c r="J319" s="2">
        <v>46</v>
      </c>
    </row>
    <row r="320" spans="1:10">
      <c r="A320" s="2" t="s">
        <v>611</v>
      </c>
      <c r="B320" s="2" t="s">
        <v>120</v>
      </c>
      <c r="C320" s="2" t="s">
        <v>12</v>
      </c>
      <c r="D320" s="2" t="s">
        <v>409</v>
      </c>
      <c r="E320" s="2">
        <v>667</v>
      </c>
      <c r="F320" s="3">
        <v>46045</v>
      </c>
      <c r="G320" s="3">
        <v>46050</v>
      </c>
      <c r="H320" s="3">
        <v>46049</v>
      </c>
      <c r="I320" s="2">
        <v>675</v>
      </c>
      <c r="J320" s="2">
        <v>36</v>
      </c>
    </row>
    <row r="321" spans="1:10">
      <c r="A321" s="2" t="s">
        <v>612</v>
      </c>
      <c r="B321" s="2" t="s">
        <v>476</v>
      </c>
      <c r="C321" s="2" t="s">
        <v>12</v>
      </c>
      <c r="D321" s="2" t="s">
        <v>281</v>
      </c>
      <c r="E321" s="2">
        <v>588</v>
      </c>
      <c r="F321" s="3">
        <v>46098</v>
      </c>
      <c r="G321" s="3">
        <v>46113</v>
      </c>
      <c r="H321" s="3">
        <v>46110</v>
      </c>
      <c r="I321" s="2">
        <v>589</v>
      </c>
      <c r="J321" s="2">
        <v>7</v>
      </c>
    </row>
    <row r="322" spans="1:10">
      <c r="A322" s="2" t="s">
        <v>613</v>
      </c>
      <c r="B322" s="2" t="s">
        <v>614</v>
      </c>
      <c r="C322" s="2" t="s">
        <v>12</v>
      </c>
      <c r="D322" s="2" t="s">
        <v>339</v>
      </c>
      <c r="E322" s="2">
        <v>881</v>
      </c>
      <c r="F322" s="3">
        <v>46163</v>
      </c>
      <c r="G322" s="3">
        <v>46173</v>
      </c>
      <c r="H322" s="3">
        <v>46170</v>
      </c>
      <c r="I322" s="2">
        <v>883</v>
      </c>
      <c r="J322" s="2">
        <v>38</v>
      </c>
    </row>
    <row r="323" spans="1:10">
      <c r="A323" s="2" t="s">
        <v>615</v>
      </c>
      <c r="B323" s="2" t="s">
        <v>67</v>
      </c>
      <c r="C323" s="2" t="s">
        <v>23</v>
      </c>
      <c r="D323" s="2" t="s">
        <v>616</v>
      </c>
      <c r="E323" s="2">
        <v>668</v>
      </c>
      <c r="F323" s="3">
        <v>46154</v>
      </c>
      <c r="G323" s="3">
        <v>46160</v>
      </c>
      <c r="H323" s="3">
        <v>46160</v>
      </c>
      <c r="I323" s="2">
        <v>661</v>
      </c>
      <c r="J323" s="2">
        <v>24</v>
      </c>
    </row>
    <row r="324" spans="1:10">
      <c r="A324" s="2" t="s">
        <v>617</v>
      </c>
      <c r="B324" s="2" t="s">
        <v>100</v>
      </c>
      <c r="C324" s="2" t="s">
        <v>12</v>
      </c>
      <c r="D324" s="2" t="s">
        <v>113</v>
      </c>
      <c r="E324" s="2">
        <v>357</v>
      </c>
      <c r="F324" s="3">
        <v>46119</v>
      </c>
      <c r="G324" s="3">
        <v>46133</v>
      </c>
      <c r="H324" s="3">
        <v>46130</v>
      </c>
      <c r="I324" s="2">
        <v>355</v>
      </c>
      <c r="J324" s="2">
        <v>7</v>
      </c>
    </row>
    <row r="325" spans="1:10">
      <c r="A325" s="2" t="s">
        <v>618</v>
      </c>
      <c r="B325" s="2" t="s">
        <v>52</v>
      </c>
      <c r="C325" s="2" t="s">
        <v>23</v>
      </c>
      <c r="D325" s="2" t="s">
        <v>619</v>
      </c>
      <c r="E325" s="2">
        <v>122</v>
      </c>
      <c r="F325" s="3">
        <v>46156</v>
      </c>
      <c r="G325" s="3">
        <v>46169</v>
      </c>
      <c r="H325" s="3">
        <v>46174</v>
      </c>
      <c r="I325" s="2">
        <v>101</v>
      </c>
      <c r="J325" s="2">
        <v>1</v>
      </c>
    </row>
    <row r="326" spans="1:10">
      <c r="A326" s="2" t="s">
        <v>620</v>
      </c>
      <c r="B326" s="2" t="s">
        <v>193</v>
      </c>
      <c r="C326" s="2" t="s">
        <v>12</v>
      </c>
      <c r="D326" s="2" t="s">
        <v>30</v>
      </c>
      <c r="E326" s="2">
        <v>687</v>
      </c>
      <c r="F326" s="3">
        <v>46042</v>
      </c>
      <c r="G326" s="3">
        <v>46053</v>
      </c>
      <c r="H326" s="3">
        <v>46051</v>
      </c>
      <c r="I326" s="2">
        <v>686</v>
      </c>
      <c r="J326" s="2">
        <v>41</v>
      </c>
    </row>
    <row r="327" spans="1:10">
      <c r="A327" s="2" t="s">
        <v>621</v>
      </c>
      <c r="B327" s="2" t="s">
        <v>26</v>
      </c>
      <c r="C327" s="2" t="s">
        <v>12</v>
      </c>
      <c r="D327" s="2" t="s">
        <v>204</v>
      </c>
      <c r="E327" s="2">
        <v>387</v>
      </c>
      <c r="F327" s="3">
        <v>46090</v>
      </c>
      <c r="G327" s="3">
        <v>46103</v>
      </c>
      <c r="H327" s="3">
        <v>46100</v>
      </c>
      <c r="I327" s="2">
        <v>316</v>
      </c>
      <c r="J327" s="2">
        <v>6</v>
      </c>
    </row>
    <row r="328" spans="1:10">
      <c r="A328" s="2" t="s">
        <v>622</v>
      </c>
      <c r="B328" s="2" t="s">
        <v>46</v>
      </c>
      <c r="C328" s="2" t="s">
        <v>16</v>
      </c>
      <c r="D328" s="2" t="s">
        <v>623</v>
      </c>
      <c r="E328" s="2">
        <v>531</v>
      </c>
      <c r="F328" s="3">
        <v>46137</v>
      </c>
      <c r="G328" s="3">
        <v>46152</v>
      </c>
      <c r="H328" s="3">
        <v>46150</v>
      </c>
      <c r="I328" s="2">
        <v>541</v>
      </c>
      <c r="J328" s="2">
        <v>37</v>
      </c>
    </row>
    <row r="329" spans="1:10">
      <c r="A329" s="2" t="s">
        <v>624</v>
      </c>
      <c r="B329" s="2" t="s">
        <v>49</v>
      </c>
      <c r="C329" s="2" t="s">
        <v>12</v>
      </c>
      <c r="D329" s="2" t="s">
        <v>625</v>
      </c>
      <c r="E329" s="2">
        <v>683</v>
      </c>
      <c r="F329" s="3">
        <v>46102</v>
      </c>
      <c r="G329" s="3">
        <v>46111</v>
      </c>
      <c r="H329" s="3">
        <v>46111</v>
      </c>
      <c r="I329" s="2">
        <v>672</v>
      </c>
      <c r="J329" s="2">
        <v>1</v>
      </c>
    </row>
    <row r="330" spans="1:10">
      <c r="A330" s="2" t="s">
        <v>626</v>
      </c>
      <c r="B330" s="2" t="s">
        <v>49</v>
      </c>
      <c r="C330" s="2" t="s">
        <v>16</v>
      </c>
      <c r="D330" s="2" t="s">
        <v>627</v>
      </c>
      <c r="E330" s="2">
        <v>793</v>
      </c>
      <c r="F330" s="3">
        <v>46076</v>
      </c>
      <c r="G330" s="3">
        <v>46086</v>
      </c>
      <c r="H330" s="3">
        <v>46085</v>
      </c>
      <c r="I330" s="2">
        <v>798</v>
      </c>
      <c r="J330" s="2">
        <v>2</v>
      </c>
    </row>
    <row r="331" spans="1:10">
      <c r="A331" s="2" t="s">
        <v>628</v>
      </c>
      <c r="B331" s="2" t="s">
        <v>22</v>
      </c>
      <c r="C331" s="2" t="s">
        <v>23</v>
      </c>
      <c r="D331" s="2" t="s">
        <v>629</v>
      </c>
      <c r="E331" s="2">
        <v>888</v>
      </c>
      <c r="F331" s="3">
        <v>46027</v>
      </c>
      <c r="G331" s="3">
        <v>46037</v>
      </c>
      <c r="H331" s="3">
        <v>46036</v>
      </c>
      <c r="I331" s="2">
        <v>906</v>
      </c>
      <c r="J331" s="2">
        <v>73</v>
      </c>
    </row>
    <row r="332" spans="1:10">
      <c r="A332" s="2" t="s">
        <v>630</v>
      </c>
      <c r="B332" s="2" t="s">
        <v>49</v>
      </c>
      <c r="C332" s="2" t="s">
        <v>23</v>
      </c>
      <c r="D332" s="2" t="s">
        <v>631</v>
      </c>
      <c r="E332" s="2">
        <v>944</v>
      </c>
      <c r="F332" s="3">
        <v>46080</v>
      </c>
      <c r="G332" s="3">
        <v>46087</v>
      </c>
      <c r="H332" s="3">
        <v>46085</v>
      </c>
      <c r="I332" s="2">
        <v>835</v>
      </c>
      <c r="J332" s="2">
        <v>1</v>
      </c>
    </row>
    <row r="333" spans="1:10">
      <c r="A333" s="2" t="s">
        <v>632</v>
      </c>
      <c r="B333" s="2" t="s">
        <v>22</v>
      </c>
      <c r="C333" s="2" t="s">
        <v>16</v>
      </c>
      <c r="D333" s="2" t="s">
        <v>633</v>
      </c>
      <c r="E333" s="2">
        <v>542</v>
      </c>
      <c r="F333" s="3">
        <v>46169</v>
      </c>
      <c r="G333" s="3">
        <v>46181</v>
      </c>
      <c r="H333" s="3">
        <v>46186</v>
      </c>
      <c r="I333" s="2">
        <v>520</v>
      </c>
      <c r="J333" s="2">
        <v>43</v>
      </c>
    </row>
    <row r="334" spans="1:10">
      <c r="A334" s="2" t="s">
        <v>634</v>
      </c>
      <c r="B334" s="2" t="s">
        <v>635</v>
      </c>
      <c r="C334" s="2" t="s">
        <v>23</v>
      </c>
      <c r="D334" s="2" t="s">
        <v>636</v>
      </c>
      <c r="E334" s="2">
        <v>455</v>
      </c>
      <c r="F334" s="3">
        <v>46078</v>
      </c>
      <c r="G334" s="3">
        <v>46088</v>
      </c>
      <c r="H334" s="2"/>
      <c r="I334" s="2"/>
      <c r="J334" s="2"/>
    </row>
    <row r="335" spans="1:10">
      <c r="A335" s="2" t="s">
        <v>460</v>
      </c>
      <c r="B335" s="2" t="s">
        <v>528</v>
      </c>
      <c r="C335" s="2" t="s">
        <v>12</v>
      </c>
      <c r="D335" s="2" t="s">
        <v>461</v>
      </c>
      <c r="E335" s="2">
        <v>490</v>
      </c>
      <c r="F335" s="3">
        <v>46119</v>
      </c>
      <c r="G335" s="3">
        <v>46129</v>
      </c>
      <c r="H335" s="3">
        <v>46132</v>
      </c>
      <c r="I335" s="2">
        <v>438</v>
      </c>
      <c r="J335" s="2">
        <v>8</v>
      </c>
    </row>
    <row r="336" spans="1:10">
      <c r="A336" s="2" t="s">
        <v>637</v>
      </c>
      <c r="B336" s="2" t="s">
        <v>22</v>
      </c>
      <c r="C336" s="2" t="s">
        <v>16</v>
      </c>
      <c r="D336" s="2" t="s">
        <v>448</v>
      </c>
      <c r="E336" s="2">
        <v>652</v>
      </c>
      <c r="F336" s="3">
        <v>46171</v>
      </c>
      <c r="G336" s="3">
        <v>46179</v>
      </c>
      <c r="H336" s="3">
        <v>46179</v>
      </c>
      <c r="I336" s="2">
        <v>550</v>
      </c>
      <c r="J336" s="2">
        <v>36</v>
      </c>
    </row>
    <row r="337" spans="1:10">
      <c r="A337" s="2" t="s">
        <v>638</v>
      </c>
      <c r="B337" s="2" t="s">
        <v>49</v>
      </c>
      <c r="C337" s="2" t="s">
        <v>23</v>
      </c>
      <c r="D337" s="2" t="s">
        <v>639</v>
      </c>
      <c r="E337" s="2">
        <v>133</v>
      </c>
      <c r="F337" s="3">
        <v>46114</v>
      </c>
      <c r="G337" s="3">
        <v>46129</v>
      </c>
      <c r="H337" s="2"/>
      <c r="I337" s="2"/>
      <c r="J337" s="2"/>
    </row>
    <row r="338" spans="1:10">
      <c r="A338" s="2" t="s">
        <v>640</v>
      </c>
      <c r="B338" s="2" t="s">
        <v>177</v>
      </c>
      <c r="C338" s="2" t="s">
        <v>16</v>
      </c>
      <c r="D338" s="2" t="s">
        <v>255</v>
      </c>
      <c r="E338" s="2">
        <v>596</v>
      </c>
      <c r="F338" s="3">
        <v>46100</v>
      </c>
      <c r="G338" s="3">
        <v>46109</v>
      </c>
      <c r="H338" s="3">
        <v>46109</v>
      </c>
      <c r="I338" s="2">
        <v>586</v>
      </c>
      <c r="J338" s="2">
        <v>28</v>
      </c>
    </row>
    <row r="339" spans="1:10">
      <c r="A339" s="2" t="s">
        <v>641</v>
      </c>
      <c r="B339" s="2" t="s">
        <v>642</v>
      </c>
      <c r="C339" s="2" t="s">
        <v>16</v>
      </c>
      <c r="D339" s="2" t="s">
        <v>643</v>
      </c>
      <c r="E339" s="2">
        <v>114</v>
      </c>
      <c r="F339" s="3">
        <v>46163</v>
      </c>
      <c r="G339" s="3">
        <v>46171</v>
      </c>
      <c r="H339" s="3">
        <v>46171</v>
      </c>
      <c r="I339" s="2">
        <v>112</v>
      </c>
      <c r="J339" s="2">
        <v>2</v>
      </c>
    </row>
    <row r="340" spans="1:10">
      <c r="A340" s="2" t="s">
        <v>644</v>
      </c>
      <c r="B340" s="2" t="s">
        <v>46</v>
      </c>
      <c r="C340" s="2" t="s">
        <v>12</v>
      </c>
      <c r="D340" s="2" t="s">
        <v>645</v>
      </c>
      <c r="E340" s="2">
        <v>483</v>
      </c>
      <c r="F340" s="3">
        <v>46108</v>
      </c>
      <c r="G340" s="3">
        <v>46123</v>
      </c>
      <c r="H340" s="3">
        <v>46122</v>
      </c>
      <c r="I340" s="2">
        <v>474</v>
      </c>
      <c r="J340" s="2">
        <v>12</v>
      </c>
    </row>
    <row r="341" spans="1:10">
      <c r="A341" s="2" t="s">
        <v>646</v>
      </c>
      <c r="B341" s="2" t="s">
        <v>29</v>
      </c>
      <c r="C341" s="2" t="s">
        <v>12</v>
      </c>
      <c r="D341" s="2" t="s">
        <v>647</v>
      </c>
      <c r="E341" s="2">
        <v>598</v>
      </c>
      <c r="F341" s="3">
        <v>46119</v>
      </c>
      <c r="G341" s="3">
        <v>46124</v>
      </c>
      <c r="H341" s="3">
        <v>46126</v>
      </c>
      <c r="I341" s="2">
        <v>508</v>
      </c>
      <c r="J341" s="2">
        <v>2</v>
      </c>
    </row>
    <row r="342" spans="1:10">
      <c r="A342" s="2" t="s">
        <v>648</v>
      </c>
      <c r="B342" s="2" t="s">
        <v>11</v>
      </c>
      <c r="C342" s="2" t="s">
        <v>12</v>
      </c>
      <c r="D342" s="2" t="s">
        <v>354</v>
      </c>
      <c r="E342" s="2">
        <v>302</v>
      </c>
      <c r="F342" s="3">
        <v>46137</v>
      </c>
      <c r="G342" s="3">
        <v>46142</v>
      </c>
      <c r="H342" s="3">
        <v>46142</v>
      </c>
      <c r="I342" s="2">
        <v>301</v>
      </c>
      <c r="J342" s="2">
        <v>3</v>
      </c>
    </row>
    <row r="343" spans="1:10">
      <c r="A343" s="2" t="s">
        <v>649</v>
      </c>
      <c r="B343" s="2" t="s">
        <v>29</v>
      </c>
      <c r="C343" s="2" t="s">
        <v>16</v>
      </c>
      <c r="D343" s="2" t="s">
        <v>650</v>
      </c>
      <c r="E343" s="2">
        <v>666</v>
      </c>
      <c r="F343" s="3">
        <v>46125</v>
      </c>
      <c r="G343" s="3">
        <v>46131</v>
      </c>
      <c r="H343" s="3">
        <v>46131</v>
      </c>
      <c r="I343" s="2">
        <v>663</v>
      </c>
      <c r="J343" s="2">
        <v>0</v>
      </c>
    </row>
    <row r="344" spans="1:10">
      <c r="A344" s="2" t="s">
        <v>651</v>
      </c>
      <c r="B344" s="2" t="s">
        <v>177</v>
      </c>
      <c r="C344" s="2" t="s">
        <v>23</v>
      </c>
      <c r="D344" s="2"/>
      <c r="E344" s="2">
        <v>470</v>
      </c>
      <c r="F344" s="3">
        <v>46169</v>
      </c>
      <c r="G344" s="3">
        <v>46176</v>
      </c>
      <c r="H344" s="3">
        <v>46175</v>
      </c>
      <c r="I344" s="2">
        <v>462</v>
      </c>
      <c r="J344" s="2">
        <v>17</v>
      </c>
    </row>
    <row r="345" spans="1:10">
      <c r="A345" s="2" t="s">
        <v>652</v>
      </c>
      <c r="B345" s="2" t="s">
        <v>32</v>
      </c>
      <c r="C345" s="2" t="s">
        <v>12</v>
      </c>
      <c r="D345" s="2" t="s">
        <v>589</v>
      </c>
      <c r="E345" s="2">
        <v>844</v>
      </c>
      <c r="F345" s="3">
        <v>46051</v>
      </c>
      <c r="G345" s="3">
        <v>46066</v>
      </c>
      <c r="H345" s="3">
        <v>46063</v>
      </c>
      <c r="I345" s="2">
        <v>850</v>
      </c>
      <c r="J345" s="2">
        <v>16</v>
      </c>
    </row>
    <row r="346" spans="1:10">
      <c r="A346" s="2" t="s">
        <v>653</v>
      </c>
      <c r="B346" s="2" t="s">
        <v>43</v>
      </c>
      <c r="C346" s="2" t="s">
        <v>12</v>
      </c>
      <c r="D346" s="2" t="s">
        <v>625</v>
      </c>
      <c r="E346" s="2">
        <v>386</v>
      </c>
      <c r="F346" s="3">
        <v>46087</v>
      </c>
      <c r="G346" s="3">
        <v>46095</v>
      </c>
      <c r="H346" s="3">
        <v>46095</v>
      </c>
      <c r="I346" s="2">
        <v>393</v>
      </c>
      <c r="J346" s="2">
        <v>11</v>
      </c>
    </row>
    <row r="347" spans="1:10">
      <c r="A347" s="2" t="s">
        <v>654</v>
      </c>
      <c r="B347" s="2" t="s">
        <v>35</v>
      </c>
      <c r="C347" s="2" t="s">
        <v>12</v>
      </c>
      <c r="D347" s="2" t="s">
        <v>499</v>
      </c>
      <c r="E347" s="2">
        <v>437</v>
      </c>
      <c r="F347" s="3">
        <v>46046</v>
      </c>
      <c r="G347" s="3">
        <v>46052</v>
      </c>
      <c r="H347" s="3">
        <v>46052</v>
      </c>
      <c r="I347" s="2">
        <v>431</v>
      </c>
      <c r="J347" s="2">
        <v>27</v>
      </c>
    </row>
    <row r="348" spans="1:10">
      <c r="A348" s="2" t="s">
        <v>655</v>
      </c>
      <c r="B348" s="2" t="s">
        <v>49</v>
      </c>
      <c r="C348" s="2" t="s">
        <v>16</v>
      </c>
      <c r="D348" s="2" t="s">
        <v>395</v>
      </c>
      <c r="E348" s="2">
        <v>471</v>
      </c>
      <c r="F348" s="3">
        <v>46128</v>
      </c>
      <c r="G348" s="3">
        <v>46141</v>
      </c>
      <c r="H348" s="3">
        <v>46140</v>
      </c>
      <c r="I348" s="2">
        <v>396</v>
      </c>
      <c r="J348" s="2">
        <v>6</v>
      </c>
    </row>
    <row r="349" spans="1:10">
      <c r="A349" s="2" t="s">
        <v>656</v>
      </c>
      <c r="B349" s="2" t="s">
        <v>67</v>
      </c>
      <c r="C349" s="2" t="s">
        <v>12</v>
      </c>
      <c r="D349" s="2" t="s">
        <v>101</v>
      </c>
      <c r="E349" s="2">
        <v>197</v>
      </c>
      <c r="F349" s="3">
        <v>46069</v>
      </c>
      <c r="G349" s="3">
        <v>46081</v>
      </c>
      <c r="H349" s="3">
        <v>46079</v>
      </c>
      <c r="I349" s="2">
        <v>197</v>
      </c>
      <c r="J349" s="2">
        <v>4</v>
      </c>
    </row>
    <row r="350" spans="1:10">
      <c r="A350" s="2" t="s">
        <v>657</v>
      </c>
      <c r="B350" s="2" t="s">
        <v>70</v>
      </c>
      <c r="C350" s="2" t="s">
        <v>12</v>
      </c>
      <c r="D350" s="2" t="s">
        <v>658</v>
      </c>
      <c r="E350" s="2">
        <v>358</v>
      </c>
      <c r="F350" s="3">
        <v>46153</v>
      </c>
      <c r="G350" s="3">
        <v>46166</v>
      </c>
      <c r="H350" s="3">
        <v>46164</v>
      </c>
      <c r="I350" s="2">
        <v>361</v>
      </c>
      <c r="J350" s="2">
        <v>4</v>
      </c>
    </row>
    <row r="351" spans="1:10">
      <c r="A351" s="2" t="s">
        <v>659</v>
      </c>
      <c r="B351" s="2" t="s">
        <v>46</v>
      </c>
      <c r="C351" s="2" t="s">
        <v>23</v>
      </c>
      <c r="D351" s="2" t="s">
        <v>660</v>
      </c>
      <c r="E351" s="2">
        <v>812</v>
      </c>
      <c r="F351" s="3">
        <v>46078</v>
      </c>
      <c r="G351" s="3">
        <v>46088</v>
      </c>
      <c r="H351" s="3">
        <v>46089</v>
      </c>
      <c r="I351" s="2">
        <v>815</v>
      </c>
      <c r="J351" s="2">
        <v>51</v>
      </c>
    </row>
    <row r="352" spans="1:10">
      <c r="A352" s="2" t="s">
        <v>661</v>
      </c>
      <c r="B352" s="2" t="s">
        <v>32</v>
      </c>
      <c r="C352" s="2" t="s">
        <v>12</v>
      </c>
      <c r="D352" s="2" t="s">
        <v>391</v>
      </c>
      <c r="E352" s="2">
        <v>954</v>
      </c>
      <c r="F352" s="3">
        <v>46088</v>
      </c>
      <c r="G352" s="3">
        <v>46094</v>
      </c>
      <c r="H352" s="3">
        <v>46092</v>
      </c>
      <c r="I352" s="2">
        <v>961</v>
      </c>
      <c r="J352" s="2">
        <v>12</v>
      </c>
    </row>
    <row r="353" spans="1:10">
      <c r="A353" s="2" t="s">
        <v>662</v>
      </c>
      <c r="B353" s="2" t="s">
        <v>663</v>
      </c>
      <c r="C353" s="2" t="s">
        <v>12</v>
      </c>
      <c r="D353" s="2" t="s">
        <v>664</v>
      </c>
      <c r="E353" s="2">
        <v>965</v>
      </c>
      <c r="F353" s="3">
        <v>46127</v>
      </c>
      <c r="G353" s="3">
        <v>46135</v>
      </c>
      <c r="H353" s="3">
        <v>46135</v>
      </c>
      <c r="I353" s="2">
        <v>969</v>
      </c>
      <c r="J353" s="2">
        <v>15</v>
      </c>
    </row>
    <row r="354" spans="1:10">
      <c r="A354" s="2" t="s">
        <v>665</v>
      </c>
      <c r="B354" s="2" t="s">
        <v>22</v>
      </c>
      <c r="C354" s="2" t="s">
        <v>16</v>
      </c>
      <c r="D354" s="2" t="s">
        <v>666</v>
      </c>
      <c r="E354" s="2">
        <v>92</v>
      </c>
      <c r="F354" s="3">
        <v>46164</v>
      </c>
      <c r="G354" s="3">
        <v>46170</v>
      </c>
      <c r="H354" s="3">
        <v>46170</v>
      </c>
      <c r="I354" s="2">
        <v>84</v>
      </c>
      <c r="J354" s="2">
        <v>6</v>
      </c>
    </row>
    <row r="355" spans="1:10">
      <c r="A355" s="2" t="s">
        <v>667</v>
      </c>
      <c r="B355" s="2" t="s">
        <v>19</v>
      </c>
      <c r="C355" s="2" t="s">
        <v>12</v>
      </c>
      <c r="D355" s="2" t="s">
        <v>668</v>
      </c>
      <c r="E355" s="2">
        <v>124</v>
      </c>
      <c r="F355" s="3">
        <v>46029</v>
      </c>
      <c r="G355" s="3">
        <v>46035</v>
      </c>
      <c r="H355" s="3">
        <v>46034</v>
      </c>
      <c r="I355" s="2">
        <v>125</v>
      </c>
      <c r="J355" s="2">
        <v>1</v>
      </c>
    </row>
    <row r="356" spans="1:10">
      <c r="A356" s="2" t="s">
        <v>669</v>
      </c>
      <c r="B356" s="2" t="s">
        <v>49</v>
      </c>
      <c r="C356" s="2" t="s">
        <v>12</v>
      </c>
      <c r="D356" s="2" t="s">
        <v>670</v>
      </c>
      <c r="E356" s="2">
        <v>836</v>
      </c>
      <c r="F356" s="3">
        <v>46145</v>
      </c>
      <c r="G356" s="3">
        <v>46150</v>
      </c>
      <c r="H356" s="3">
        <v>46148</v>
      </c>
      <c r="I356" s="2">
        <v>829</v>
      </c>
      <c r="J356" s="2">
        <v>8</v>
      </c>
    </row>
    <row r="357" spans="1:10">
      <c r="A357" s="2" t="s">
        <v>671</v>
      </c>
      <c r="B357" s="2" t="s">
        <v>19</v>
      </c>
      <c r="C357" s="2" t="s">
        <v>23</v>
      </c>
      <c r="D357" s="2" t="s">
        <v>672</v>
      </c>
      <c r="E357" s="2">
        <v>748</v>
      </c>
      <c r="F357" s="3">
        <v>46065</v>
      </c>
      <c r="G357" s="3">
        <v>46080</v>
      </c>
      <c r="H357" s="3">
        <v>46080</v>
      </c>
      <c r="I357" s="2">
        <v>736</v>
      </c>
      <c r="J357" s="2">
        <v>25</v>
      </c>
    </row>
    <row r="358" spans="1:10">
      <c r="A358" s="2" t="s">
        <v>673</v>
      </c>
      <c r="B358" s="2" t="s">
        <v>120</v>
      </c>
      <c r="C358" s="2" t="s">
        <v>23</v>
      </c>
      <c r="D358" s="2" t="s">
        <v>674</v>
      </c>
      <c r="E358" s="2">
        <v>408</v>
      </c>
      <c r="F358" s="3">
        <v>46146</v>
      </c>
      <c r="G358" s="3">
        <v>46159</v>
      </c>
      <c r="H358" s="3">
        <v>46156</v>
      </c>
      <c r="I358" s="2">
        <v>387</v>
      </c>
      <c r="J358" s="2">
        <v>7</v>
      </c>
    </row>
    <row r="359" spans="1:10">
      <c r="A359" s="2" t="s">
        <v>675</v>
      </c>
      <c r="B359" s="2" t="s">
        <v>70</v>
      </c>
      <c r="C359" s="2" t="s">
        <v>12</v>
      </c>
      <c r="D359" s="2" t="s">
        <v>101</v>
      </c>
      <c r="E359" s="2">
        <v>959</v>
      </c>
      <c r="F359" s="3">
        <v>46059</v>
      </c>
      <c r="G359" s="3">
        <v>46065</v>
      </c>
      <c r="H359" s="3">
        <v>46071</v>
      </c>
      <c r="I359" s="2">
        <v>942</v>
      </c>
      <c r="J359" s="2">
        <v>9</v>
      </c>
    </row>
    <row r="360" spans="1:10">
      <c r="A360" s="2" t="s">
        <v>676</v>
      </c>
      <c r="B360" s="2" t="s">
        <v>70</v>
      </c>
      <c r="C360" s="2" t="s">
        <v>16</v>
      </c>
      <c r="D360" s="2" t="s">
        <v>677</v>
      </c>
      <c r="E360" s="2">
        <v>648</v>
      </c>
      <c r="F360" s="3">
        <v>46146</v>
      </c>
      <c r="G360" s="3">
        <v>46151</v>
      </c>
      <c r="H360" s="3">
        <v>46148</v>
      </c>
      <c r="I360" s="2">
        <v>637</v>
      </c>
      <c r="J360" s="2">
        <v>2</v>
      </c>
    </row>
    <row r="361" spans="1:10">
      <c r="A361" s="2" t="s">
        <v>678</v>
      </c>
      <c r="B361" s="2" t="s">
        <v>35</v>
      </c>
      <c r="C361" s="2" t="s">
        <v>16</v>
      </c>
      <c r="D361" s="2"/>
      <c r="E361" s="2">
        <v>953</v>
      </c>
      <c r="F361" s="3">
        <v>46136</v>
      </c>
      <c r="G361" s="3">
        <v>46142</v>
      </c>
      <c r="H361" s="3">
        <v>46139</v>
      </c>
      <c r="I361" s="2">
        <v>957</v>
      </c>
      <c r="J361" s="2">
        <v>10</v>
      </c>
    </row>
    <row r="362" spans="1:10">
      <c r="A362" s="2" t="s">
        <v>679</v>
      </c>
      <c r="B362" s="2" t="s">
        <v>67</v>
      </c>
      <c r="C362" s="2" t="s">
        <v>12</v>
      </c>
      <c r="D362" s="2" t="s">
        <v>680</v>
      </c>
      <c r="E362" s="2">
        <v>730</v>
      </c>
      <c r="F362" s="3">
        <v>46110</v>
      </c>
      <c r="G362" s="3">
        <v>46118</v>
      </c>
      <c r="H362" s="3">
        <v>46127</v>
      </c>
      <c r="I362" s="2">
        <v>724</v>
      </c>
      <c r="J362" s="2">
        <v>30</v>
      </c>
    </row>
    <row r="363" spans="1:10">
      <c r="A363" s="2" t="s">
        <v>681</v>
      </c>
      <c r="B363" s="2" t="s">
        <v>49</v>
      </c>
      <c r="C363" s="2" t="s">
        <v>12</v>
      </c>
      <c r="D363" s="2" t="s">
        <v>682</v>
      </c>
      <c r="E363" s="2">
        <v>443</v>
      </c>
      <c r="F363" s="3">
        <v>46116</v>
      </c>
      <c r="G363" s="3">
        <v>46126</v>
      </c>
      <c r="H363" s="3">
        <v>46130</v>
      </c>
      <c r="I363" s="2">
        <v>444</v>
      </c>
      <c r="J363" s="2">
        <v>2</v>
      </c>
    </row>
    <row r="364" spans="1:10">
      <c r="A364" s="2" t="s">
        <v>683</v>
      </c>
      <c r="B364" s="2" t="s">
        <v>43</v>
      </c>
      <c r="C364" s="2" t="s">
        <v>12</v>
      </c>
      <c r="D364" s="2" t="s">
        <v>684</v>
      </c>
      <c r="E364" s="2">
        <v>388</v>
      </c>
      <c r="F364" s="3">
        <v>46172</v>
      </c>
      <c r="G364" s="3">
        <v>46184</v>
      </c>
      <c r="H364" s="2"/>
      <c r="I364" s="2"/>
      <c r="J364" s="2"/>
    </row>
    <row r="365" spans="1:10">
      <c r="A365" s="2" t="s">
        <v>685</v>
      </c>
      <c r="B365" s="2" t="s">
        <v>686</v>
      </c>
      <c r="C365" s="2" t="s">
        <v>12</v>
      </c>
      <c r="D365" s="2" t="s">
        <v>687</v>
      </c>
      <c r="E365" s="2">
        <v>967</v>
      </c>
      <c r="F365" s="3">
        <v>46052</v>
      </c>
      <c r="G365" s="3">
        <v>46057</v>
      </c>
      <c r="H365" s="3">
        <v>46054</v>
      </c>
      <c r="I365" s="2">
        <v>958</v>
      </c>
      <c r="J365" s="2">
        <v>50</v>
      </c>
    </row>
    <row r="366" spans="1:10">
      <c r="A366" s="2" t="s">
        <v>688</v>
      </c>
      <c r="B366" s="2" t="s">
        <v>689</v>
      </c>
      <c r="C366" s="2" t="s">
        <v>12</v>
      </c>
      <c r="D366" s="2" t="s">
        <v>690</v>
      </c>
      <c r="E366" s="2">
        <v>956</v>
      </c>
      <c r="F366" s="3">
        <v>46078</v>
      </c>
      <c r="G366" s="3">
        <v>46087</v>
      </c>
      <c r="H366" s="3">
        <v>46086</v>
      </c>
      <c r="I366" s="2">
        <v>958</v>
      </c>
      <c r="J366" s="2">
        <v>36</v>
      </c>
    </row>
    <row r="367" spans="1:10">
      <c r="A367" s="2" t="s">
        <v>691</v>
      </c>
      <c r="B367" s="2" t="s">
        <v>32</v>
      </c>
      <c r="C367" s="2" t="s">
        <v>16</v>
      </c>
      <c r="D367" s="2" t="s">
        <v>181</v>
      </c>
      <c r="E367" s="2">
        <v>863</v>
      </c>
      <c r="F367" s="3">
        <v>46158</v>
      </c>
      <c r="G367" s="3">
        <v>46169</v>
      </c>
      <c r="H367" s="3">
        <v>46174</v>
      </c>
      <c r="I367" s="2">
        <v>834</v>
      </c>
      <c r="J367" s="2">
        <v>7</v>
      </c>
    </row>
    <row r="368" spans="1:10">
      <c r="A368" s="2" t="s">
        <v>692</v>
      </c>
      <c r="B368" s="2" t="s">
        <v>35</v>
      </c>
      <c r="C368" s="2" t="s">
        <v>23</v>
      </c>
      <c r="D368" s="2" t="s">
        <v>693</v>
      </c>
      <c r="E368" s="2">
        <v>523</v>
      </c>
      <c r="F368" s="3">
        <v>46036</v>
      </c>
      <c r="G368" s="3">
        <v>46046</v>
      </c>
      <c r="H368" s="3">
        <v>46043</v>
      </c>
      <c r="I368" s="2">
        <v>482</v>
      </c>
      <c r="J368" s="2">
        <v>9</v>
      </c>
    </row>
    <row r="369" spans="1:10">
      <c r="A369" s="2" t="s">
        <v>694</v>
      </c>
      <c r="B369" s="2" t="s">
        <v>49</v>
      </c>
      <c r="C369" s="2" t="s">
        <v>16</v>
      </c>
      <c r="D369" s="2" t="s">
        <v>695</v>
      </c>
      <c r="E369" s="2">
        <v>758</v>
      </c>
      <c r="F369" s="3">
        <v>46171</v>
      </c>
      <c r="G369" s="3">
        <v>46177</v>
      </c>
      <c r="H369" s="3">
        <v>46175</v>
      </c>
      <c r="I369" s="2">
        <v>769</v>
      </c>
      <c r="J369" s="2">
        <v>12</v>
      </c>
    </row>
    <row r="370" spans="1:10">
      <c r="A370" s="2" t="s">
        <v>696</v>
      </c>
      <c r="B370" s="2" t="s">
        <v>35</v>
      </c>
      <c r="C370" s="2" t="s">
        <v>12</v>
      </c>
      <c r="D370" s="2" t="s">
        <v>493</v>
      </c>
      <c r="E370" s="2">
        <v>296</v>
      </c>
      <c r="F370" s="3">
        <v>46172</v>
      </c>
      <c r="G370" s="3">
        <v>46177</v>
      </c>
      <c r="H370" s="3">
        <v>46182</v>
      </c>
      <c r="I370" s="2">
        <v>297</v>
      </c>
      <c r="J370" s="2">
        <v>13</v>
      </c>
    </row>
    <row r="371" spans="1:10">
      <c r="A371" s="2" t="s">
        <v>697</v>
      </c>
      <c r="B371" s="2" t="s">
        <v>46</v>
      </c>
      <c r="C371" s="2" t="s">
        <v>16</v>
      </c>
      <c r="D371" s="2" t="s">
        <v>698</v>
      </c>
      <c r="E371" s="2">
        <v>373</v>
      </c>
      <c r="F371" s="3">
        <v>46044</v>
      </c>
      <c r="G371" s="3">
        <v>46054</v>
      </c>
      <c r="H371" s="3">
        <v>46054</v>
      </c>
      <c r="I371" s="2">
        <v>366</v>
      </c>
      <c r="J371" s="2">
        <v>9</v>
      </c>
    </row>
    <row r="372" spans="1:10">
      <c r="A372" s="2" t="s">
        <v>699</v>
      </c>
      <c r="B372" s="2" t="s">
        <v>40</v>
      </c>
      <c r="C372" s="2" t="s">
        <v>12</v>
      </c>
      <c r="D372" s="2" t="s">
        <v>700</v>
      </c>
      <c r="E372" s="2">
        <v>226</v>
      </c>
      <c r="F372" s="3">
        <v>46147</v>
      </c>
      <c r="G372" s="3">
        <v>46155</v>
      </c>
      <c r="H372" s="3">
        <v>46152</v>
      </c>
      <c r="I372" s="2">
        <v>228</v>
      </c>
      <c r="J372" s="2">
        <v>5</v>
      </c>
    </row>
    <row r="373" spans="1:10">
      <c r="A373" s="2" t="s">
        <v>701</v>
      </c>
      <c r="B373" s="2" t="s">
        <v>19</v>
      </c>
      <c r="C373" s="2" t="s">
        <v>23</v>
      </c>
      <c r="D373" s="2" t="s">
        <v>702</v>
      </c>
      <c r="E373" s="2">
        <v>989</v>
      </c>
      <c r="F373" s="3">
        <v>46052</v>
      </c>
      <c r="G373" s="3">
        <v>46065</v>
      </c>
      <c r="H373" s="3">
        <v>46064</v>
      </c>
      <c r="I373" s="2">
        <v>998</v>
      </c>
      <c r="J373" s="2">
        <v>18</v>
      </c>
    </row>
    <row r="374" spans="1:10">
      <c r="A374" s="2" t="s">
        <v>703</v>
      </c>
      <c r="B374" s="2" t="s">
        <v>52</v>
      </c>
      <c r="C374" s="2" t="s">
        <v>23</v>
      </c>
      <c r="D374" s="2" t="s">
        <v>636</v>
      </c>
      <c r="E374" s="2">
        <v>112</v>
      </c>
      <c r="F374" s="3">
        <v>46038</v>
      </c>
      <c r="G374" s="3">
        <v>46044</v>
      </c>
      <c r="H374" s="3">
        <v>46051</v>
      </c>
      <c r="I374" s="2">
        <v>113</v>
      </c>
      <c r="J374" s="2">
        <v>2</v>
      </c>
    </row>
    <row r="375" spans="1:10">
      <c r="A375" s="2" t="s">
        <v>704</v>
      </c>
      <c r="B375" s="2" t="s">
        <v>64</v>
      </c>
      <c r="C375" s="2" t="s">
        <v>12</v>
      </c>
      <c r="D375" s="2" t="s">
        <v>705</v>
      </c>
      <c r="E375" s="2">
        <v>386</v>
      </c>
      <c r="F375" s="3">
        <v>46060</v>
      </c>
      <c r="G375" s="3">
        <v>46073</v>
      </c>
      <c r="H375" s="3">
        <v>46082</v>
      </c>
      <c r="I375" s="2">
        <v>347</v>
      </c>
      <c r="J375" s="2">
        <v>21</v>
      </c>
    </row>
    <row r="376" spans="1:10">
      <c r="A376" s="2" t="s">
        <v>706</v>
      </c>
      <c r="B376" s="2" t="s">
        <v>49</v>
      </c>
      <c r="C376" s="2" t="s">
        <v>23</v>
      </c>
      <c r="D376" s="2" t="s">
        <v>707</v>
      </c>
      <c r="E376" s="2">
        <v>569</v>
      </c>
      <c r="F376" s="3">
        <v>46038</v>
      </c>
      <c r="G376" s="3">
        <v>46045</v>
      </c>
      <c r="H376" s="3">
        <v>46043</v>
      </c>
      <c r="I376" s="2">
        <v>573</v>
      </c>
      <c r="J376" s="2">
        <v>5</v>
      </c>
    </row>
    <row r="377" spans="1:10">
      <c r="A377" s="2" t="s">
        <v>708</v>
      </c>
      <c r="B377" s="2" t="s">
        <v>19</v>
      </c>
      <c r="C377" s="2" t="s">
        <v>16</v>
      </c>
      <c r="D377" s="2" t="s">
        <v>594</v>
      </c>
      <c r="E377" s="2">
        <v>582</v>
      </c>
      <c r="F377" s="3">
        <v>46135</v>
      </c>
      <c r="G377" s="3">
        <v>46146</v>
      </c>
      <c r="H377" s="3">
        <v>46146</v>
      </c>
      <c r="I377" s="2">
        <v>572</v>
      </c>
      <c r="J377" s="2">
        <v>19</v>
      </c>
    </row>
    <row r="378" spans="1:10">
      <c r="A378" s="2" t="s">
        <v>709</v>
      </c>
      <c r="B378" s="2" t="s">
        <v>19</v>
      </c>
      <c r="C378" s="2" t="s">
        <v>12</v>
      </c>
      <c r="D378" s="2" t="s">
        <v>403</v>
      </c>
      <c r="E378" s="2">
        <v>686</v>
      </c>
      <c r="F378" s="3">
        <v>46134</v>
      </c>
      <c r="G378" s="3">
        <v>46149</v>
      </c>
      <c r="H378" s="3">
        <v>46149</v>
      </c>
      <c r="I378" s="2">
        <v>680</v>
      </c>
      <c r="J378" s="2">
        <v>20</v>
      </c>
    </row>
    <row r="379" spans="1:10">
      <c r="A379" s="2" t="s">
        <v>710</v>
      </c>
      <c r="B379" s="2" t="s">
        <v>81</v>
      </c>
      <c r="C379" s="2" t="s">
        <v>12</v>
      </c>
      <c r="D379" s="2" t="s">
        <v>711</v>
      </c>
      <c r="E379" s="2">
        <v>150</v>
      </c>
      <c r="F379" s="3">
        <v>46110</v>
      </c>
      <c r="G379" s="3">
        <v>46122</v>
      </c>
      <c r="H379" s="3">
        <v>46122</v>
      </c>
      <c r="I379" s="2">
        <v>149</v>
      </c>
      <c r="J379" s="2">
        <v>2</v>
      </c>
    </row>
    <row r="380" spans="1:10">
      <c r="A380" s="2" t="s">
        <v>712</v>
      </c>
      <c r="B380" s="2" t="s">
        <v>713</v>
      </c>
      <c r="C380" s="2" t="s">
        <v>12</v>
      </c>
      <c r="D380" s="2" t="s">
        <v>714</v>
      </c>
      <c r="E380" s="2">
        <v>187</v>
      </c>
      <c r="F380" s="3">
        <v>46049</v>
      </c>
      <c r="G380" s="3">
        <v>46060</v>
      </c>
      <c r="H380" s="3">
        <v>46060</v>
      </c>
      <c r="I380" s="2">
        <v>184</v>
      </c>
      <c r="J380" s="2">
        <v>7</v>
      </c>
    </row>
    <row r="381" spans="1:10">
      <c r="A381" s="2" t="s">
        <v>715</v>
      </c>
      <c r="B381" s="2" t="s">
        <v>591</v>
      </c>
      <c r="C381" s="2" t="s">
        <v>16</v>
      </c>
      <c r="D381" s="2" t="s">
        <v>716</v>
      </c>
      <c r="E381" s="2">
        <v>805</v>
      </c>
      <c r="F381" s="3">
        <v>46130</v>
      </c>
      <c r="G381" s="3">
        <v>46140</v>
      </c>
      <c r="H381" s="3">
        <v>46137</v>
      </c>
      <c r="I381" s="2">
        <v>794</v>
      </c>
      <c r="J381" s="2">
        <v>1</v>
      </c>
    </row>
    <row r="382" spans="1:10">
      <c r="A382" s="2" t="s">
        <v>717</v>
      </c>
      <c r="B382" s="2" t="s">
        <v>26</v>
      </c>
      <c r="C382" s="2" t="s">
        <v>12</v>
      </c>
      <c r="D382" s="2" t="s">
        <v>379</v>
      </c>
      <c r="E382" s="2">
        <v>894</v>
      </c>
      <c r="F382" s="3">
        <v>46088</v>
      </c>
      <c r="G382" s="3">
        <v>46097</v>
      </c>
      <c r="H382" s="3">
        <v>46094</v>
      </c>
      <c r="I382" s="2">
        <v>881</v>
      </c>
      <c r="J382" s="2">
        <v>4</v>
      </c>
    </row>
    <row r="383" spans="1:10">
      <c r="A383" s="2" t="s">
        <v>718</v>
      </c>
      <c r="B383" s="2" t="s">
        <v>29</v>
      </c>
      <c r="C383" s="2" t="s">
        <v>16</v>
      </c>
      <c r="D383" s="2" t="s">
        <v>268</v>
      </c>
      <c r="E383" s="2">
        <v>340</v>
      </c>
      <c r="F383" s="3">
        <v>46122</v>
      </c>
      <c r="G383" s="3">
        <v>46136</v>
      </c>
      <c r="H383" s="3">
        <v>46136</v>
      </c>
      <c r="I383" s="2">
        <v>313</v>
      </c>
      <c r="J383" s="2">
        <v>2</v>
      </c>
    </row>
    <row r="384" spans="1:10">
      <c r="A384" s="2" t="s">
        <v>719</v>
      </c>
      <c r="B384" s="2" t="s">
        <v>303</v>
      </c>
      <c r="C384" s="2" t="s">
        <v>12</v>
      </c>
      <c r="D384" s="2" t="s">
        <v>101</v>
      </c>
      <c r="E384" s="2">
        <v>820</v>
      </c>
      <c r="F384" s="3">
        <v>46135</v>
      </c>
      <c r="G384" s="3">
        <v>46145</v>
      </c>
      <c r="H384" s="3">
        <v>46142</v>
      </c>
      <c r="I384" s="2">
        <v>677</v>
      </c>
      <c r="J384" s="2">
        <v>4</v>
      </c>
    </row>
    <row r="385" spans="1:10">
      <c r="A385" s="2" t="s">
        <v>720</v>
      </c>
      <c r="B385" s="2" t="s">
        <v>64</v>
      </c>
      <c r="C385" s="2" t="s">
        <v>12</v>
      </c>
      <c r="D385" s="2" t="s">
        <v>664</v>
      </c>
      <c r="E385" s="2">
        <v>767</v>
      </c>
      <c r="F385" s="3">
        <v>46105</v>
      </c>
      <c r="G385" s="3">
        <v>46118</v>
      </c>
      <c r="H385" s="3">
        <v>46127</v>
      </c>
      <c r="I385" s="2">
        <v>776</v>
      </c>
      <c r="J385" s="2">
        <v>17</v>
      </c>
    </row>
    <row r="386" spans="1:10">
      <c r="A386" s="2" t="s">
        <v>721</v>
      </c>
      <c r="B386" s="2" t="s">
        <v>49</v>
      </c>
      <c r="C386" s="2" t="s">
        <v>16</v>
      </c>
      <c r="D386" s="2" t="s">
        <v>722</v>
      </c>
      <c r="E386" s="2">
        <v>571</v>
      </c>
      <c r="F386" s="3">
        <v>46035</v>
      </c>
      <c r="G386" s="3">
        <v>46049</v>
      </c>
      <c r="H386" s="3">
        <v>46047</v>
      </c>
      <c r="I386" s="2">
        <v>525</v>
      </c>
      <c r="J386" s="2">
        <v>1</v>
      </c>
    </row>
    <row r="387" spans="1:10">
      <c r="A387" s="2" t="s">
        <v>723</v>
      </c>
      <c r="B387" s="2" t="s">
        <v>49</v>
      </c>
      <c r="C387" s="2" t="s">
        <v>16</v>
      </c>
      <c r="D387" s="2" t="s">
        <v>395</v>
      </c>
      <c r="E387" s="2">
        <v>411</v>
      </c>
      <c r="F387" s="3">
        <v>46056</v>
      </c>
      <c r="G387" s="3">
        <v>46071</v>
      </c>
      <c r="H387" s="3">
        <v>46070</v>
      </c>
      <c r="I387" s="2">
        <v>414</v>
      </c>
      <c r="J387" s="2">
        <v>6</v>
      </c>
    </row>
    <row r="388" spans="1:10">
      <c r="A388" s="2" t="s">
        <v>724</v>
      </c>
      <c r="B388" s="2" t="s">
        <v>573</v>
      </c>
      <c r="C388" s="2" t="s">
        <v>166</v>
      </c>
      <c r="D388" s="2" t="s">
        <v>670</v>
      </c>
      <c r="E388" s="2">
        <v>233</v>
      </c>
      <c r="F388" s="3">
        <v>46035</v>
      </c>
      <c r="G388" s="3">
        <v>46048</v>
      </c>
      <c r="H388" s="3">
        <v>46048</v>
      </c>
      <c r="I388" s="2">
        <v>208</v>
      </c>
      <c r="J388" s="2">
        <v>5</v>
      </c>
    </row>
    <row r="389" spans="1:10">
      <c r="A389" s="2" t="s">
        <v>725</v>
      </c>
      <c r="B389" s="2" t="s">
        <v>67</v>
      </c>
      <c r="C389" s="2" t="s">
        <v>23</v>
      </c>
      <c r="D389" s="2" t="s">
        <v>726</v>
      </c>
      <c r="E389" s="2">
        <v>93</v>
      </c>
      <c r="F389" s="3">
        <v>46145</v>
      </c>
      <c r="G389" s="3">
        <v>46159</v>
      </c>
      <c r="H389" s="3">
        <v>46159</v>
      </c>
      <c r="I389" s="2">
        <v>93</v>
      </c>
      <c r="J389" s="2">
        <v>0</v>
      </c>
    </row>
    <row r="390" spans="1:10">
      <c r="A390" s="2" t="s">
        <v>727</v>
      </c>
      <c r="B390" s="2" t="s">
        <v>40</v>
      </c>
      <c r="C390" s="2" t="s">
        <v>23</v>
      </c>
      <c r="D390" s="2" t="s">
        <v>728</v>
      </c>
      <c r="E390" s="2">
        <v>961</v>
      </c>
      <c r="F390" s="3">
        <v>46060</v>
      </c>
      <c r="G390" s="3">
        <v>46071</v>
      </c>
      <c r="H390" s="3">
        <v>46079</v>
      </c>
      <c r="I390" s="2">
        <v>945</v>
      </c>
      <c r="J390" s="2">
        <v>42</v>
      </c>
    </row>
    <row r="391" spans="1:10">
      <c r="A391" s="2" t="s">
        <v>729</v>
      </c>
      <c r="B391" s="2" t="s">
        <v>177</v>
      </c>
      <c r="C391" s="2" t="s">
        <v>16</v>
      </c>
      <c r="D391" s="2" t="s">
        <v>235</v>
      </c>
      <c r="E391" s="2">
        <v>125</v>
      </c>
      <c r="F391" s="3">
        <v>46052</v>
      </c>
      <c r="G391" s="3">
        <v>46064</v>
      </c>
      <c r="H391" s="3">
        <v>46062</v>
      </c>
      <c r="I391" s="2">
        <v>127</v>
      </c>
      <c r="J391" s="2">
        <v>1</v>
      </c>
    </row>
    <row r="392" spans="1:10">
      <c r="A392" s="2" t="s">
        <v>730</v>
      </c>
      <c r="B392" s="2" t="s">
        <v>46</v>
      </c>
      <c r="C392" s="2" t="s">
        <v>12</v>
      </c>
      <c r="D392" s="2" t="s">
        <v>731</v>
      </c>
      <c r="E392" s="2">
        <v>653</v>
      </c>
      <c r="F392" s="3">
        <v>46084</v>
      </c>
      <c r="G392" s="3">
        <v>46097</v>
      </c>
      <c r="H392" s="3">
        <v>46094</v>
      </c>
      <c r="I392" s="2">
        <v>652</v>
      </c>
      <c r="J392" s="2">
        <v>18</v>
      </c>
    </row>
    <row r="393" spans="1:10">
      <c r="A393" s="2" t="s">
        <v>732</v>
      </c>
      <c r="B393" s="2" t="s">
        <v>54</v>
      </c>
      <c r="C393" s="2" t="s">
        <v>16</v>
      </c>
      <c r="D393" s="2" t="s">
        <v>79</v>
      </c>
      <c r="E393" s="2">
        <v>529</v>
      </c>
      <c r="F393" s="3">
        <v>46128</v>
      </c>
      <c r="G393" s="3">
        <v>46134</v>
      </c>
      <c r="H393" s="3">
        <v>46134</v>
      </c>
      <c r="I393" s="2">
        <v>523</v>
      </c>
      <c r="J393" s="2">
        <v>4</v>
      </c>
    </row>
    <row r="394" spans="1:10">
      <c r="A394" s="2" t="s">
        <v>733</v>
      </c>
      <c r="B394" s="2" t="s">
        <v>19</v>
      </c>
      <c r="C394" s="2" t="s">
        <v>12</v>
      </c>
      <c r="D394" s="2" t="s">
        <v>734</v>
      </c>
      <c r="E394" s="2">
        <v>513</v>
      </c>
      <c r="F394" s="3">
        <v>46086</v>
      </c>
      <c r="G394" s="3">
        <v>46097</v>
      </c>
      <c r="H394" s="3">
        <v>46096</v>
      </c>
      <c r="I394" s="2">
        <v>504</v>
      </c>
      <c r="J394" s="2">
        <v>18</v>
      </c>
    </row>
    <row r="395" spans="1:10">
      <c r="A395" s="2" t="s">
        <v>735</v>
      </c>
      <c r="B395" s="2" t="s">
        <v>736</v>
      </c>
      <c r="C395" s="2" t="s">
        <v>16</v>
      </c>
      <c r="D395" s="2" t="s">
        <v>737</v>
      </c>
      <c r="E395" s="2">
        <v>187</v>
      </c>
      <c r="F395" s="3">
        <v>46057</v>
      </c>
      <c r="G395" s="3">
        <v>46067</v>
      </c>
      <c r="H395" s="3">
        <v>46065</v>
      </c>
      <c r="I395" s="2">
        <v>189</v>
      </c>
      <c r="J395" s="2">
        <v>1</v>
      </c>
    </row>
    <row r="396" spans="1:10">
      <c r="A396" s="2" t="s">
        <v>738</v>
      </c>
      <c r="B396" s="2" t="s">
        <v>52</v>
      </c>
      <c r="C396" s="2" t="s">
        <v>23</v>
      </c>
      <c r="D396" s="2" t="s">
        <v>739</v>
      </c>
      <c r="E396" s="2">
        <v>309</v>
      </c>
      <c r="F396" s="3">
        <v>46036</v>
      </c>
      <c r="G396" s="3">
        <v>46042</v>
      </c>
      <c r="H396" s="3">
        <v>46048</v>
      </c>
      <c r="I396" s="2">
        <v>306</v>
      </c>
      <c r="J396" s="2">
        <v>4</v>
      </c>
    </row>
    <row r="397" spans="1:10">
      <c r="A397" s="2" t="s">
        <v>740</v>
      </c>
      <c r="B397" s="2" t="s">
        <v>54</v>
      </c>
      <c r="C397" s="2" t="s">
        <v>12</v>
      </c>
      <c r="D397" s="2" t="s">
        <v>30</v>
      </c>
      <c r="E397" s="2">
        <v>461</v>
      </c>
      <c r="F397" s="3">
        <v>46173</v>
      </c>
      <c r="G397" s="3">
        <v>46188</v>
      </c>
      <c r="H397" s="3">
        <v>46188</v>
      </c>
      <c r="I397" s="2">
        <v>465</v>
      </c>
      <c r="J397" s="2">
        <v>1</v>
      </c>
    </row>
    <row r="398" spans="1:10">
      <c r="A398" s="2" t="s">
        <v>741</v>
      </c>
      <c r="B398" s="2" t="s">
        <v>542</v>
      </c>
      <c r="C398" s="2" t="s">
        <v>23</v>
      </c>
      <c r="D398" s="2" t="s">
        <v>742</v>
      </c>
      <c r="E398" s="2">
        <v>927</v>
      </c>
      <c r="F398" s="3">
        <v>46160</v>
      </c>
      <c r="G398" s="3">
        <v>46167</v>
      </c>
      <c r="H398" s="3">
        <v>46165</v>
      </c>
      <c r="I398" s="2">
        <v>805</v>
      </c>
      <c r="J398" s="2">
        <v>8</v>
      </c>
    </row>
    <row r="399" spans="1:10">
      <c r="A399" s="2" t="s">
        <v>743</v>
      </c>
      <c r="B399" s="2" t="s">
        <v>32</v>
      </c>
      <c r="C399" s="2" t="s">
        <v>16</v>
      </c>
      <c r="D399" s="2" t="s">
        <v>169</v>
      </c>
      <c r="E399" s="2">
        <v>833</v>
      </c>
      <c r="F399" s="3">
        <v>46110</v>
      </c>
      <c r="G399" s="3">
        <v>46122</v>
      </c>
      <c r="H399" s="3">
        <v>46120</v>
      </c>
      <c r="I399" s="2">
        <v>844</v>
      </c>
      <c r="J399" s="2">
        <v>50</v>
      </c>
    </row>
    <row r="400" spans="1:10">
      <c r="A400" s="2" t="s">
        <v>588</v>
      </c>
      <c r="B400" s="2" t="s">
        <v>120</v>
      </c>
      <c r="C400" s="2" t="s">
        <v>12</v>
      </c>
      <c r="D400" s="2" t="s">
        <v>589</v>
      </c>
      <c r="E400" s="2">
        <v>959</v>
      </c>
      <c r="F400" s="3">
        <v>46139</v>
      </c>
      <c r="G400" s="3">
        <v>46147</v>
      </c>
      <c r="H400" s="3">
        <v>46144</v>
      </c>
      <c r="I400" s="2">
        <v>955</v>
      </c>
      <c r="J400" s="2">
        <v>1</v>
      </c>
    </row>
    <row r="401" spans="1:10">
      <c r="A401" s="2" t="s">
        <v>744</v>
      </c>
      <c r="B401" s="2" t="s">
        <v>19</v>
      </c>
      <c r="C401" s="2" t="s">
        <v>23</v>
      </c>
      <c r="D401" s="2" t="s">
        <v>745</v>
      </c>
      <c r="E401" s="2">
        <v>461</v>
      </c>
      <c r="F401" s="3">
        <v>46166</v>
      </c>
      <c r="G401" s="3">
        <v>46181</v>
      </c>
      <c r="H401" s="3">
        <v>46185</v>
      </c>
      <c r="I401" s="2">
        <v>467</v>
      </c>
      <c r="J401" s="2">
        <v>5</v>
      </c>
    </row>
    <row r="402" spans="1:10">
      <c r="A402" s="2" t="s">
        <v>746</v>
      </c>
      <c r="B402" s="2" t="s">
        <v>177</v>
      </c>
      <c r="C402" s="2" t="s">
        <v>16</v>
      </c>
      <c r="D402" s="2" t="s">
        <v>158</v>
      </c>
      <c r="E402" s="2">
        <v>666</v>
      </c>
      <c r="F402" s="3">
        <v>46147</v>
      </c>
      <c r="G402" s="3">
        <v>46155</v>
      </c>
      <c r="H402" s="3">
        <v>46154</v>
      </c>
      <c r="I402" s="2">
        <v>676</v>
      </c>
      <c r="J402" s="2">
        <v>37</v>
      </c>
    </row>
    <row r="403" spans="1:10">
      <c r="A403" s="2" t="s">
        <v>747</v>
      </c>
      <c r="B403" s="2" t="s">
        <v>81</v>
      </c>
      <c r="C403" s="2" t="s">
        <v>23</v>
      </c>
      <c r="D403" s="2" t="s">
        <v>748</v>
      </c>
      <c r="E403" s="2">
        <v>516</v>
      </c>
      <c r="F403" s="3">
        <v>46146</v>
      </c>
      <c r="G403" s="3">
        <v>46156</v>
      </c>
      <c r="H403" s="3">
        <v>46156</v>
      </c>
      <c r="I403" s="2">
        <v>417</v>
      </c>
      <c r="J403" s="2">
        <v>4</v>
      </c>
    </row>
    <row r="404" spans="1:10">
      <c r="A404" s="2" t="s">
        <v>749</v>
      </c>
      <c r="B404" s="2" t="s">
        <v>32</v>
      </c>
      <c r="C404" s="2" t="s">
        <v>12</v>
      </c>
      <c r="D404" s="2" t="s">
        <v>750</v>
      </c>
      <c r="E404" s="2">
        <v>240</v>
      </c>
      <c r="F404" s="3">
        <v>46085</v>
      </c>
      <c r="G404" s="3">
        <v>46094</v>
      </c>
      <c r="H404" s="3">
        <v>46092</v>
      </c>
      <c r="I404" s="2">
        <v>239</v>
      </c>
      <c r="J404" s="2">
        <v>9</v>
      </c>
    </row>
    <row r="405" spans="1:10">
      <c r="A405" s="2" t="s">
        <v>751</v>
      </c>
      <c r="B405" s="2" t="s">
        <v>32</v>
      </c>
      <c r="C405" s="2" t="s">
        <v>16</v>
      </c>
      <c r="D405" s="2" t="s">
        <v>556</v>
      </c>
      <c r="E405" s="2">
        <v>107</v>
      </c>
      <c r="F405" s="3">
        <v>46087</v>
      </c>
      <c r="G405" s="3">
        <v>46093</v>
      </c>
      <c r="H405" s="3">
        <v>46090</v>
      </c>
      <c r="I405" s="2">
        <v>107</v>
      </c>
      <c r="J405" s="2">
        <v>5</v>
      </c>
    </row>
    <row r="406" spans="1:10">
      <c r="A406" s="2" t="s">
        <v>205</v>
      </c>
      <c r="B406" s="2" t="s">
        <v>49</v>
      </c>
      <c r="C406" s="2" t="s">
        <v>16</v>
      </c>
      <c r="D406" s="2" t="s">
        <v>207</v>
      </c>
      <c r="E406" s="2">
        <v>243</v>
      </c>
      <c r="F406" s="3">
        <v>46037</v>
      </c>
      <c r="G406" s="3">
        <v>46047</v>
      </c>
      <c r="H406" s="3">
        <v>46045</v>
      </c>
      <c r="I406" s="2">
        <v>200</v>
      </c>
      <c r="J406" s="2">
        <v>1</v>
      </c>
    </row>
    <row r="407" spans="1:10">
      <c r="A407" s="2" t="s">
        <v>752</v>
      </c>
      <c r="B407" s="2" t="s">
        <v>177</v>
      </c>
      <c r="C407" s="2" t="s">
        <v>12</v>
      </c>
      <c r="D407" s="2" t="s">
        <v>753</v>
      </c>
      <c r="E407" s="2">
        <v>630</v>
      </c>
      <c r="F407" s="3">
        <v>46037</v>
      </c>
      <c r="G407" s="3">
        <v>46051</v>
      </c>
      <c r="H407" s="3">
        <v>46051</v>
      </c>
      <c r="I407" s="2">
        <v>634</v>
      </c>
      <c r="J407" s="2">
        <v>18</v>
      </c>
    </row>
    <row r="408" spans="1:10">
      <c r="A408" s="2" t="s">
        <v>754</v>
      </c>
      <c r="B408" s="2" t="s">
        <v>11</v>
      </c>
      <c r="C408" s="2" t="s">
        <v>16</v>
      </c>
      <c r="D408" s="2" t="s">
        <v>253</v>
      </c>
      <c r="E408" s="2">
        <v>476</v>
      </c>
      <c r="F408" s="3">
        <v>46058</v>
      </c>
      <c r="G408" s="3">
        <v>46067</v>
      </c>
      <c r="H408" s="3">
        <v>46065</v>
      </c>
      <c r="I408" s="2">
        <v>472</v>
      </c>
      <c r="J408" s="2">
        <v>6</v>
      </c>
    </row>
    <row r="409" spans="1:10">
      <c r="A409" s="2" t="s">
        <v>755</v>
      </c>
      <c r="B409" s="2" t="s">
        <v>81</v>
      </c>
      <c r="C409" s="2" t="s">
        <v>12</v>
      </c>
      <c r="D409" s="2" t="s">
        <v>191</v>
      </c>
      <c r="E409" s="2">
        <v>436</v>
      </c>
      <c r="F409" s="3">
        <v>46135</v>
      </c>
      <c r="G409" s="3">
        <v>46143</v>
      </c>
      <c r="H409" s="3">
        <v>46147</v>
      </c>
      <c r="I409" s="2">
        <v>366</v>
      </c>
      <c r="J409" s="2">
        <v>1</v>
      </c>
    </row>
    <row r="410" spans="1:10">
      <c r="A410" s="2" t="s">
        <v>756</v>
      </c>
      <c r="B410" s="2" t="s">
        <v>120</v>
      </c>
      <c r="C410" s="2" t="s">
        <v>16</v>
      </c>
      <c r="D410" s="2" t="s">
        <v>757</v>
      </c>
      <c r="E410" s="2">
        <v>548</v>
      </c>
      <c r="F410" s="3">
        <v>46102</v>
      </c>
      <c r="G410" s="3">
        <v>46113</v>
      </c>
      <c r="H410" s="3">
        <v>46112</v>
      </c>
      <c r="I410" s="2">
        <v>538</v>
      </c>
      <c r="J410" s="2">
        <v>15</v>
      </c>
    </row>
    <row r="411" spans="1:10">
      <c r="A411" s="2" t="s">
        <v>758</v>
      </c>
      <c r="B411" s="2" t="s">
        <v>64</v>
      </c>
      <c r="C411" s="2" t="s">
        <v>16</v>
      </c>
      <c r="D411" s="2" t="s">
        <v>759</v>
      </c>
      <c r="E411" s="2">
        <v>839</v>
      </c>
      <c r="F411" s="3">
        <v>46035</v>
      </c>
      <c r="G411" s="3">
        <v>46045</v>
      </c>
      <c r="H411" s="3">
        <v>46043</v>
      </c>
      <c r="I411" s="2">
        <v>824</v>
      </c>
      <c r="J411" s="2">
        <v>52</v>
      </c>
    </row>
    <row r="412" spans="1:10">
      <c r="A412" s="2" t="s">
        <v>760</v>
      </c>
      <c r="B412" s="2" t="s">
        <v>11</v>
      </c>
      <c r="C412" s="2" t="s">
        <v>16</v>
      </c>
      <c r="D412" s="2" t="s">
        <v>92</v>
      </c>
      <c r="E412" s="2">
        <v>313</v>
      </c>
      <c r="F412" s="3">
        <v>46164</v>
      </c>
      <c r="G412" s="3">
        <v>46173</v>
      </c>
      <c r="H412" s="3">
        <v>46172</v>
      </c>
      <c r="I412" s="2">
        <v>314</v>
      </c>
      <c r="J412" s="2">
        <v>6</v>
      </c>
    </row>
    <row r="413" spans="1:10">
      <c r="A413" s="2" t="s">
        <v>761</v>
      </c>
      <c r="B413" s="2" t="s">
        <v>762</v>
      </c>
      <c r="C413" s="2" t="s">
        <v>23</v>
      </c>
      <c r="D413" s="2" t="s">
        <v>763</v>
      </c>
      <c r="E413" s="2">
        <v>736</v>
      </c>
      <c r="F413" s="3">
        <v>46039</v>
      </c>
      <c r="G413" s="3">
        <v>46050</v>
      </c>
      <c r="H413" s="3">
        <v>46050</v>
      </c>
      <c r="I413" s="2">
        <v>751</v>
      </c>
      <c r="J413" s="2">
        <v>4</v>
      </c>
    </row>
    <row r="414" spans="1:10">
      <c r="A414" s="2" t="s">
        <v>764</v>
      </c>
      <c r="B414" s="2" t="s">
        <v>54</v>
      </c>
      <c r="C414" s="2" t="s">
        <v>23</v>
      </c>
      <c r="D414" s="2" t="s">
        <v>765</v>
      </c>
      <c r="E414" s="2">
        <v>523</v>
      </c>
      <c r="F414" s="3">
        <v>46127</v>
      </c>
      <c r="G414" s="3">
        <v>46137</v>
      </c>
      <c r="H414" s="3">
        <v>46135</v>
      </c>
      <c r="I414" s="2">
        <v>530</v>
      </c>
      <c r="J414" s="2">
        <v>7</v>
      </c>
    </row>
    <row r="415" spans="1:10">
      <c r="A415" s="2" t="s">
        <v>766</v>
      </c>
      <c r="B415" s="2" t="s">
        <v>70</v>
      </c>
      <c r="C415" s="2" t="s">
        <v>16</v>
      </c>
      <c r="D415" s="2" t="s">
        <v>767</v>
      </c>
      <c r="E415" s="2">
        <v>372</v>
      </c>
      <c r="F415" s="3">
        <v>46124</v>
      </c>
      <c r="G415" s="3">
        <v>46136</v>
      </c>
      <c r="H415" s="3">
        <v>46133</v>
      </c>
      <c r="I415" s="2">
        <v>368</v>
      </c>
      <c r="J415" s="2">
        <v>2</v>
      </c>
    </row>
    <row r="416" spans="1:10">
      <c r="A416" s="2" t="s">
        <v>768</v>
      </c>
      <c r="B416" s="2" t="s">
        <v>35</v>
      </c>
      <c r="C416" s="2" t="s">
        <v>16</v>
      </c>
      <c r="D416" s="2" t="s">
        <v>769</v>
      </c>
      <c r="E416" s="2">
        <v>705</v>
      </c>
      <c r="F416" s="3">
        <v>46039</v>
      </c>
      <c r="G416" s="3">
        <v>46053</v>
      </c>
      <c r="H416" s="3">
        <v>46057</v>
      </c>
      <c r="I416" s="2">
        <v>695</v>
      </c>
      <c r="J416" s="2">
        <v>21</v>
      </c>
    </row>
    <row r="417" spans="1:10">
      <c r="A417" s="2" t="s">
        <v>770</v>
      </c>
      <c r="B417" s="2" t="s">
        <v>22</v>
      </c>
      <c r="C417" s="2" t="s">
        <v>23</v>
      </c>
      <c r="D417" s="2" t="s">
        <v>771</v>
      </c>
      <c r="E417" s="2">
        <v>548</v>
      </c>
      <c r="F417" s="3">
        <v>46075</v>
      </c>
      <c r="G417" s="3">
        <v>46086</v>
      </c>
      <c r="H417" s="3">
        <v>46093</v>
      </c>
      <c r="I417" s="2">
        <v>444</v>
      </c>
      <c r="J417" s="2">
        <v>33</v>
      </c>
    </row>
    <row r="418" spans="1:10">
      <c r="A418" s="2" t="s">
        <v>772</v>
      </c>
      <c r="B418" s="2" t="s">
        <v>120</v>
      </c>
      <c r="C418" s="2" t="s">
        <v>23</v>
      </c>
      <c r="D418" s="2" t="s">
        <v>773</v>
      </c>
      <c r="E418" s="2">
        <v>781</v>
      </c>
      <c r="F418" s="3">
        <v>46085</v>
      </c>
      <c r="G418" s="3">
        <v>46094</v>
      </c>
      <c r="H418" s="3">
        <v>46093</v>
      </c>
      <c r="I418" s="2">
        <v>654</v>
      </c>
      <c r="J418" s="2">
        <v>37</v>
      </c>
    </row>
    <row r="419" spans="1:10">
      <c r="A419" s="2" t="s">
        <v>774</v>
      </c>
      <c r="B419" s="2" t="s">
        <v>81</v>
      </c>
      <c r="C419" s="2" t="s">
        <v>16</v>
      </c>
      <c r="D419" s="2" t="s">
        <v>775</v>
      </c>
      <c r="E419" s="2">
        <v>476</v>
      </c>
      <c r="F419" s="3">
        <v>46030</v>
      </c>
      <c r="G419" s="3">
        <v>46044</v>
      </c>
      <c r="H419" s="3">
        <v>46041</v>
      </c>
      <c r="I419" s="2">
        <v>485</v>
      </c>
      <c r="J419" s="2">
        <v>6</v>
      </c>
    </row>
    <row r="420" spans="1:10">
      <c r="A420" s="2" t="s">
        <v>776</v>
      </c>
      <c r="B420" s="2" t="s">
        <v>35</v>
      </c>
      <c r="C420" s="2" t="s">
        <v>12</v>
      </c>
      <c r="D420" s="2" t="s">
        <v>212</v>
      </c>
      <c r="E420" s="2">
        <v>81</v>
      </c>
      <c r="F420" s="3">
        <v>46042</v>
      </c>
      <c r="G420" s="3">
        <v>46053</v>
      </c>
      <c r="H420" s="3">
        <v>46052</v>
      </c>
      <c r="I420" s="2">
        <v>83</v>
      </c>
      <c r="J420" s="2">
        <v>4</v>
      </c>
    </row>
    <row r="421" spans="1:10">
      <c r="A421" s="2" t="s">
        <v>777</v>
      </c>
      <c r="B421" s="2" t="s">
        <v>70</v>
      </c>
      <c r="C421" s="2" t="s">
        <v>16</v>
      </c>
      <c r="D421" s="2" t="s">
        <v>426</v>
      </c>
      <c r="E421" s="2">
        <v>632</v>
      </c>
      <c r="F421" s="3">
        <v>46133</v>
      </c>
      <c r="G421" s="3">
        <v>46148</v>
      </c>
      <c r="H421" s="3">
        <v>46148</v>
      </c>
      <c r="I421" s="2">
        <v>643</v>
      </c>
      <c r="J421" s="2">
        <v>6</v>
      </c>
    </row>
    <row r="422" spans="1:10">
      <c r="A422" s="2" t="s">
        <v>778</v>
      </c>
      <c r="B422" s="2" t="s">
        <v>81</v>
      </c>
      <c r="C422" s="2" t="s">
        <v>23</v>
      </c>
      <c r="D422" s="2" t="s">
        <v>779</v>
      </c>
      <c r="E422" s="2">
        <v>218</v>
      </c>
      <c r="F422" s="3">
        <v>46041</v>
      </c>
      <c r="G422" s="3">
        <v>46048</v>
      </c>
      <c r="H422" s="3">
        <v>46057</v>
      </c>
      <c r="I422" s="2">
        <v>222</v>
      </c>
      <c r="J422" s="2">
        <v>1</v>
      </c>
    </row>
    <row r="423" spans="1:10">
      <c r="A423" s="2" t="s">
        <v>780</v>
      </c>
      <c r="B423" s="2" t="s">
        <v>781</v>
      </c>
      <c r="C423" s="2" t="s">
        <v>12</v>
      </c>
      <c r="D423" s="2" t="s">
        <v>183</v>
      </c>
      <c r="E423" s="2">
        <v>248</v>
      </c>
      <c r="F423" s="3">
        <v>46104</v>
      </c>
      <c r="G423" s="3">
        <v>46117</v>
      </c>
      <c r="H423" s="3">
        <v>46116</v>
      </c>
      <c r="I423" s="2">
        <v>239</v>
      </c>
      <c r="J423" s="2">
        <v>19</v>
      </c>
    </row>
    <row r="424" spans="1:10">
      <c r="A424" s="2" t="s">
        <v>782</v>
      </c>
      <c r="B424" s="2" t="s">
        <v>67</v>
      </c>
      <c r="C424" s="2" t="s">
        <v>16</v>
      </c>
      <c r="D424" s="2" t="s">
        <v>783</v>
      </c>
      <c r="E424" s="2">
        <v>354</v>
      </c>
      <c r="F424" s="3">
        <v>46157</v>
      </c>
      <c r="G424" s="3">
        <v>46171</v>
      </c>
      <c r="H424" s="3">
        <v>46171</v>
      </c>
      <c r="I424" s="2">
        <v>356</v>
      </c>
      <c r="J424" s="2">
        <v>11</v>
      </c>
    </row>
    <row r="425" spans="1:10">
      <c r="A425" s="2" t="s">
        <v>784</v>
      </c>
      <c r="B425" s="2" t="s">
        <v>19</v>
      </c>
      <c r="C425" s="2" t="s">
        <v>23</v>
      </c>
      <c r="D425" s="2" t="s">
        <v>785</v>
      </c>
      <c r="E425" s="2">
        <v>916</v>
      </c>
      <c r="F425" s="3">
        <v>46048</v>
      </c>
      <c r="G425" s="3">
        <v>46054</v>
      </c>
      <c r="H425" s="3">
        <v>46051</v>
      </c>
      <c r="I425" s="2">
        <v>915</v>
      </c>
      <c r="J425" s="2">
        <v>7</v>
      </c>
    </row>
    <row r="426" spans="1:10">
      <c r="A426" s="2" t="s">
        <v>786</v>
      </c>
      <c r="B426" s="2" t="s">
        <v>22</v>
      </c>
      <c r="C426" s="2" t="s">
        <v>12</v>
      </c>
      <c r="D426" s="2" t="s">
        <v>204</v>
      </c>
      <c r="E426" s="2">
        <v>813</v>
      </c>
      <c r="F426" s="3">
        <v>46113</v>
      </c>
      <c r="G426" s="3">
        <v>46118</v>
      </c>
      <c r="H426" s="3">
        <v>46116</v>
      </c>
      <c r="I426" s="2">
        <v>808</v>
      </c>
      <c r="J426" s="2">
        <v>44</v>
      </c>
    </row>
    <row r="427" spans="1:10">
      <c r="A427" s="2" t="s">
        <v>787</v>
      </c>
      <c r="B427" s="2" t="s">
        <v>19</v>
      </c>
      <c r="C427" s="2" t="s">
        <v>16</v>
      </c>
      <c r="D427" s="2" t="s">
        <v>788</v>
      </c>
      <c r="E427" s="2">
        <v>185</v>
      </c>
      <c r="F427" s="3">
        <v>46056</v>
      </c>
      <c r="G427" s="3">
        <v>46067</v>
      </c>
      <c r="H427" s="3">
        <v>46064</v>
      </c>
      <c r="I427" s="2">
        <v>185</v>
      </c>
      <c r="J427" s="2">
        <v>9</v>
      </c>
    </row>
    <row r="428" spans="1:10">
      <c r="A428" s="2" t="s">
        <v>789</v>
      </c>
      <c r="B428" s="2" t="s">
        <v>26</v>
      </c>
      <c r="C428" s="2" t="s">
        <v>12</v>
      </c>
      <c r="D428" s="2" t="s">
        <v>183</v>
      </c>
      <c r="E428" s="2">
        <v>402</v>
      </c>
      <c r="F428" s="3">
        <v>46072</v>
      </c>
      <c r="G428" s="3">
        <v>46085</v>
      </c>
      <c r="H428" s="3">
        <v>46083</v>
      </c>
      <c r="I428" s="2">
        <v>399</v>
      </c>
      <c r="J428" s="2">
        <v>5</v>
      </c>
    </row>
    <row r="429" spans="1:10">
      <c r="A429" s="2" t="s">
        <v>790</v>
      </c>
      <c r="B429" s="2" t="s">
        <v>49</v>
      </c>
      <c r="C429" s="2" t="s">
        <v>12</v>
      </c>
      <c r="D429" s="2" t="s">
        <v>700</v>
      </c>
      <c r="E429" s="2">
        <v>806</v>
      </c>
      <c r="F429" s="3">
        <v>46055</v>
      </c>
      <c r="G429" s="3">
        <v>46061</v>
      </c>
      <c r="H429" s="3">
        <v>46059</v>
      </c>
      <c r="I429" s="2">
        <v>794</v>
      </c>
      <c r="J429" s="2">
        <v>7</v>
      </c>
    </row>
    <row r="430" spans="1:10">
      <c r="A430" s="2" t="s">
        <v>791</v>
      </c>
      <c r="B430" s="2" t="s">
        <v>40</v>
      </c>
      <c r="C430" s="2" t="s">
        <v>16</v>
      </c>
      <c r="D430" s="2" t="s">
        <v>792</v>
      </c>
      <c r="E430" s="2">
        <v>641</v>
      </c>
      <c r="F430" s="3">
        <v>46046</v>
      </c>
      <c r="G430" s="3">
        <v>46058</v>
      </c>
      <c r="H430" s="3">
        <v>46058</v>
      </c>
      <c r="I430" s="2">
        <v>629</v>
      </c>
      <c r="J430" s="2">
        <v>24</v>
      </c>
    </row>
    <row r="431" spans="1:10">
      <c r="A431" s="2" t="s">
        <v>793</v>
      </c>
      <c r="B431" s="2" t="s">
        <v>43</v>
      </c>
      <c r="C431" s="2" t="s">
        <v>23</v>
      </c>
      <c r="D431" s="2" t="s">
        <v>512</v>
      </c>
      <c r="E431" s="2">
        <v>880</v>
      </c>
      <c r="F431" s="3">
        <v>46132</v>
      </c>
      <c r="G431" s="3">
        <v>46145</v>
      </c>
      <c r="H431" s="3">
        <v>46144</v>
      </c>
      <c r="I431" s="2">
        <v>887</v>
      </c>
      <c r="J431" s="2">
        <v>46</v>
      </c>
    </row>
    <row r="432" spans="1:10">
      <c r="A432" s="2" t="s">
        <v>794</v>
      </c>
      <c r="B432" s="2" t="s">
        <v>64</v>
      </c>
      <c r="C432" s="2" t="s">
        <v>16</v>
      </c>
      <c r="D432" s="2" t="s">
        <v>795</v>
      </c>
      <c r="E432" s="2">
        <v>917</v>
      </c>
      <c r="F432" s="3">
        <v>46027</v>
      </c>
      <c r="G432" s="3">
        <v>46034</v>
      </c>
      <c r="H432" s="3">
        <v>46039</v>
      </c>
      <c r="I432" s="2">
        <v>919</v>
      </c>
      <c r="J432" s="2">
        <v>48</v>
      </c>
    </row>
    <row r="433" spans="1:10">
      <c r="A433" s="2" t="s">
        <v>796</v>
      </c>
      <c r="B433" s="2" t="s">
        <v>29</v>
      </c>
      <c r="C433" s="2" t="s">
        <v>16</v>
      </c>
      <c r="D433" s="2" t="s">
        <v>452</v>
      </c>
      <c r="E433" s="2">
        <v>136</v>
      </c>
      <c r="F433" s="3">
        <v>46049</v>
      </c>
      <c r="G433" s="3">
        <v>46055</v>
      </c>
      <c r="H433" s="3">
        <v>46062</v>
      </c>
      <c r="I433" s="2">
        <v>110</v>
      </c>
      <c r="J433" s="2">
        <v>1</v>
      </c>
    </row>
    <row r="434" spans="1:10">
      <c r="A434" s="2" t="s">
        <v>797</v>
      </c>
      <c r="B434" s="2" t="s">
        <v>120</v>
      </c>
      <c r="C434" s="2" t="s">
        <v>16</v>
      </c>
      <c r="D434" s="2" t="s">
        <v>150</v>
      </c>
      <c r="E434" s="2">
        <v>907</v>
      </c>
      <c r="F434" s="3">
        <v>46055</v>
      </c>
      <c r="G434" s="3">
        <v>46066</v>
      </c>
      <c r="H434" s="3">
        <v>46066</v>
      </c>
      <c r="I434" s="2">
        <v>765</v>
      </c>
      <c r="J434" s="2">
        <v>24</v>
      </c>
    </row>
    <row r="435" spans="1:10">
      <c r="A435" s="2" t="s">
        <v>798</v>
      </c>
      <c r="B435" s="2" t="s">
        <v>49</v>
      </c>
      <c r="C435" s="2" t="s">
        <v>12</v>
      </c>
      <c r="D435" s="2" t="s">
        <v>59</v>
      </c>
      <c r="E435" s="2">
        <v>337</v>
      </c>
      <c r="F435" s="3">
        <v>46108</v>
      </c>
      <c r="G435" s="3">
        <v>46116</v>
      </c>
      <c r="H435" s="3">
        <v>46113</v>
      </c>
      <c r="I435" s="2">
        <v>333</v>
      </c>
      <c r="J435" s="2">
        <v>0</v>
      </c>
    </row>
    <row r="436" spans="1:10">
      <c r="A436" s="2" t="s">
        <v>799</v>
      </c>
      <c r="B436" s="2" t="s">
        <v>800</v>
      </c>
      <c r="C436" s="2" t="s">
        <v>16</v>
      </c>
      <c r="D436" s="2" t="s">
        <v>272</v>
      </c>
      <c r="E436" s="2">
        <v>367</v>
      </c>
      <c r="F436" s="3">
        <v>46100</v>
      </c>
      <c r="G436" s="3">
        <v>46115</v>
      </c>
      <c r="H436" s="3">
        <v>46113</v>
      </c>
      <c r="I436" s="2">
        <v>368</v>
      </c>
      <c r="J436" s="2">
        <v>1</v>
      </c>
    </row>
    <row r="437" spans="1:10">
      <c r="A437" s="2" t="s">
        <v>801</v>
      </c>
      <c r="B437" s="2" t="s">
        <v>22</v>
      </c>
      <c r="C437" s="2" t="s">
        <v>12</v>
      </c>
      <c r="D437" s="2" t="s">
        <v>30</v>
      </c>
      <c r="E437" s="2">
        <v>883</v>
      </c>
      <c r="F437" s="3">
        <v>46123</v>
      </c>
      <c r="G437" s="3">
        <v>46138</v>
      </c>
      <c r="H437" s="3">
        <v>46136</v>
      </c>
      <c r="I437" s="2">
        <v>897</v>
      </c>
      <c r="J437" s="2">
        <v>64</v>
      </c>
    </row>
    <row r="438" spans="1:10">
      <c r="A438" s="2" t="s">
        <v>802</v>
      </c>
      <c r="B438" s="2" t="s">
        <v>26</v>
      </c>
      <c r="C438" s="2" t="s">
        <v>12</v>
      </c>
      <c r="D438" s="2" t="s">
        <v>682</v>
      </c>
      <c r="E438" s="2">
        <v>962</v>
      </c>
      <c r="F438" s="3">
        <v>46064</v>
      </c>
      <c r="G438" s="3">
        <v>46071</v>
      </c>
      <c r="H438" s="3">
        <v>46068</v>
      </c>
      <c r="I438" s="2">
        <v>950</v>
      </c>
      <c r="J438" s="2">
        <v>18</v>
      </c>
    </row>
    <row r="439" spans="1:10">
      <c r="A439" s="2" t="s">
        <v>803</v>
      </c>
      <c r="B439" s="2" t="s">
        <v>100</v>
      </c>
      <c r="C439" s="2" t="s">
        <v>12</v>
      </c>
      <c r="D439" s="2" t="s">
        <v>505</v>
      </c>
      <c r="E439" s="2">
        <v>743</v>
      </c>
      <c r="F439" s="3">
        <v>46150</v>
      </c>
      <c r="G439" s="3">
        <v>46157</v>
      </c>
      <c r="H439" s="3">
        <v>46156</v>
      </c>
      <c r="I439" s="2">
        <v>737</v>
      </c>
      <c r="J439" s="2">
        <v>2</v>
      </c>
    </row>
    <row r="440" spans="1:10">
      <c r="A440" s="2" t="s">
        <v>804</v>
      </c>
      <c r="B440" s="2" t="s">
        <v>35</v>
      </c>
      <c r="C440" s="2" t="s">
        <v>16</v>
      </c>
      <c r="D440" s="2" t="s">
        <v>805</v>
      </c>
      <c r="E440" s="2">
        <v>844</v>
      </c>
      <c r="F440" s="3">
        <v>46061</v>
      </c>
      <c r="G440" s="3">
        <v>46073</v>
      </c>
      <c r="H440" s="3">
        <v>46077</v>
      </c>
      <c r="I440" s="2">
        <v>830</v>
      </c>
      <c r="J440" s="2">
        <v>31</v>
      </c>
    </row>
    <row r="441" spans="1:10">
      <c r="A441" s="2" t="s">
        <v>806</v>
      </c>
      <c r="B441" s="2" t="s">
        <v>26</v>
      </c>
      <c r="C441" s="2" t="s">
        <v>12</v>
      </c>
      <c r="D441" s="2" t="s">
        <v>807</v>
      </c>
      <c r="E441" s="2">
        <v>508</v>
      </c>
      <c r="F441" s="3">
        <v>46170</v>
      </c>
      <c r="G441" s="3">
        <v>46178</v>
      </c>
      <c r="H441" s="3">
        <v>46178</v>
      </c>
      <c r="I441" s="2">
        <v>509</v>
      </c>
      <c r="J441" s="2">
        <v>4</v>
      </c>
    </row>
    <row r="442" spans="1:10">
      <c r="A442" s="2" t="s">
        <v>808</v>
      </c>
      <c r="B442" s="2" t="s">
        <v>120</v>
      </c>
      <c r="C442" s="2" t="s">
        <v>16</v>
      </c>
      <c r="D442" s="2" t="s">
        <v>467</v>
      </c>
      <c r="E442" s="2">
        <v>84</v>
      </c>
      <c r="F442" s="3">
        <v>46157</v>
      </c>
      <c r="G442" s="3">
        <v>46162</v>
      </c>
      <c r="H442" s="3">
        <v>46161</v>
      </c>
      <c r="I442" s="2">
        <v>68</v>
      </c>
      <c r="J442" s="2">
        <v>3</v>
      </c>
    </row>
    <row r="443" spans="1:10">
      <c r="A443" s="2" t="s">
        <v>809</v>
      </c>
      <c r="B443" s="2" t="s">
        <v>252</v>
      </c>
      <c r="C443" s="2" t="s">
        <v>16</v>
      </c>
      <c r="D443" s="2" t="s">
        <v>810</v>
      </c>
      <c r="E443" s="2">
        <v>84</v>
      </c>
      <c r="F443" s="3">
        <v>46173</v>
      </c>
      <c r="G443" s="3">
        <v>46182</v>
      </c>
      <c r="H443" s="3">
        <v>46188</v>
      </c>
      <c r="I443" s="2">
        <v>69</v>
      </c>
      <c r="J443" s="2">
        <v>3</v>
      </c>
    </row>
    <row r="444" spans="1:10">
      <c r="A444" s="2" t="s">
        <v>811</v>
      </c>
      <c r="B444" s="2" t="s">
        <v>11</v>
      </c>
      <c r="C444" s="2" t="s">
        <v>12</v>
      </c>
      <c r="D444" s="2" t="s">
        <v>469</v>
      </c>
      <c r="E444" s="2">
        <v>646</v>
      </c>
      <c r="F444" s="3">
        <v>46111</v>
      </c>
      <c r="G444" s="3">
        <v>46123</v>
      </c>
      <c r="H444" s="3">
        <v>46122</v>
      </c>
      <c r="I444" s="2">
        <v>647</v>
      </c>
      <c r="J444" s="2">
        <v>4</v>
      </c>
    </row>
    <row r="445" spans="1:10">
      <c r="A445" s="2" t="s">
        <v>812</v>
      </c>
      <c r="B445" s="2" t="s">
        <v>49</v>
      </c>
      <c r="C445" s="2" t="s">
        <v>16</v>
      </c>
      <c r="D445" s="2" t="s">
        <v>813</v>
      </c>
      <c r="E445" s="2">
        <v>640</v>
      </c>
      <c r="F445" s="3">
        <v>46161</v>
      </c>
      <c r="G445" s="3">
        <v>46166</v>
      </c>
      <c r="H445" s="3">
        <v>46173</v>
      </c>
      <c r="I445" s="2">
        <v>644</v>
      </c>
      <c r="J445" s="2">
        <v>1</v>
      </c>
    </row>
    <row r="446" spans="1:10">
      <c r="A446" s="2" t="s">
        <v>814</v>
      </c>
      <c r="B446" s="2" t="s">
        <v>46</v>
      </c>
      <c r="C446" s="2" t="s">
        <v>16</v>
      </c>
      <c r="D446" s="2" t="s">
        <v>815</v>
      </c>
      <c r="E446" s="2">
        <v>375</v>
      </c>
      <c r="F446" s="3">
        <v>46099</v>
      </c>
      <c r="G446" s="3">
        <v>46112</v>
      </c>
      <c r="H446" s="3">
        <v>46109</v>
      </c>
      <c r="I446" s="2">
        <v>376</v>
      </c>
      <c r="J446" s="2">
        <v>17</v>
      </c>
    </row>
    <row r="447" spans="1:10">
      <c r="A447" s="2" t="s">
        <v>816</v>
      </c>
      <c r="B447" s="2" t="s">
        <v>43</v>
      </c>
      <c r="C447" s="2" t="s">
        <v>16</v>
      </c>
      <c r="D447" s="2" t="s">
        <v>594</v>
      </c>
      <c r="E447" s="2">
        <v>87</v>
      </c>
      <c r="F447" s="3">
        <v>46117</v>
      </c>
      <c r="G447" s="3">
        <v>46132</v>
      </c>
      <c r="H447" s="3">
        <v>46132</v>
      </c>
      <c r="I447" s="2">
        <v>88</v>
      </c>
      <c r="J447" s="2">
        <v>3</v>
      </c>
    </row>
    <row r="448" spans="1:10">
      <c r="A448" s="2" t="s">
        <v>817</v>
      </c>
      <c r="B448" s="2" t="s">
        <v>177</v>
      </c>
      <c r="C448" s="2" t="s">
        <v>12</v>
      </c>
      <c r="D448" s="2" t="s">
        <v>670</v>
      </c>
      <c r="E448" s="2">
        <v>960</v>
      </c>
      <c r="F448" s="3">
        <v>46084</v>
      </c>
      <c r="G448" s="3">
        <v>46098</v>
      </c>
      <c r="H448" s="3">
        <v>46107</v>
      </c>
      <c r="I448" s="2">
        <v>824</v>
      </c>
      <c r="J448" s="2">
        <v>13</v>
      </c>
    </row>
    <row r="449" spans="1:10">
      <c r="A449" s="2" t="s">
        <v>818</v>
      </c>
      <c r="B449" s="2" t="s">
        <v>40</v>
      </c>
      <c r="C449" s="2" t="s">
        <v>12</v>
      </c>
      <c r="D449" s="2" t="s">
        <v>819</v>
      </c>
      <c r="E449" s="2">
        <v>506</v>
      </c>
      <c r="F449" s="3">
        <v>46160</v>
      </c>
      <c r="G449" s="3">
        <v>46169</v>
      </c>
      <c r="H449" s="2"/>
      <c r="I449" s="2"/>
      <c r="J449" s="2"/>
    </row>
    <row r="450" spans="1:10">
      <c r="A450" s="2" t="s">
        <v>820</v>
      </c>
      <c r="B450" s="2" t="s">
        <v>29</v>
      </c>
      <c r="C450" s="2" t="s">
        <v>12</v>
      </c>
      <c r="D450" s="2" t="s">
        <v>821</v>
      </c>
      <c r="E450" s="2">
        <v>320</v>
      </c>
      <c r="F450" s="3">
        <v>46089</v>
      </c>
      <c r="G450" s="3">
        <v>46100</v>
      </c>
      <c r="H450" s="3">
        <v>46100</v>
      </c>
      <c r="I450" s="2">
        <v>315</v>
      </c>
      <c r="J450" s="2">
        <v>3</v>
      </c>
    </row>
    <row r="451" spans="1:10">
      <c r="A451" s="2" t="s">
        <v>822</v>
      </c>
      <c r="B451" s="2" t="s">
        <v>46</v>
      </c>
      <c r="C451" s="2" t="s">
        <v>16</v>
      </c>
      <c r="D451" s="2" t="s">
        <v>569</v>
      </c>
      <c r="E451" s="2">
        <v>630</v>
      </c>
      <c r="F451" s="3">
        <v>46118</v>
      </c>
      <c r="G451" s="3">
        <v>46130</v>
      </c>
      <c r="H451" s="3">
        <v>46128</v>
      </c>
      <c r="I451" s="2">
        <v>638</v>
      </c>
      <c r="J451" s="2">
        <v>19</v>
      </c>
    </row>
    <row r="452" spans="1:10">
      <c r="A452" s="2" t="s">
        <v>823</v>
      </c>
      <c r="B452" s="2" t="s">
        <v>67</v>
      </c>
      <c r="C452" s="2" t="s">
        <v>23</v>
      </c>
      <c r="D452" s="2" t="s">
        <v>824</v>
      </c>
      <c r="E452" s="2">
        <v>477</v>
      </c>
      <c r="F452" s="3">
        <v>46094</v>
      </c>
      <c r="G452" s="3">
        <v>46099</v>
      </c>
      <c r="H452" s="3">
        <v>46103</v>
      </c>
      <c r="I452" s="2">
        <v>482</v>
      </c>
      <c r="J452" s="2">
        <v>20</v>
      </c>
    </row>
    <row r="453" spans="1:10">
      <c r="A453" s="2" t="s">
        <v>825</v>
      </c>
      <c r="B453" s="2" t="s">
        <v>26</v>
      </c>
      <c r="C453" s="2" t="s">
        <v>12</v>
      </c>
      <c r="D453" s="2" t="s">
        <v>505</v>
      </c>
      <c r="E453" s="2">
        <v>835</v>
      </c>
      <c r="F453" s="3">
        <v>46069</v>
      </c>
      <c r="G453" s="3">
        <v>46081</v>
      </c>
      <c r="H453" s="3">
        <v>46085</v>
      </c>
      <c r="I453" s="2">
        <v>745</v>
      </c>
      <c r="J453" s="2">
        <v>17</v>
      </c>
    </row>
    <row r="454" spans="1:10">
      <c r="A454" s="2" t="s">
        <v>102</v>
      </c>
      <c r="B454" s="2" t="s">
        <v>70</v>
      </c>
      <c r="C454" s="2" t="s">
        <v>23</v>
      </c>
      <c r="D454" s="2" t="s">
        <v>103</v>
      </c>
      <c r="E454" s="2">
        <v>872</v>
      </c>
      <c r="F454" s="3">
        <v>46115</v>
      </c>
      <c r="G454" s="3">
        <v>46120</v>
      </c>
      <c r="H454" s="3">
        <v>46118</v>
      </c>
      <c r="I454" s="2">
        <v>860</v>
      </c>
      <c r="J454" s="2">
        <v>11</v>
      </c>
    </row>
    <row r="455" spans="1:10">
      <c r="A455" s="2" t="s">
        <v>826</v>
      </c>
      <c r="B455" s="2" t="s">
        <v>49</v>
      </c>
      <c r="C455" s="2" t="s">
        <v>16</v>
      </c>
      <c r="D455" s="2" t="s">
        <v>381</v>
      </c>
      <c r="E455" s="2">
        <v>962</v>
      </c>
      <c r="F455" s="3">
        <v>46125</v>
      </c>
      <c r="G455" s="3">
        <v>46139</v>
      </c>
      <c r="H455" s="3">
        <v>46146</v>
      </c>
      <c r="I455" s="2">
        <v>979</v>
      </c>
      <c r="J455" s="2">
        <v>14</v>
      </c>
    </row>
    <row r="456" spans="1:10">
      <c r="A456" s="2" t="s">
        <v>827</v>
      </c>
      <c r="B456" s="2" t="s">
        <v>43</v>
      </c>
      <c r="C456" s="2" t="s">
        <v>16</v>
      </c>
      <c r="D456" s="2" t="s">
        <v>769</v>
      </c>
      <c r="E456" s="2">
        <v>384</v>
      </c>
      <c r="F456" s="3">
        <v>46126</v>
      </c>
      <c r="G456" s="3">
        <v>46135</v>
      </c>
      <c r="H456" s="3">
        <v>46135</v>
      </c>
      <c r="I456" s="2">
        <v>382</v>
      </c>
      <c r="J456" s="2">
        <v>4</v>
      </c>
    </row>
    <row r="457" spans="1:10">
      <c r="A457" s="2" t="s">
        <v>828</v>
      </c>
      <c r="B457" s="2" t="s">
        <v>289</v>
      </c>
      <c r="C457" s="2" t="s">
        <v>23</v>
      </c>
      <c r="D457" s="2" t="s">
        <v>142</v>
      </c>
      <c r="E457" s="2">
        <v>693</v>
      </c>
      <c r="F457" s="3">
        <v>46128</v>
      </c>
      <c r="G457" s="3">
        <v>46136</v>
      </c>
      <c r="H457" s="3">
        <v>46134</v>
      </c>
      <c r="I457" s="2">
        <v>701</v>
      </c>
      <c r="J457" s="2">
        <v>5</v>
      </c>
    </row>
    <row r="458" spans="1:10">
      <c r="A458" s="2" t="s">
        <v>829</v>
      </c>
      <c r="B458" s="2" t="s">
        <v>46</v>
      </c>
      <c r="C458" s="2" t="s">
        <v>16</v>
      </c>
      <c r="D458" s="2" t="s">
        <v>92</v>
      </c>
      <c r="E458" s="2">
        <v>225</v>
      </c>
      <c r="F458" s="3">
        <v>46170</v>
      </c>
      <c r="G458" s="3">
        <v>46185</v>
      </c>
      <c r="H458" s="3">
        <v>46186</v>
      </c>
      <c r="I458" s="2">
        <v>228</v>
      </c>
      <c r="J458" s="2">
        <v>10</v>
      </c>
    </row>
    <row r="459" spans="1:10">
      <c r="A459" s="2" t="s">
        <v>346</v>
      </c>
      <c r="B459" s="2" t="s">
        <v>40</v>
      </c>
      <c r="C459" s="2" t="s">
        <v>23</v>
      </c>
      <c r="D459" s="2" t="s">
        <v>347</v>
      </c>
      <c r="E459" s="2">
        <v>494</v>
      </c>
      <c r="F459" s="3">
        <v>46061</v>
      </c>
      <c r="G459" s="3">
        <v>46069</v>
      </c>
      <c r="H459" s="3">
        <v>46068</v>
      </c>
      <c r="I459" s="2">
        <v>486</v>
      </c>
      <c r="J459" s="2">
        <v>13</v>
      </c>
    </row>
    <row r="460" spans="1:10">
      <c r="A460" s="2" t="s">
        <v>830</v>
      </c>
      <c r="B460" s="2" t="s">
        <v>576</v>
      </c>
      <c r="C460" s="2" t="s">
        <v>16</v>
      </c>
      <c r="D460" s="2" t="s">
        <v>831</v>
      </c>
      <c r="E460" s="2">
        <v>755</v>
      </c>
      <c r="F460" s="3">
        <v>46173</v>
      </c>
      <c r="G460" s="3">
        <v>46179</v>
      </c>
      <c r="H460" s="3">
        <v>46187</v>
      </c>
      <c r="I460" s="2">
        <v>765</v>
      </c>
      <c r="J460" s="2">
        <v>50</v>
      </c>
    </row>
    <row r="461" spans="1:10">
      <c r="A461" s="2" t="s">
        <v>832</v>
      </c>
      <c r="B461" s="2" t="s">
        <v>43</v>
      </c>
      <c r="C461" s="2" t="s">
        <v>23</v>
      </c>
      <c r="D461" s="2" t="s">
        <v>833</v>
      </c>
      <c r="E461" s="2">
        <v>737</v>
      </c>
      <c r="F461" s="3">
        <v>46110</v>
      </c>
      <c r="G461" s="3">
        <v>46116</v>
      </c>
      <c r="H461" s="3">
        <v>46117</v>
      </c>
      <c r="I461" s="2">
        <v>733</v>
      </c>
      <c r="J461" s="2">
        <v>6</v>
      </c>
    </row>
    <row r="462" spans="1:10">
      <c r="A462" s="2" t="s">
        <v>834</v>
      </c>
      <c r="B462" s="2" t="s">
        <v>11</v>
      </c>
      <c r="C462" s="2" t="s">
        <v>16</v>
      </c>
      <c r="D462" s="2" t="s">
        <v>722</v>
      </c>
      <c r="E462" s="2">
        <v>734</v>
      </c>
      <c r="F462" s="3">
        <v>46148</v>
      </c>
      <c r="G462" s="3">
        <v>46155</v>
      </c>
      <c r="H462" s="3">
        <v>46153</v>
      </c>
      <c r="I462" s="2">
        <v>739</v>
      </c>
      <c r="J462" s="2">
        <v>11</v>
      </c>
    </row>
    <row r="463" spans="1:10">
      <c r="A463" s="2" t="s">
        <v>835</v>
      </c>
      <c r="B463" s="2" t="s">
        <v>120</v>
      </c>
      <c r="C463" s="2" t="s">
        <v>12</v>
      </c>
      <c r="D463" s="2" t="s">
        <v>836</v>
      </c>
      <c r="E463" s="2">
        <v>564</v>
      </c>
      <c r="F463" s="3">
        <v>46062</v>
      </c>
      <c r="G463" s="3">
        <v>46076</v>
      </c>
      <c r="H463" s="3">
        <v>46074</v>
      </c>
      <c r="I463" s="2">
        <v>497</v>
      </c>
      <c r="J463" s="2">
        <v>23</v>
      </c>
    </row>
    <row r="464" spans="1:10">
      <c r="A464" s="2" t="s">
        <v>837</v>
      </c>
      <c r="B464" s="2" t="s">
        <v>40</v>
      </c>
      <c r="C464" s="2" t="s">
        <v>12</v>
      </c>
      <c r="D464" s="2" t="s">
        <v>307</v>
      </c>
      <c r="E464" s="2">
        <v>409</v>
      </c>
      <c r="F464" s="3">
        <v>46149</v>
      </c>
      <c r="G464" s="3">
        <v>46157</v>
      </c>
      <c r="H464" s="3">
        <v>46156</v>
      </c>
      <c r="I464" s="2">
        <v>407</v>
      </c>
      <c r="J464" s="2">
        <v>20</v>
      </c>
    </row>
    <row r="465" spans="1:10">
      <c r="A465" s="2" t="s">
        <v>838</v>
      </c>
      <c r="B465" s="2" t="s">
        <v>100</v>
      </c>
      <c r="C465" s="2" t="s">
        <v>16</v>
      </c>
      <c r="D465" s="2" t="s">
        <v>452</v>
      </c>
      <c r="E465" s="2">
        <v>915</v>
      </c>
      <c r="F465" s="3">
        <v>46048</v>
      </c>
      <c r="G465" s="3">
        <v>46062</v>
      </c>
      <c r="H465" s="3">
        <v>46060</v>
      </c>
      <c r="I465" s="2">
        <v>801</v>
      </c>
      <c r="J465" s="2">
        <v>16</v>
      </c>
    </row>
    <row r="466" spans="1:10">
      <c r="A466" s="2" t="s">
        <v>839</v>
      </c>
      <c r="B466" s="2" t="s">
        <v>67</v>
      </c>
      <c r="C466" s="2" t="s">
        <v>23</v>
      </c>
      <c r="D466" s="2" t="s">
        <v>840</v>
      </c>
      <c r="E466" s="2">
        <v>243</v>
      </c>
      <c r="F466" s="3">
        <v>46122</v>
      </c>
      <c r="G466" s="3">
        <v>46127</v>
      </c>
      <c r="H466" s="3">
        <v>46125</v>
      </c>
      <c r="I466" s="2">
        <v>238</v>
      </c>
      <c r="J466" s="2">
        <v>4</v>
      </c>
    </row>
    <row r="467" spans="1:10">
      <c r="A467" s="2" t="s">
        <v>841</v>
      </c>
      <c r="B467" s="2" t="s">
        <v>177</v>
      </c>
      <c r="C467" s="2" t="s">
        <v>16</v>
      </c>
      <c r="D467" s="2" t="s">
        <v>401</v>
      </c>
      <c r="E467" s="2">
        <v>172</v>
      </c>
      <c r="F467" s="3">
        <v>46043</v>
      </c>
      <c r="G467" s="3">
        <v>46050</v>
      </c>
      <c r="H467" s="3">
        <v>46049</v>
      </c>
      <c r="I467" s="2">
        <v>170</v>
      </c>
      <c r="J467" s="2">
        <v>3</v>
      </c>
    </row>
    <row r="468" spans="1:10">
      <c r="A468" s="2" t="s">
        <v>842</v>
      </c>
      <c r="B468" s="2" t="s">
        <v>35</v>
      </c>
      <c r="C468" s="2" t="s">
        <v>16</v>
      </c>
      <c r="D468" s="2" t="s">
        <v>843</v>
      </c>
      <c r="E468" s="2">
        <v>966</v>
      </c>
      <c r="F468" s="3">
        <v>46144</v>
      </c>
      <c r="G468" s="3">
        <v>46152</v>
      </c>
      <c r="H468" s="3">
        <v>46152</v>
      </c>
      <c r="I468" s="2">
        <v>951</v>
      </c>
      <c r="J468" s="2">
        <v>39</v>
      </c>
    </row>
    <row r="469" spans="1:10">
      <c r="A469" s="2" t="s">
        <v>844</v>
      </c>
      <c r="B469" s="2" t="s">
        <v>436</v>
      </c>
      <c r="C469" s="2" t="s">
        <v>12</v>
      </c>
      <c r="D469" s="2" t="s">
        <v>136</v>
      </c>
      <c r="E469" s="2">
        <v>553</v>
      </c>
      <c r="F469" s="3">
        <v>46170</v>
      </c>
      <c r="G469" s="3">
        <v>46184</v>
      </c>
      <c r="H469" s="3">
        <v>46183</v>
      </c>
      <c r="I469" s="2">
        <v>552</v>
      </c>
      <c r="J469" s="2">
        <v>35</v>
      </c>
    </row>
    <row r="470" spans="1:10">
      <c r="A470" s="2" t="s">
        <v>845</v>
      </c>
      <c r="B470" s="2" t="s">
        <v>26</v>
      </c>
      <c r="C470" s="2" t="s">
        <v>12</v>
      </c>
      <c r="D470" s="2" t="s">
        <v>167</v>
      </c>
      <c r="E470" s="2">
        <v>615</v>
      </c>
      <c r="F470" s="3">
        <v>46039</v>
      </c>
      <c r="G470" s="3">
        <v>46048</v>
      </c>
      <c r="H470" s="3">
        <v>46045</v>
      </c>
      <c r="I470" s="2">
        <v>626</v>
      </c>
      <c r="J470" s="2">
        <v>6</v>
      </c>
    </row>
    <row r="471" spans="1:10">
      <c r="A471" s="2" t="s">
        <v>846</v>
      </c>
      <c r="B471" s="2" t="s">
        <v>29</v>
      </c>
      <c r="C471" s="2" t="s">
        <v>16</v>
      </c>
      <c r="D471" s="2" t="s">
        <v>125</v>
      </c>
      <c r="E471" s="2">
        <v>355</v>
      </c>
      <c r="F471" s="3">
        <v>46147</v>
      </c>
      <c r="G471" s="3">
        <v>46152</v>
      </c>
      <c r="H471" s="3">
        <v>46150</v>
      </c>
      <c r="I471" s="2">
        <v>357</v>
      </c>
      <c r="J471" s="2">
        <v>2</v>
      </c>
    </row>
    <row r="472" spans="1:10">
      <c r="A472" s="2" t="s">
        <v>847</v>
      </c>
      <c r="B472" s="2" t="s">
        <v>100</v>
      </c>
      <c r="C472" s="2" t="s">
        <v>16</v>
      </c>
      <c r="D472" s="2" t="s">
        <v>848</v>
      </c>
      <c r="E472" s="2">
        <v>988</v>
      </c>
      <c r="F472" s="3">
        <v>46107</v>
      </c>
      <c r="G472" s="3">
        <v>46117</v>
      </c>
      <c r="H472" s="3">
        <v>46114</v>
      </c>
      <c r="I472" s="2">
        <v>981</v>
      </c>
      <c r="J472" s="2">
        <v>38</v>
      </c>
    </row>
    <row r="473" spans="1:10">
      <c r="A473" s="2" t="s">
        <v>849</v>
      </c>
      <c r="B473" s="2" t="s">
        <v>70</v>
      </c>
      <c r="C473" s="2" t="s">
        <v>12</v>
      </c>
      <c r="D473" s="2" t="s">
        <v>115</v>
      </c>
      <c r="E473" s="2">
        <v>672</v>
      </c>
      <c r="F473" s="3">
        <v>46063</v>
      </c>
      <c r="G473" s="3">
        <v>46072</v>
      </c>
      <c r="H473" s="3">
        <v>46075</v>
      </c>
      <c r="I473" s="2">
        <v>668</v>
      </c>
      <c r="J473" s="2">
        <v>12</v>
      </c>
    </row>
    <row r="474" spans="1:10">
      <c r="A474" s="2" t="s">
        <v>850</v>
      </c>
      <c r="B474" s="2" t="s">
        <v>11</v>
      </c>
      <c r="C474" s="2" t="s">
        <v>16</v>
      </c>
      <c r="D474" s="2" t="s">
        <v>737</v>
      </c>
      <c r="E474" s="2">
        <v>125</v>
      </c>
      <c r="F474" s="3">
        <v>46144</v>
      </c>
      <c r="G474" s="3">
        <v>46155</v>
      </c>
      <c r="H474" s="3">
        <v>46155</v>
      </c>
      <c r="I474" s="2">
        <v>116</v>
      </c>
      <c r="J474" s="2">
        <v>2</v>
      </c>
    </row>
    <row r="475" spans="1:10">
      <c r="A475" s="2" t="s">
        <v>851</v>
      </c>
      <c r="B475" s="2" t="s">
        <v>52</v>
      </c>
      <c r="C475" s="2" t="s">
        <v>12</v>
      </c>
      <c r="D475" s="2" t="s">
        <v>647</v>
      </c>
      <c r="E475" s="2">
        <v>616</v>
      </c>
      <c r="F475" s="3">
        <v>46035</v>
      </c>
      <c r="G475" s="3">
        <v>46047</v>
      </c>
      <c r="H475" s="3">
        <v>46046</v>
      </c>
      <c r="I475" s="2">
        <v>519</v>
      </c>
      <c r="J475" s="2">
        <v>0</v>
      </c>
    </row>
    <row r="476" spans="1:10">
      <c r="A476" s="2" t="s">
        <v>852</v>
      </c>
      <c r="B476" s="2" t="s">
        <v>29</v>
      </c>
      <c r="C476" s="2" t="s">
        <v>12</v>
      </c>
      <c r="D476" s="2" t="s">
        <v>73</v>
      </c>
      <c r="E476" s="2">
        <v>176</v>
      </c>
      <c r="F476" s="3">
        <v>46175</v>
      </c>
      <c r="G476" s="3">
        <v>46180</v>
      </c>
      <c r="H476" s="3">
        <v>46183</v>
      </c>
      <c r="I476" s="2">
        <v>177</v>
      </c>
      <c r="J476" s="2">
        <v>2</v>
      </c>
    </row>
    <row r="477" spans="1:10">
      <c r="A477" s="2" t="s">
        <v>853</v>
      </c>
      <c r="B477" s="2" t="s">
        <v>252</v>
      </c>
      <c r="C477" s="2" t="s">
        <v>12</v>
      </c>
      <c r="D477" s="2" t="s">
        <v>854</v>
      </c>
      <c r="E477" s="2">
        <v>747</v>
      </c>
      <c r="F477" s="3">
        <v>46033</v>
      </c>
      <c r="G477" s="3">
        <v>46043</v>
      </c>
      <c r="H477" s="3">
        <v>46047</v>
      </c>
      <c r="I477" s="2">
        <v>643</v>
      </c>
      <c r="J477" s="2">
        <v>24</v>
      </c>
    </row>
    <row r="478" spans="1:10">
      <c r="A478" s="2" t="s">
        <v>855</v>
      </c>
      <c r="B478" s="2" t="s">
        <v>43</v>
      </c>
      <c r="C478" s="2" t="s">
        <v>16</v>
      </c>
      <c r="D478" s="2" t="s">
        <v>856</v>
      </c>
      <c r="E478" s="2">
        <v>183</v>
      </c>
      <c r="F478" s="3">
        <v>46030</v>
      </c>
      <c r="G478" s="3">
        <v>46044</v>
      </c>
      <c r="H478" s="3">
        <v>46041</v>
      </c>
      <c r="I478" s="2">
        <v>184</v>
      </c>
      <c r="J478" s="2">
        <v>8</v>
      </c>
    </row>
    <row r="479" spans="1:10">
      <c r="A479" s="2" t="s">
        <v>857</v>
      </c>
      <c r="B479" s="2" t="s">
        <v>476</v>
      </c>
      <c r="C479" s="2" t="s">
        <v>12</v>
      </c>
      <c r="D479" s="2" t="s">
        <v>605</v>
      </c>
      <c r="E479" s="2">
        <v>553</v>
      </c>
      <c r="F479" s="3">
        <v>46116</v>
      </c>
      <c r="G479" s="3">
        <v>46125</v>
      </c>
      <c r="H479" s="3">
        <v>46124</v>
      </c>
      <c r="I479" s="2">
        <v>557</v>
      </c>
      <c r="J479" s="2">
        <v>1</v>
      </c>
    </row>
    <row r="480" spans="1:10">
      <c r="A480" s="2" t="s">
        <v>858</v>
      </c>
      <c r="B480" s="2" t="s">
        <v>46</v>
      </c>
      <c r="C480" s="2" t="s">
        <v>12</v>
      </c>
      <c r="D480" s="2" t="s">
        <v>391</v>
      </c>
      <c r="E480" s="2">
        <v>263</v>
      </c>
      <c r="F480" s="3">
        <v>46132</v>
      </c>
      <c r="G480" s="3">
        <v>46141</v>
      </c>
      <c r="H480" s="3">
        <v>46139</v>
      </c>
      <c r="I480" s="2">
        <v>264</v>
      </c>
      <c r="J480" s="2">
        <v>17</v>
      </c>
    </row>
    <row r="481" spans="1:10">
      <c r="A481" s="2" t="s">
        <v>859</v>
      </c>
      <c r="B481" s="2" t="s">
        <v>177</v>
      </c>
      <c r="C481" s="2" t="s">
        <v>16</v>
      </c>
      <c r="D481" s="2"/>
      <c r="E481" s="2">
        <v>707</v>
      </c>
      <c r="F481" s="3">
        <v>46110</v>
      </c>
      <c r="G481" s="3">
        <v>46116</v>
      </c>
      <c r="H481" s="3">
        <v>46124</v>
      </c>
      <c r="I481" s="2">
        <v>702</v>
      </c>
      <c r="J481" s="2">
        <v>33</v>
      </c>
    </row>
    <row r="482" spans="1:10">
      <c r="A482" s="2" t="s">
        <v>860</v>
      </c>
      <c r="B482" s="2" t="s">
        <v>32</v>
      </c>
      <c r="C482" s="2" t="s">
        <v>12</v>
      </c>
      <c r="D482" s="2" t="s">
        <v>711</v>
      </c>
      <c r="E482" s="2">
        <v>131</v>
      </c>
      <c r="F482" s="3">
        <v>46110</v>
      </c>
      <c r="G482" s="3">
        <v>46115</v>
      </c>
      <c r="H482" s="3">
        <v>46112</v>
      </c>
      <c r="I482" s="2">
        <v>130</v>
      </c>
      <c r="J482" s="2">
        <v>1</v>
      </c>
    </row>
    <row r="483" spans="1:10">
      <c r="A483" s="2" t="s">
        <v>861</v>
      </c>
      <c r="B483" s="2" t="s">
        <v>49</v>
      </c>
      <c r="C483" s="2" t="s">
        <v>12</v>
      </c>
      <c r="D483" s="2" t="s">
        <v>862</v>
      </c>
      <c r="E483" s="2">
        <v>289</v>
      </c>
      <c r="F483" s="3">
        <v>46077</v>
      </c>
      <c r="G483" s="3">
        <v>46083</v>
      </c>
      <c r="H483" s="2"/>
      <c r="I483" s="2"/>
      <c r="J483" s="2"/>
    </row>
    <row r="484" spans="1:10">
      <c r="A484" s="2" t="s">
        <v>863</v>
      </c>
      <c r="B484" s="2" t="s">
        <v>11</v>
      </c>
      <c r="C484" s="2" t="s">
        <v>12</v>
      </c>
      <c r="D484" s="2" t="s">
        <v>864</v>
      </c>
      <c r="E484" s="2">
        <v>979</v>
      </c>
      <c r="F484" s="3">
        <v>46029</v>
      </c>
      <c r="G484" s="3">
        <v>46034</v>
      </c>
      <c r="H484" s="3">
        <v>46036</v>
      </c>
      <c r="I484" s="2">
        <v>981</v>
      </c>
      <c r="J484" s="2">
        <v>31</v>
      </c>
    </row>
    <row r="485" spans="1:10">
      <c r="A485" s="2" t="s">
        <v>865</v>
      </c>
      <c r="B485" s="2" t="s">
        <v>35</v>
      </c>
      <c r="C485" s="2" t="s">
        <v>12</v>
      </c>
      <c r="D485" s="2" t="s">
        <v>668</v>
      </c>
      <c r="E485" s="2">
        <v>600</v>
      </c>
      <c r="F485" s="3">
        <v>46068</v>
      </c>
      <c r="G485" s="3">
        <v>46077</v>
      </c>
      <c r="H485" s="3">
        <v>46074</v>
      </c>
      <c r="I485" s="2">
        <v>540</v>
      </c>
      <c r="J485" s="2">
        <v>35</v>
      </c>
    </row>
    <row r="486" spans="1:10">
      <c r="A486" s="2" t="s">
        <v>866</v>
      </c>
      <c r="B486" s="2" t="s">
        <v>218</v>
      </c>
      <c r="C486" s="2" t="s">
        <v>23</v>
      </c>
      <c r="D486" s="2" t="s">
        <v>636</v>
      </c>
      <c r="E486" s="2">
        <v>565</v>
      </c>
      <c r="F486" s="3">
        <v>46051</v>
      </c>
      <c r="G486" s="3">
        <v>46066</v>
      </c>
      <c r="H486" s="3">
        <v>46074</v>
      </c>
      <c r="I486" s="2">
        <v>560</v>
      </c>
      <c r="J486" s="2">
        <v>12</v>
      </c>
    </row>
    <row r="487" spans="1:10">
      <c r="A487" s="2" t="s">
        <v>867</v>
      </c>
      <c r="B487" s="2" t="s">
        <v>177</v>
      </c>
      <c r="C487" s="2" t="s">
        <v>23</v>
      </c>
      <c r="D487" s="2" t="s">
        <v>314</v>
      </c>
      <c r="E487" s="2">
        <v>540</v>
      </c>
      <c r="F487" s="3">
        <v>46121</v>
      </c>
      <c r="G487" s="3">
        <v>46132</v>
      </c>
      <c r="H487" s="3">
        <v>46129</v>
      </c>
      <c r="I487" s="2">
        <v>541</v>
      </c>
      <c r="J487" s="2">
        <v>16</v>
      </c>
    </row>
    <row r="488" spans="1:10">
      <c r="A488" s="2" t="s">
        <v>868</v>
      </c>
      <c r="B488" s="2" t="s">
        <v>19</v>
      </c>
      <c r="C488" s="2" t="s">
        <v>16</v>
      </c>
      <c r="D488" s="2" t="s">
        <v>27</v>
      </c>
      <c r="E488" s="2">
        <v>353</v>
      </c>
      <c r="F488" s="3">
        <v>46050</v>
      </c>
      <c r="G488" s="3">
        <v>46055</v>
      </c>
      <c r="H488" s="3">
        <v>46052</v>
      </c>
      <c r="I488" s="2">
        <v>355</v>
      </c>
      <c r="J488" s="2">
        <v>0</v>
      </c>
    </row>
    <row r="489" spans="1:10">
      <c r="A489" s="2" t="s">
        <v>869</v>
      </c>
      <c r="B489" s="2" t="s">
        <v>870</v>
      </c>
      <c r="C489" s="2" t="s">
        <v>23</v>
      </c>
      <c r="D489" s="2" t="s">
        <v>748</v>
      </c>
      <c r="E489" s="2">
        <v>214</v>
      </c>
      <c r="F489" s="3">
        <v>46106</v>
      </c>
      <c r="G489" s="3">
        <v>46112</v>
      </c>
      <c r="H489" s="3">
        <v>46109</v>
      </c>
      <c r="I489" s="2">
        <v>213</v>
      </c>
      <c r="J489" s="2">
        <v>11</v>
      </c>
    </row>
    <row r="490" spans="1:10">
      <c r="A490" s="2" t="s">
        <v>871</v>
      </c>
      <c r="B490" s="2" t="s">
        <v>64</v>
      </c>
      <c r="C490" s="2" t="s">
        <v>12</v>
      </c>
      <c r="D490" s="2" t="s">
        <v>872</v>
      </c>
      <c r="E490" s="2">
        <v>585</v>
      </c>
      <c r="F490" s="3">
        <v>46095</v>
      </c>
      <c r="G490" s="3">
        <v>46103</v>
      </c>
      <c r="H490" s="3">
        <v>46103</v>
      </c>
      <c r="I490" s="2">
        <v>582</v>
      </c>
      <c r="J490" s="2">
        <v>5</v>
      </c>
    </row>
    <row r="491" spans="1:10">
      <c r="A491" s="2" t="s">
        <v>873</v>
      </c>
      <c r="B491" s="2" t="s">
        <v>177</v>
      </c>
      <c r="C491" s="2" t="s">
        <v>16</v>
      </c>
      <c r="D491" s="2" t="s">
        <v>874</v>
      </c>
      <c r="E491" s="2">
        <v>887</v>
      </c>
      <c r="F491" s="3">
        <v>46040</v>
      </c>
      <c r="G491" s="3">
        <v>46049</v>
      </c>
      <c r="H491" s="3">
        <v>46056</v>
      </c>
      <c r="I491" s="2">
        <v>899</v>
      </c>
      <c r="J491" s="2">
        <v>17</v>
      </c>
    </row>
    <row r="492" spans="1:10">
      <c r="A492" s="2" t="s">
        <v>875</v>
      </c>
      <c r="B492" s="2" t="s">
        <v>29</v>
      </c>
      <c r="C492" s="2" t="s">
        <v>16</v>
      </c>
      <c r="D492" s="2" t="s">
        <v>876</v>
      </c>
      <c r="E492" s="2">
        <v>190</v>
      </c>
      <c r="F492" s="3">
        <v>46094</v>
      </c>
      <c r="G492" s="3">
        <v>46102</v>
      </c>
      <c r="H492" s="3">
        <v>46099</v>
      </c>
      <c r="I492" s="2">
        <v>192</v>
      </c>
      <c r="J492" s="2">
        <v>2</v>
      </c>
    </row>
    <row r="493" spans="1:10">
      <c r="A493" s="2" t="s">
        <v>877</v>
      </c>
      <c r="B493" s="2" t="s">
        <v>120</v>
      </c>
      <c r="C493" s="2" t="s">
        <v>322</v>
      </c>
      <c r="D493" s="2" t="s">
        <v>878</v>
      </c>
      <c r="E493" s="2">
        <v>352</v>
      </c>
      <c r="F493" s="3">
        <v>46148</v>
      </c>
      <c r="G493" s="3">
        <v>46153</v>
      </c>
      <c r="H493" s="3">
        <v>46152</v>
      </c>
      <c r="I493" s="2">
        <v>352</v>
      </c>
      <c r="J493" s="2">
        <v>7</v>
      </c>
    </row>
    <row r="494" spans="1:10">
      <c r="A494" s="2" t="s">
        <v>879</v>
      </c>
      <c r="B494" s="2" t="s">
        <v>19</v>
      </c>
      <c r="C494" s="2" t="s">
        <v>12</v>
      </c>
      <c r="D494" s="2" t="s">
        <v>821</v>
      </c>
      <c r="E494" s="2">
        <v>550</v>
      </c>
      <c r="F494" s="3">
        <v>46171</v>
      </c>
      <c r="G494" s="3">
        <v>46185</v>
      </c>
      <c r="H494" s="3">
        <v>46182</v>
      </c>
      <c r="I494" s="2">
        <v>558</v>
      </c>
      <c r="J494" s="2">
        <v>22</v>
      </c>
    </row>
    <row r="495" spans="1:10">
      <c r="A495" s="2" t="s">
        <v>880</v>
      </c>
      <c r="B495" s="2" t="s">
        <v>64</v>
      </c>
      <c r="C495" s="2" t="s">
        <v>12</v>
      </c>
      <c r="D495" s="2" t="s">
        <v>881</v>
      </c>
      <c r="E495" s="2">
        <v>557</v>
      </c>
      <c r="F495" s="3">
        <v>46082</v>
      </c>
      <c r="G495" s="3">
        <v>46090</v>
      </c>
      <c r="H495" s="3">
        <v>46089</v>
      </c>
      <c r="I495" s="2">
        <v>553</v>
      </c>
      <c r="J495" s="2">
        <v>27</v>
      </c>
    </row>
    <row r="496" spans="1:10">
      <c r="A496" s="2" t="s">
        <v>882</v>
      </c>
      <c r="B496" s="2" t="s">
        <v>54</v>
      </c>
      <c r="C496" s="2" t="s">
        <v>12</v>
      </c>
      <c r="D496" s="2" t="s">
        <v>461</v>
      </c>
      <c r="E496" s="2">
        <v>548</v>
      </c>
      <c r="F496" s="3">
        <v>46080</v>
      </c>
      <c r="G496" s="3">
        <v>46094</v>
      </c>
      <c r="H496" s="3">
        <v>46094</v>
      </c>
      <c r="I496" s="2">
        <v>557</v>
      </c>
      <c r="J496" s="2">
        <v>4</v>
      </c>
    </row>
    <row r="497" spans="1:10">
      <c r="A497" s="2" t="s">
        <v>883</v>
      </c>
      <c r="B497" s="2" t="s">
        <v>11</v>
      </c>
      <c r="C497" s="2" t="s">
        <v>23</v>
      </c>
      <c r="D497" s="2" t="s">
        <v>388</v>
      </c>
      <c r="E497" s="2">
        <v>414</v>
      </c>
      <c r="F497" s="3">
        <v>46130</v>
      </c>
      <c r="G497" s="3">
        <v>46138</v>
      </c>
      <c r="H497" s="3">
        <v>46147</v>
      </c>
      <c r="I497" s="2">
        <v>413</v>
      </c>
      <c r="J497" s="2">
        <v>9</v>
      </c>
    </row>
    <row r="498" spans="1:10">
      <c r="A498" s="2" t="s">
        <v>884</v>
      </c>
      <c r="B498" s="2" t="s">
        <v>67</v>
      </c>
      <c r="C498" s="2" t="s">
        <v>16</v>
      </c>
      <c r="D498" s="2" t="s">
        <v>301</v>
      </c>
      <c r="E498" s="2">
        <v>854</v>
      </c>
      <c r="F498" s="3">
        <v>46075</v>
      </c>
      <c r="G498" s="3">
        <v>46081</v>
      </c>
      <c r="H498" s="3">
        <v>46078</v>
      </c>
      <c r="I498" s="2">
        <v>745</v>
      </c>
      <c r="J498" s="2">
        <v>7</v>
      </c>
    </row>
    <row r="499" spans="1:10">
      <c r="A499" s="2" t="s">
        <v>885</v>
      </c>
      <c r="B499" s="2" t="s">
        <v>22</v>
      </c>
      <c r="C499" s="2" t="s">
        <v>12</v>
      </c>
      <c r="D499" s="2" t="s">
        <v>540</v>
      </c>
      <c r="E499" s="2">
        <v>904</v>
      </c>
      <c r="F499" s="3">
        <v>46073</v>
      </c>
      <c r="G499" s="3">
        <v>46088</v>
      </c>
      <c r="H499" s="3">
        <v>46085</v>
      </c>
      <c r="I499" s="2">
        <v>821</v>
      </c>
      <c r="J499" s="2">
        <v>37</v>
      </c>
    </row>
    <row r="500" spans="1:10">
      <c r="A500" s="2" t="s">
        <v>886</v>
      </c>
      <c r="B500" s="2" t="s">
        <v>46</v>
      </c>
      <c r="C500" s="2" t="s">
        <v>12</v>
      </c>
      <c r="D500" s="2" t="s">
        <v>887</v>
      </c>
      <c r="E500" s="2">
        <v>873</v>
      </c>
      <c r="F500" s="3">
        <v>46062</v>
      </c>
      <c r="G500" s="3">
        <v>46071</v>
      </c>
      <c r="H500" s="3">
        <v>46070</v>
      </c>
      <c r="I500" s="2">
        <v>858</v>
      </c>
      <c r="J500" s="2">
        <v>82</v>
      </c>
    </row>
    <row r="501" spans="1:10">
      <c r="A501" s="2" t="s">
        <v>888</v>
      </c>
      <c r="B501" s="2" t="s">
        <v>889</v>
      </c>
      <c r="C501" s="2" t="s">
        <v>23</v>
      </c>
      <c r="D501" s="2" t="s">
        <v>512</v>
      </c>
      <c r="E501" s="2">
        <v>984</v>
      </c>
      <c r="F501" s="3">
        <v>46035</v>
      </c>
      <c r="G501" s="3">
        <v>46046</v>
      </c>
      <c r="H501" s="3">
        <v>46049</v>
      </c>
      <c r="I501" s="2">
        <v>983</v>
      </c>
      <c r="J501" s="2">
        <v>8</v>
      </c>
    </row>
    <row r="502" spans="1:10">
      <c r="A502" s="2" t="s">
        <v>357</v>
      </c>
      <c r="B502" s="2" t="s">
        <v>81</v>
      </c>
      <c r="C502" s="2" t="s">
        <v>16</v>
      </c>
      <c r="D502" s="2" t="s">
        <v>17</v>
      </c>
      <c r="E502" s="2">
        <v>994</v>
      </c>
      <c r="F502" s="3">
        <v>46107</v>
      </c>
      <c r="G502" s="3">
        <v>46114</v>
      </c>
      <c r="H502" s="3">
        <v>46117</v>
      </c>
      <c r="I502" s="2">
        <v>936</v>
      </c>
      <c r="J502" s="2">
        <v>14</v>
      </c>
    </row>
    <row r="503" spans="1:10">
      <c r="A503" s="2" t="s">
        <v>890</v>
      </c>
      <c r="B503" s="2" t="s">
        <v>67</v>
      </c>
      <c r="C503" s="2" t="s">
        <v>12</v>
      </c>
      <c r="D503" s="2" t="s">
        <v>891</v>
      </c>
      <c r="E503" s="2">
        <v>698</v>
      </c>
      <c r="F503" s="3">
        <v>46161</v>
      </c>
      <c r="G503" s="3">
        <v>46170</v>
      </c>
      <c r="H503" s="3">
        <v>46167</v>
      </c>
      <c r="I503" s="2">
        <v>703</v>
      </c>
      <c r="J503" s="2">
        <v>10</v>
      </c>
    </row>
    <row r="504" spans="1:10">
      <c r="A504" s="2" t="s">
        <v>892</v>
      </c>
      <c r="B504" s="2" t="s">
        <v>35</v>
      </c>
      <c r="C504" s="2" t="s">
        <v>12</v>
      </c>
      <c r="D504" s="2" t="s">
        <v>98</v>
      </c>
      <c r="E504" s="2">
        <v>487</v>
      </c>
      <c r="F504" s="3">
        <v>46125</v>
      </c>
      <c r="G504" s="3">
        <v>46131</v>
      </c>
      <c r="H504" s="3">
        <v>46129</v>
      </c>
      <c r="I504" s="2">
        <v>442</v>
      </c>
      <c r="J504" s="2">
        <v>6</v>
      </c>
    </row>
    <row r="505" spans="1:10">
      <c r="A505" s="2" t="s">
        <v>893</v>
      </c>
      <c r="B505" s="2" t="s">
        <v>32</v>
      </c>
      <c r="C505" s="2" t="s">
        <v>23</v>
      </c>
      <c r="D505" s="2" t="s">
        <v>894</v>
      </c>
      <c r="E505" s="2">
        <v>793</v>
      </c>
      <c r="F505" s="3">
        <v>46159</v>
      </c>
      <c r="G505" s="3">
        <v>46164</v>
      </c>
      <c r="H505" s="3">
        <v>46162</v>
      </c>
      <c r="I505" s="2">
        <v>803</v>
      </c>
      <c r="J505" s="2">
        <v>42</v>
      </c>
    </row>
    <row r="506" spans="1:10">
      <c r="A506" s="2" t="s">
        <v>895</v>
      </c>
      <c r="B506" s="2" t="s">
        <v>642</v>
      </c>
      <c r="C506" s="2" t="s">
        <v>23</v>
      </c>
      <c r="D506" s="2" t="s">
        <v>739</v>
      </c>
      <c r="E506" s="2">
        <v>718</v>
      </c>
      <c r="F506" s="3">
        <v>46051</v>
      </c>
      <c r="G506" s="3">
        <v>46062</v>
      </c>
      <c r="H506" s="3">
        <v>46059</v>
      </c>
      <c r="I506" s="2">
        <v>706</v>
      </c>
      <c r="J506" s="2">
        <v>9</v>
      </c>
    </row>
    <row r="507" spans="1:10">
      <c r="A507" s="2" t="s">
        <v>896</v>
      </c>
      <c r="B507" s="2" t="s">
        <v>70</v>
      </c>
      <c r="C507" s="2" t="s">
        <v>12</v>
      </c>
      <c r="D507" s="2" t="s">
        <v>505</v>
      </c>
      <c r="E507" s="2">
        <v>194</v>
      </c>
      <c r="F507" s="3">
        <v>46120</v>
      </c>
      <c r="G507" s="3">
        <v>46129</v>
      </c>
      <c r="H507" s="3">
        <v>46128</v>
      </c>
      <c r="I507" s="2">
        <v>192</v>
      </c>
      <c r="J507" s="2">
        <v>4</v>
      </c>
    </row>
    <row r="508" spans="1:10">
      <c r="A508" s="2" t="s">
        <v>897</v>
      </c>
      <c r="B508" s="2" t="s">
        <v>54</v>
      </c>
      <c r="C508" s="2" t="s">
        <v>23</v>
      </c>
      <c r="D508" s="2" t="s">
        <v>898</v>
      </c>
      <c r="E508" s="2">
        <v>240</v>
      </c>
      <c r="F508" s="3">
        <v>46089</v>
      </c>
      <c r="G508" s="3">
        <v>46102</v>
      </c>
      <c r="H508" s="3">
        <v>46102</v>
      </c>
      <c r="I508" s="2">
        <v>236</v>
      </c>
      <c r="J508" s="2">
        <v>2</v>
      </c>
    </row>
    <row r="509" spans="1:10">
      <c r="A509" s="2" t="s">
        <v>899</v>
      </c>
      <c r="B509" s="2" t="s">
        <v>177</v>
      </c>
      <c r="C509" s="2" t="s">
        <v>900</v>
      </c>
      <c r="D509" s="2" t="s">
        <v>901</v>
      </c>
      <c r="E509" s="2">
        <v>601</v>
      </c>
      <c r="F509" s="3">
        <v>46137</v>
      </c>
      <c r="G509" s="3">
        <v>46147</v>
      </c>
      <c r="H509" s="3">
        <v>46146</v>
      </c>
      <c r="I509" s="2">
        <v>595</v>
      </c>
      <c r="J509" s="2">
        <v>1</v>
      </c>
    </row>
    <row r="510" spans="1:10">
      <c r="A510" s="2" t="s">
        <v>902</v>
      </c>
      <c r="B510" s="2" t="s">
        <v>67</v>
      </c>
      <c r="C510" s="2" t="s">
        <v>16</v>
      </c>
      <c r="D510" s="2" t="s">
        <v>255</v>
      </c>
      <c r="E510" s="2">
        <v>792</v>
      </c>
      <c r="F510" s="3">
        <v>46114</v>
      </c>
      <c r="G510" s="3">
        <v>46126</v>
      </c>
      <c r="H510" s="3">
        <v>46127</v>
      </c>
      <c r="I510" s="2">
        <v>789</v>
      </c>
      <c r="J510" s="2">
        <v>9</v>
      </c>
    </row>
    <row r="511" spans="1:10">
      <c r="A511" s="2" t="s">
        <v>903</v>
      </c>
      <c r="B511" s="2" t="s">
        <v>781</v>
      </c>
      <c r="C511" s="2" t="s">
        <v>16</v>
      </c>
      <c r="D511" s="2" t="s">
        <v>904</v>
      </c>
      <c r="E511" s="2">
        <v>875</v>
      </c>
      <c r="F511" s="3">
        <v>46168</v>
      </c>
      <c r="G511" s="3">
        <v>46183</v>
      </c>
      <c r="H511" s="3">
        <v>46186</v>
      </c>
      <c r="I511" s="2">
        <v>885</v>
      </c>
      <c r="J511" s="2">
        <v>70</v>
      </c>
    </row>
    <row r="512" spans="1:10">
      <c r="A512" s="2" t="s">
        <v>905</v>
      </c>
      <c r="B512" s="2" t="s">
        <v>289</v>
      </c>
      <c r="C512" s="2" t="s">
        <v>16</v>
      </c>
      <c r="D512" s="2" t="s">
        <v>906</v>
      </c>
      <c r="E512" s="2">
        <v>337</v>
      </c>
      <c r="F512" s="3">
        <v>46103</v>
      </c>
      <c r="G512" s="3">
        <v>46112</v>
      </c>
      <c r="H512" s="3">
        <v>46119</v>
      </c>
      <c r="I512" s="2">
        <v>338</v>
      </c>
      <c r="J512" s="2">
        <v>1</v>
      </c>
    </row>
    <row r="513" spans="1:10">
      <c r="A513" s="2" t="s">
        <v>907</v>
      </c>
      <c r="B513" s="2" t="s">
        <v>29</v>
      </c>
      <c r="C513" s="2" t="s">
        <v>16</v>
      </c>
      <c r="D513" s="2" t="s">
        <v>162</v>
      </c>
      <c r="E513" s="2">
        <v>552</v>
      </c>
      <c r="F513" s="3">
        <v>46078</v>
      </c>
      <c r="G513" s="3">
        <v>46089</v>
      </c>
      <c r="H513" s="3">
        <v>46089</v>
      </c>
      <c r="I513" s="2">
        <v>559</v>
      </c>
      <c r="J513" s="2">
        <v>3</v>
      </c>
    </row>
    <row r="514" spans="1:10">
      <c r="A514" s="2" t="s">
        <v>908</v>
      </c>
      <c r="B514" s="2" t="s">
        <v>32</v>
      </c>
      <c r="C514" s="2" t="s">
        <v>16</v>
      </c>
      <c r="D514" s="2" t="s">
        <v>792</v>
      </c>
      <c r="E514" s="2">
        <v>980</v>
      </c>
      <c r="F514" s="3">
        <v>46079</v>
      </c>
      <c r="G514" s="3">
        <v>46094</v>
      </c>
      <c r="H514" s="3">
        <v>46091</v>
      </c>
      <c r="I514" s="2">
        <v>977</v>
      </c>
      <c r="J514" s="2">
        <v>65</v>
      </c>
    </row>
    <row r="515" spans="1:10">
      <c r="A515" s="2" t="s">
        <v>909</v>
      </c>
      <c r="B515" s="2" t="s">
        <v>614</v>
      </c>
      <c r="C515" s="2" t="s">
        <v>12</v>
      </c>
      <c r="D515" s="2" t="s">
        <v>407</v>
      </c>
      <c r="E515" s="2">
        <v>488</v>
      </c>
      <c r="F515" s="3">
        <v>46170</v>
      </c>
      <c r="G515" s="3">
        <v>46180</v>
      </c>
      <c r="H515" s="3">
        <v>46179</v>
      </c>
      <c r="I515" s="2">
        <v>481</v>
      </c>
      <c r="J515" s="2">
        <v>20</v>
      </c>
    </row>
    <row r="516" spans="1:10">
      <c r="A516" s="2" t="s">
        <v>910</v>
      </c>
      <c r="B516" s="2" t="s">
        <v>32</v>
      </c>
      <c r="C516" s="2" t="s">
        <v>23</v>
      </c>
      <c r="D516" s="2" t="s">
        <v>911</v>
      </c>
      <c r="E516" s="2">
        <v>764</v>
      </c>
      <c r="F516" s="3">
        <v>46042</v>
      </c>
      <c r="G516" s="3">
        <v>46051</v>
      </c>
      <c r="H516" s="3">
        <v>46058</v>
      </c>
      <c r="I516" s="2">
        <v>759</v>
      </c>
      <c r="J516" s="2">
        <v>32</v>
      </c>
    </row>
    <row r="517" spans="1:10">
      <c r="A517" s="2" t="s">
        <v>912</v>
      </c>
      <c r="B517" s="2" t="s">
        <v>81</v>
      </c>
      <c r="C517" s="2" t="s">
        <v>16</v>
      </c>
      <c r="D517" s="2" t="s">
        <v>401</v>
      </c>
      <c r="E517" s="2">
        <v>858</v>
      </c>
      <c r="F517" s="3">
        <v>46067</v>
      </c>
      <c r="G517" s="3">
        <v>46077</v>
      </c>
      <c r="H517" s="3">
        <v>46075</v>
      </c>
      <c r="I517" s="2">
        <v>711</v>
      </c>
      <c r="J517" s="2">
        <v>2</v>
      </c>
    </row>
    <row r="518" spans="1:10">
      <c r="A518" s="2" t="s">
        <v>913</v>
      </c>
      <c r="B518" s="2" t="s">
        <v>19</v>
      </c>
      <c r="C518" s="2" t="s">
        <v>16</v>
      </c>
      <c r="D518" s="2" t="s">
        <v>571</v>
      </c>
      <c r="E518" s="2">
        <v>565</v>
      </c>
      <c r="F518" s="3">
        <v>46047</v>
      </c>
      <c r="G518" s="3">
        <v>46059</v>
      </c>
      <c r="H518" s="3">
        <v>46058</v>
      </c>
      <c r="I518" s="2">
        <v>564</v>
      </c>
      <c r="J518" s="2">
        <v>10</v>
      </c>
    </row>
    <row r="519" spans="1:10">
      <c r="A519" s="2" t="s">
        <v>914</v>
      </c>
      <c r="B519" s="2" t="s">
        <v>64</v>
      </c>
      <c r="C519" s="2" t="s">
        <v>23</v>
      </c>
      <c r="D519" s="2" t="s">
        <v>824</v>
      </c>
      <c r="E519" s="2">
        <v>771</v>
      </c>
      <c r="F519" s="3">
        <v>46143</v>
      </c>
      <c r="G519" s="3">
        <v>46149</v>
      </c>
      <c r="H519" s="3">
        <v>46155</v>
      </c>
      <c r="I519" s="2">
        <v>642</v>
      </c>
      <c r="J519" s="2">
        <v>24</v>
      </c>
    </row>
    <row r="520" spans="1:10">
      <c r="A520" s="2" t="s">
        <v>334</v>
      </c>
      <c r="B520" s="2" t="s">
        <v>177</v>
      </c>
      <c r="C520" s="2" t="s">
        <v>23</v>
      </c>
      <c r="D520" s="2" t="s">
        <v>219</v>
      </c>
      <c r="E520" s="2">
        <v>999</v>
      </c>
      <c r="F520" s="3">
        <v>46060</v>
      </c>
      <c r="G520" s="3">
        <v>46065</v>
      </c>
      <c r="H520" s="3">
        <v>46063</v>
      </c>
      <c r="I520" s="2">
        <v>1005</v>
      </c>
      <c r="J520" s="2">
        <v>22</v>
      </c>
    </row>
    <row r="521" spans="1:10">
      <c r="A521" s="2" t="s">
        <v>915</v>
      </c>
      <c r="B521" s="2" t="s">
        <v>378</v>
      </c>
      <c r="C521" s="2" t="s">
        <v>12</v>
      </c>
      <c r="D521" s="2" t="s">
        <v>407</v>
      </c>
      <c r="E521" s="2">
        <v>122</v>
      </c>
      <c r="F521" s="3">
        <v>46118</v>
      </c>
      <c r="G521" s="3">
        <v>46123</v>
      </c>
      <c r="H521" s="3">
        <v>46121</v>
      </c>
      <c r="I521" s="2">
        <v>121</v>
      </c>
      <c r="J521" s="2">
        <v>2</v>
      </c>
    </row>
    <row r="522" spans="1:10">
      <c r="A522" s="2" t="s">
        <v>916</v>
      </c>
      <c r="B522" s="2" t="s">
        <v>642</v>
      </c>
      <c r="C522" s="2" t="s">
        <v>12</v>
      </c>
      <c r="D522" s="2" t="s">
        <v>547</v>
      </c>
      <c r="E522" s="2">
        <v>132</v>
      </c>
      <c r="F522" s="3">
        <v>46173</v>
      </c>
      <c r="G522" s="3">
        <v>46179</v>
      </c>
      <c r="H522" s="3">
        <v>46179</v>
      </c>
      <c r="I522" s="2">
        <v>132</v>
      </c>
      <c r="J522" s="2">
        <v>0</v>
      </c>
    </row>
    <row r="523" spans="1:10">
      <c r="A523" s="2" t="s">
        <v>917</v>
      </c>
      <c r="B523" s="2" t="s">
        <v>43</v>
      </c>
      <c r="C523" s="2" t="s">
        <v>12</v>
      </c>
      <c r="D523" s="2" t="s">
        <v>918</v>
      </c>
      <c r="E523" s="2">
        <v>693</v>
      </c>
      <c r="F523" s="3">
        <v>46041</v>
      </c>
      <c r="G523" s="3">
        <v>46052</v>
      </c>
      <c r="H523" s="3">
        <v>46050</v>
      </c>
      <c r="I523" s="2">
        <v>697</v>
      </c>
      <c r="J523" s="2">
        <v>2</v>
      </c>
    </row>
    <row r="524" spans="1:10">
      <c r="A524" s="2" t="s">
        <v>919</v>
      </c>
      <c r="B524" s="2" t="s">
        <v>40</v>
      </c>
      <c r="C524" s="2" t="s">
        <v>16</v>
      </c>
      <c r="D524" s="2" t="s">
        <v>623</v>
      </c>
      <c r="E524" s="2">
        <v>975</v>
      </c>
      <c r="F524" s="3">
        <v>46028</v>
      </c>
      <c r="G524" s="3">
        <v>46033</v>
      </c>
      <c r="H524" s="3">
        <v>46033</v>
      </c>
      <c r="I524" s="2">
        <v>971</v>
      </c>
      <c r="J524" s="2">
        <v>61</v>
      </c>
    </row>
    <row r="525" spans="1:10">
      <c r="A525" s="2" t="s">
        <v>920</v>
      </c>
      <c r="B525" s="2" t="s">
        <v>120</v>
      </c>
      <c r="C525" s="2" t="s">
        <v>16</v>
      </c>
      <c r="D525" s="2" t="s">
        <v>815</v>
      </c>
      <c r="E525" s="2">
        <v>400</v>
      </c>
      <c r="F525" s="3">
        <v>46102</v>
      </c>
      <c r="G525" s="3">
        <v>46110</v>
      </c>
      <c r="H525" s="3">
        <v>46107</v>
      </c>
      <c r="I525" s="2">
        <v>396</v>
      </c>
      <c r="J525" s="2">
        <v>0</v>
      </c>
    </row>
    <row r="526" spans="1:10">
      <c r="A526" s="2" t="s">
        <v>921</v>
      </c>
      <c r="B526" s="2" t="s">
        <v>29</v>
      </c>
      <c r="C526" s="2" t="s">
        <v>12</v>
      </c>
      <c r="D526" s="2" t="s">
        <v>105</v>
      </c>
      <c r="E526" s="2">
        <v>884</v>
      </c>
      <c r="F526" s="3">
        <v>46043</v>
      </c>
      <c r="G526" s="3">
        <v>46049</v>
      </c>
      <c r="H526" s="3">
        <v>46050</v>
      </c>
      <c r="I526" s="2">
        <v>893</v>
      </c>
      <c r="J526" s="2">
        <v>7</v>
      </c>
    </row>
    <row r="527" spans="1:10">
      <c r="A527" s="2" t="s">
        <v>922</v>
      </c>
      <c r="B527" s="2" t="s">
        <v>11</v>
      </c>
      <c r="C527" s="2" t="s">
        <v>16</v>
      </c>
      <c r="D527" s="2" t="s">
        <v>923</v>
      </c>
      <c r="E527" s="2">
        <v>758</v>
      </c>
      <c r="F527" s="3">
        <v>46041</v>
      </c>
      <c r="G527" s="3">
        <v>46052</v>
      </c>
      <c r="H527" s="3">
        <v>46052</v>
      </c>
      <c r="I527" s="2">
        <v>754</v>
      </c>
      <c r="J527" s="2">
        <v>6</v>
      </c>
    </row>
    <row r="528" spans="1:10">
      <c r="A528" s="2" t="s">
        <v>924</v>
      </c>
      <c r="B528" s="2" t="s">
        <v>32</v>
      </c>
      <c r="C528" s="2" t="s">
        <v>12</v>
      </c>
      <c r="D528" s="2" t="s">
        <v>77</v>
      </c>
      <c r="E528" s="2">
        <v>85</v>
      </c>
      <c r="F528" s="3">
        <v>46151</v>
      </c>
      <c r="G528" s="3">
        <v>46158</v>
      </c>
      <c r="H528" s="3">
        <v>46156</v>
      </c>
      <c r="I528" s="2">
        <v>84</v>
      </c>
      <c r="J528" s="2">
        <v>4</v>
      </c>
    </row>
    <row r="529" spans="1:10">
      <c r="A529" s="2" t="s">
        <v>925</v>
      </c>
      <c r="B529" s="2" t="s">
        <v>177</v>
      </c>
      <c r="C529" s="2" t="s">
        <v>12</v>
      </c>
      <c r="D529" s="2" t="s">
        <v>753</v>
      </c>
      <c r="E529" s="2">
        <v>624</v>
      </c>
      <c r="F529" s="3">
        <v>46094</v>
      </c>
      <c r="G529" s="3">
        <v>46103</v>
      </c>
      <c r="H529" s="3">
        <v>46112</v>
      </c>
      <c r="I529" s="2">
        <v>635</v>
      </c>
      <c r="J529" s="2">
        <v>7</v>
      </c>
    </row>
    <row r="530" spans="1:10">
      <c r="A530" s="2" t="s">
        <v>926</v>
      </c>
      <c r="B530" s="2" t="s">
        <v>64</v>
      </c>
      <c r="C530" s="2" t="s">
        <v>12</v>
      </c>
      <c r="D530" s="2" t="s">
        <v>547</v>
      </c>
      <c r="E530" s="2">
        <v>806</v>
      </c>
      <c r="F530" s="3">
        <v>46070</v>
      </c>
      <c r="G530" s="3">
        <v>46077</v>
      </c>
      <c r="H530" s="3">
        <v>46075</v>
      </c>
      <c r="I530" s="2">
        <v>751</v>
      </c>
      <c r="J530" s="2">
        <v>35</v>
      </c>
    </row>
    <row r="531" spans="1:10">
      <c r="A531" s="2" t="s">
        <v>927</v>
      </c>
      <c r="B531" s="2" t="s">
        <v>52</v>
      </c>
      <c r="C531" s="2" t="s">
        <v>12</v>
      </c>
      <c r="D531" s="2" t="s">
        <v>156</v>
      </c>
      <c r="E531" s="2">
        <v>251</v>
      </c>
      <c r="F531" s="3">
        <v>46039</v>
      </c>
      <c r="G531" s="3">
        <v>46054</v>
      </c>
      <c r="H531" s="3">
        <v>46062</v>
      </c>
      <c r="I531" s="2">
        <v>248</v>
      </c>
      <c r="J531" s="2">
        <v>1</v>
      </c>
    </row>
    <row r="532" spans="1:10">
      <c r="A532" s="2" t="s">
        <v>928</v>
      </c>
      <c r="B532" s="2" t="s">
        <v>929</v>
      </c>
      <c r="C532" s="2" t="s">
        <v>12</v>
      </c>
      <c r="D532" s="2" t="s">
        <v>385</v>
      </c>
      <c r="E532" s="2">
        <v>189</v>
      </c>
      <c r="F532" s="3">
        <v>46130</v>
      </c>
      <c r="G532" s="3">
        <v>46145</v>
      </c>
      <c r="H532" s="3">
        <v>46142</v>
      </c>
      <c r="I532" s="2">
        <v>186</v>
      </c>
      <c r="J532" s="2">
        <v>2</v>
      </c>
    </row>
    <row r="533" spans="1:10">
      <c r="A533" s="2" t="s">
        <v>930</v>
      </c>
      <c r="B533" s="2" t="s">
        <v>40</v>
      </c>
      <c r="C533" s="2" t="s">
        <v>12</v>
      </c>
      <c r="D533" s="2" t="s">
        <v>931</v>
      </c>
      <c r="E533" s="2">
        <v>722</v>
      </c>
      <c r="F533" s="3">
        <v>46081</v>
      </c>
      <c r="G533" s="3">
        <v>46092</v>
      </c>
      <c r="H533" s="3">
        <v>46095</v>
      </c>
      <c r="I533" s="2">
        <v>719</v>
      </c>
      <c r="J533" s="2">
        <v>2</v>
      </c>
    </row>
    <row r="534" spans="1:10">
      <c r="A534" s="2" t="s">
        <v>932</v>
      </c>
      <c r="B534" s="2" t="s">
        <v>43</v>
      </c>
      <c r="C534" s="2" t="s">
        <v>12</v>
      </c>
      <c r="D534" s="2" t="s">
        <v>421</v>
      </c>
      <c r="E534" s="2">
        <v>775</v>
      </c>
      <c r="F534" s="3">
        <v>46071</v>
      </c>
      <c r="G534" s="3">
        <v>46079</v>
      </c>
      <c r="H534" s="3">
        <v>46081</v>
      </c>
      <c r="I534" s="2">
        <v>764</v>
      </c>
      <c r="J534" s="2">
        <v>29</v>
      </c>
    </row>
    <row r="535" spans="1:10">
      <c r="A535" s="2" t="s">
        <v>694</v>
      </c>
      <c r="B535" s="2" t="s">
        <v>49</v>
      </c>
      <c r="C535" s="2" t="s">
        <v>16</v>
      </c>
      <c r="D535" s="2" t="s">
        <v>695</v>
      </c>
      <c r="E535" s="2">
        <v>758</v>
      </c>
      <c r="F535" s="3">
        <v>46171</v>
      </c>
      <c r="G535" s="3">
        <v>46177</v>
      </c>
      <c r="H535" s="3">
        <v>46175</v>
      </c>
      <c r="I535" s="2">
        <v>769</v>
      </c>
      <c r="J535" s="2">
        <v>12</v>
      </c>
    </row>
    <row r="536" spans="1:10">
      <c r="A536" s="2" t="s">
        <v>933</v>
      </c>
      <c r="B536" s="2" t="s">
        <v>26</v>
      </c>
      <c r="C536" s="2" t="s">
        <v>16</v>
      </c>
      <c r="D536" s="2" t="s">
        <v>934</v>
      </c>
      <c r="E536" s="2">
        <v>752</v>
      </c>
      <c r="F536" s="3">
        <v>46118</v>
      </c>
      <c r="G536" s="3">
        <v>46126</v>
      </c>
      <c r="H536" s="2"/>
      <c r="I536" s="2"/>
      <c r="J536" s="2"/>
    </row>
    <row r="537" spans="1:10">
      <c r="A537" s="2" t="s">
        <v>935</v>
      </c>
      <c r="B537" s="2" t="s">
        <v>81</v>
      </c>
      <c r="C537" s="2" t="s">
        <v>12</v>
      </c>
      <c r="D537" s="2" t="s">
        <v>936</v>
      </c>
      <c r="E537" s="2">
        <v>753</v>
      </c>
      <c r="F537" s="3">
        <v>46141</v>
      </c>
      <c r="G537" s="3">
        <v>46149</v>
      </c>
      <c r="H537" s="3">
        <v>46149</v>
      </c>
      <c r="I537" s="2">
        <v>624</v>
      </c>
      <c r="J537" s="2">
        <v>3</v>
      </c>
    </row>
    <row r="538" spans="1:10">
      <c r="A538" s="2" t="s">
        <v>937</v>
      </c>
      <c r="B538" s="2" t="s">
        <v>32</v>
      </c>
      <c r="C538" s="2" t="s">
        <v>12</v>
      </c>
      <c r="D538" s="2" t="s">
        <v>938</v>
      </c>
      <c r="E538" s="2">
        <v>824</v>
      </c>
      <c r="F538" s="3">
        <v>46147</v>
      </c>
      <c r="G538" s="3">
        <v>46155</v>
      </c>
      <c r="H538" s="3">
        <v>46153</v>
      </c>
      <c r="I538" s="2">
        <v>821</v>
      </c>
      <c r="J538" s="2">
        <v>14</v>
      </c>
    </row>
    <row r="539" spans="1:10">
      <c r="A539" s="2" t="s">
        <v>939</v>
      </c>
      <c r="B539" s="2" t="s">
        <v>22</v>
      </c>
      <c r="C539" s="2" t="s">
        <v>16</v>
      </c>
      <c r="D539" s="2" t="s">
        <v>716</v>
      </c>
      <c r="E539" s="2">
        <v>761</v>
      </c>
      <c r="F539" s="3">
        <v>46160</v>
      </c>
      <c r="G539" s="3">
        <v>46172</v>
      </c>
      <c r="H539" s="3">
        <v>46176</v>
      </c>
      <c r="I539" s="2">
        <v>750</v>
      </c>
      <c r="J539" s="2">
        <v>56</v>
      </c>
    </row>
    <row r="540" spans="1:10">
      <c r="A540" s="2" t="s">
        <v>940</v>
      </c>
      <c r="B540" s="2" t="s">
        <v>81</v>
      </c>
      <c r="C540" s="2" t="s">
        <v>12</v>
      </c>
      <c r="D540" s="2" t="s">
        <v>941</v>
      </c>
      <c r="E540" s="2">
        <v>168</v>
      </c>
      <c r="F540" s="3">
        <v>46069</v>
      </c>
      <c r="G540" s="3">
        <v>46083</v>
      </c>
      <c r="H540" s="3">
        <v>46087</v>
      </c>
      <c r="I540" s="2">
        <v>167</v>
      </c>
      <c r="J540" s="2">
        <v>2</v>
      </c>
    </row>
    <row r="541" spans="1:10">
      <c r="A541" s="2" t="s">
        <v>942</v>
      </c>
      <c r="B541" s="2" t="s">
        <v>46</v>
      </c>
      <c r="C541" s="2" t="s">
        <v>16</v>
      </c>
      <c r="D541" s="2" t="s">
        <v>320</v>
      </c>
      <c r="E541" s="2">
        <v>494</v>
      </c>
      <c r="F541" s="3">
        <v>46052</v>
      </c>
      <c r="G541" s="3">
        <v>46061</v>
      </c>
      <c r="H541" s="3">
        <v>46059</v>
      </c>
      <c r="I541" s="2">
        <v>493</v>
      </c>
      <c r="J541" s="2">
        <v>20</v>
      </c>
    </row>
    <row r="542" spans="1:10">
      <c r="A542" s="2" t="s">
        <v>943</v>
      </c>
      <c r="B542" s="2" t="s">
        <v>22</v>
      </c>
      <c r="C542" s="2" t="s">
        <v>16</v>
      </c>
      <c r="D542" s="2" t="s">
        <v>944</v>
      </c>
      <c r="E542" s="2">
        <v>633</v>
      </c>
      <c r="F542" s="3">
        <v>46068</v>
      </c>
      <c r="G542" s="3">
        <v>46077</v>
      </c>
      <c r="H542" s="3">
        <v>46074</v>
      </c>
      <c r="I542" s="2">
        <v>577</v>
      </c>
      <c r="J542" s="2">
        <v>49</v>
      </c>
    </row>
    <row r="543" spans="1:10">
      <c r="A543" s="2" t="s">
        <v>945</v>
      </c>
      <c r="B543" s="2" t="s">
        <v>946</v>
      </c>
      <c r="C543" s="2" t="s">
        <v>16</v>
      </c>
      <c r="D543" s="2" t="s">
        <v>906</v>
      </c>
      <c r="E543" s="2">
        <v>193</v>
      </c>
      <c r="F543" s="3">
        <v>46094</v>
      </c>
      <c r="G543" s="3">
        <v>46099</v>
      </c>
      <c r="H543" s="3">
        <v>46097</v>
      </c>
      <c r="I543" s="2">
        <v>190</v>
      </c>
      <c r="J543" s="2">
        <v>4</v>
      </c>
    </row>
    <row r="544" spans="1:10">
      <c r="A544" s="2" t="s">
        <v>947</v>
      </c>
      <c r="B544" s="2" t="s">
        <v>29</v>
      </c>
      <c r="C544" s="2" t="s">
        <v>23</v>
      </c>
      <c r="D544" s="2" t="s">
        <v>948</v>
      </c>
      <c r="E544" s="2">
        <v>302</v>
      </c>
      <c r="F544" s="3">
        <v>46060</v>
      </c>
      <c r="G544" s="3">
        <v>46068</v>
      </c>
      <c r="H544" s="3">
        <v>46071</v>
      </c>
      <c r="I544" s="2">
        <v>306</v>
      </c>
      <c r="J544" s="2">
        <v>3</v>
      </c>
    </row>
    <row r="545" spans="1:10">
      <c r="A545" s="2" t="s">
        <v>425</v>
      </c>
      <c r="B545" s="2" t="s">
        <v>573</v>
      </c>
      <c r="C545" s="2" t="s">
        <v>16</v>
      </c>
      <c r="D545" s="2" t="s">
        <v>426</v>
      </c>
      <c r="E545" s="2">
        <v>994</v>
      </c>
      <c r="F545" s="3">
        <v>46082</v>
      </c>
      <c r="G545" s="3">
        <v>46093</v>
      </c>
      <c r="H545" s="3">
        <v>46091</v>
      </c>
      <c r="I545" s="2">
        <v>982</v>
      </c>
      <c r="J545" s="2">
        <v>27</v>
      </c>
    </row>
    <row r="546" spans="1:10">
      <c r="A546" s="2" t="s">
        <v>949</v>
      </c>
      <c r="B546" s="2" t="s">
        <v>11</v>
      </c>
      <c r="C546" s="2" t="s">
        <v>12</v>
      </c>
      <c r="D546" s="2" t="s">
        <v>647</v>
      </c>
      <c r="E546" s="2">
        <v>738</v>
      </c>
      <c r="F546" s="3">
        <v>46073</v>
      </c>
      <c r="G546" s="3">
        <v>46086</v>
      </c>
      <c r="H546" s="3">
        <v>46083</v>
      </c>
      <c r="I546" s="2">
        <v>751</v>
      </c>
      <c r="J546" s="2">
        <v>14</v>
      </c>
    </row>
    <row r="547" spans="1:10">
      <c r="A547" s="2" t="s">
        <v>950</v>
      </c>
      <c r="B547" s="2" t="s">
        <v>32</v>
      </c>
      <c r="C547" s="2" t="s">
        <v>16</v>
      </c>
      <c r="D547" s="2" t="s">
        <v>951</v>
      </c>
      <c r="E547" s="2">
        <v>217</v>
      </c>
      <c r="F547" s="3">
        <v>46087</v>
      </c>
      <c r="G547" s="3">
        <v>46095</v>
      </c>
      <c r="H547" s="3">
        <v>46093</v>
      </c>
      <c r="I547" s="2">
        <v>220</v>
      </c>
      <c r="J547" s="2">
        <v>9</v>
      </c>
    </row>
    <row r="548" spans="1:10">
      <c r="A548" s="2" t="s">
        <v>952</v>
      </c>
      <c r="B548" s="2" t="s">
        <v>100</v>
      </c>
      <c r="C548" s="2" t="s">
        <v>16</v>
      </c>
      <c r="D548" s="2" t="s">
        <v>209</v>
      </c>
      <c r="E548" s="2">
        <v>863</v>
      </c>
      <c r="F548" s="3">
        <v>46058</v>
      </c>
      <c r="G548" s="3">
        <v>46063</v>
      </c>
      <c r="H548" s="3">
        <v>46063</v>
      </c>
      <c r="I548" s="2">
        <v>847</v>
      </c>
      <c r="J548" s="2">
        <v>10</v>
      </c>
    </row>
    <row r="549" spans="1:10">
      <c r="A549" s="2" t="s">
        <v>953</v>
      </c>
      <c r="B549" s="2" t="s">
        <v>49</v>
      </c>
      <c r="C549" s="2" t="s">
        <v>12</v>
      </c>
      <c r="D549" s="2" t="s">
        <v>461</v>
      </c>
      <c r="E549" s="2">
        <v>896</v>
      </c>
      <c r="F549" s="3">
        <v>46114</v>
      </c>
      <c r="G549" s="3">
        <v>46123</v>
      </c>
      <c r="H549" s="3">
        <v>46123</v>
      </c>
      <c r="I549" s="2">
        <v>910</v>
      </c>
      <c r="J549" s="2">
        <v>8</v>
      </c>
    </row>
    <row r="550" spans="1:10">
      <c r="A550" s="2" t="s">
        <v>954</v>
      </c>
      <c r="B550" s="2" t="s">
        <v>46</v>
      </c>
      <c r="C550" s="2" t="s">
        <v>12</v>
      </c>
      <c r="D550" s="2" t="s">
        <v>731</v>
      </c>
      <c r="E550" s="2">
        <v>132</v>
      </c>
      <c r="F550" s="3">
        <v>46060</v>
      </c>
      <c r="G550" s="3">
        <v>46070</v>
      </c>
      <c r="H550" s="3">
        <v>46068</v>
      </c>
      <c r="I550" s="2">
        <v>131</v>
      </c>
      <c r="J550" s="2">
        <v>1</v>
      </c>
    </row>
    <row r="551" spans="1:10">
      <c r="A551" s="2" t="s">
        <v>955</v>
      </c>
      <c r="B551" s="2" t="s">
        <v>177</v>
      </c>
      <c r="C551" s="2" t="s">
        <v>23</v>
      </c>
      <c r="D551" s="2" t="s">
        <v>956</v>
      </c>
      <c r="E551" s="2">
        <v>89</v>
      </c>
      <c r="F551" s="3">
        <v>46108</v>
      </c>
      <c r="G551" s="3">
        <v>46115</v>
      </c>
      <c r="H551" s="3">
        <v>46114</v>
      </c>
      <c r="I551" s="2">
        <v>90</v>
      </c>
      <c r="J551" s="2">
        <v>2</v>
      </c>
    </row>
    <row r="552" spans="1:10">
      <c r="A552" s="2" t="s">
        <v>957</v>
      </c>
      <c r="B552" s="2" t="s">
        <v>436</v>
      </c>
      <c r="C552" s="2" t="s">
        <v>12</v>
      </c>
      <c r="D552" s="2" t="s">
        <v>958</v>
      </c>
      <c r="E552" s="2">
        <v>308</v>
      </c>
      <c r="F552" s="3">
        <v>46092</v>
      </c>
      <c r="G552" s="3">
        <v>46099</v>
      </c>
      <c r="H552" s="3">
        <v>46100</v>
      </c>
      <c r="I552" s="2">
        <v>303</v>
      </c>
      <c r="J552" s="2">
        <v>29</v>
      </c>
    </row>
    <row r="553" spans="1:10">
      <c r="A553" s="2" t="s">
        <v>959</v>
      </c>
      <c r="B553" s="2" t="s">
        <v>22</v>
      </c>
      <c r="C553" s="2" t="s">
        <v>23</v>
      </c>
      <c r="D553" s="2" t="s">
        <v>960</v>
      </c>
      <c r="E553" s="2">
        <v>838</v>
      </c>
      <c r="F553" s="3">
        <v>46091</v>
      </c>
      <c r="G553" s="3">
        <v>46104</v>
      </c>
      <c r="H553" s="3">
        <v>46111</v>
      </c>
      <c r="I553" s="2">
        <v>822</v>
      </c>
      <c r="J553" s="2">
        <v>8</v>
      </c>
    </row>
    <row r="554" spans="1:10">
      <c r="A554" s="2" t="s">
        <v>961</v>
      </c>
      <c r="B554" s="2" t="s">
        <v>64</v>
      </c>
      <c r="C554" s="2" t="s">
        <v>16</v>
      </c>
      <c r="D554" s="2" t="s">
        <v>490</v>
      </c>
      <c r="E554" s="2">
        <v>728</v>
      </c>
      <c r="F554" s="3">
        <v>46083</v>
      </c>
      <c r="G554" s="3">
        <v>46091</v>
      </c>
      <c r="H554" s="3">
        <v>46088</v>
      </c>
      <c r="I554" s="2">
        <v>735</v>
      </c>
      <c r="J554" s="2">
        <v>13</v>
      </c>
    </row>
    <row r="555" spans="1:10">
      <c r="A555" s="2" t="s">
        <v>962</v>
      </c>
      <c r="B555" s="2" t="s">
        <v>52</v>
      </c>
      <c r="C555" s="2" t="s">
        <v>12</v>
      </c>
      <c r="D555" s="2" t="s">
        <v>963</v>
      </c>
      <c r="E555" s="2">
        <v>436</v>
      </c>
      <c r="F555" s="3">
        <v>46080</v>
      </c>
      <c r="G555" s="3">
        <v>46090</v>
      </c>
      <c r="H555" s="3">
        <v>46090</v>
      </c>
      <c r="I555" s="2">
        <v>371</v>
      </c>
      <c r="J555" s="2">
        <v>3</v>
      </c>
    </row>
    <row r="556" spans="1:10">
      <c r="A556" s="2" t="s">
        <v>964</v>
      </c>
      <c r="B556" s="2" t="s">
        <v>965</v>
      </c>
      <c r="C556" s="2" t="s">
        <v>12</v>
      </c>
      <c r="D556" s="2" t="s">
        <v>101</v>
      </c>
      <c r="E556" s="2">
        <v>316</v>
      </c>
      <c r="F556" s="3">
        <v>46083</v>
      </c>
      <c r="G556" s="3">
        <v>46095</v>
      </c>
      <c r="H556" s="3">
        <v>46096</v>
      </c>
      <c r="I556" s="2">
        <v>311</v>
      </c>
      <c r="J556" s="2">
        <v>8</v>
      </c>
    </row>
    <row r="557" spans="1:10">
      <c r="A557" s="2" t="s">
        <v>966</v>
      </c>
      <c r="B557" s="2" t="s">
        <v>40</v>
      </c>
      <c r="C557" s="2" t="s">
        <v>16</v>
      </c>
      <c r="D557" s="2" t="s">
        <v>906</v>
      </c>
      <c r="E557" s="2">
        <v>894</v>
      </c>
      <c r="F557" s="3">
        <v>46028</v>
      </c>
      <c r="G557" s="3">
        <v>46033</v>
      </c>
      <c r="H557" s="3">
        <v>46032</v>
      </c>
      <c r="I557" s="2">
        <v>890</v>
      </c>
      <c r="J557" s="2">
        <v>51</v>
      </c>
    </row>
    <row r="558" spans="1:10">
      <c r="A558" s="2" t="s">
        <v>967</v>
      </c>
      <c r="B558" s="2" t="s">
        <v>120</v>
      </c>
      <c r="C558" s="2" t="s">
        <v>12</v>
      </c>
      <c r="D558" s="2" t="s">
        <v>968</v>
      </c>
      <c r="E558" s="2">
        <v>906</v>
      </c>
      <c r="F558" s="3">
        <v>46139</v>
      </c>
      <c r="G558" s="3">
        <v>46144</v>
      </c>
      <c r="H558" s="3">
        <v>46144</v>
      </c>
      <c r="I558" s="2">
        <v>919</v>
      </c>
      <c r="J558" s="2">
        <v>21</v>
      </c>
    </row>
    <row r="559" spans="1:10">
      <c r="A559" s="2" t="s">
        <v>969</v>
      </c>
      <c r="B559" s="2" t="s">
        <v>70</v>
      </c>
      <c r="C559" s="2" t="s">
        <v>12</v>
      </c>
      <c r="D559" s="2" t="s">
        <v>970</v>
      </c>
      <c r="E559" s="2">
        <v>255</v>
      </c>
      <c r="F559" s="3">
        <v>46034</v>
      </c>
      <c r="G559" s="3">
        <v>46044</v>
      </c>
      <c r="H559" s="3">
        <v>46041</v>
      </c>
      <c r="I559" s="2">
        <v>252</v>
      </c>
      <c r="J559" s="2">
        <v>1</v>
      </c>
    </row>
    <row r="560" spans="1:10">
      <c r="A560" s="2" t="s">
        <v>971</v>
      </c>
      <c r="B560" s="2" t="s">
        <v>177</v>
      </c>
      <c r="C560" s="2" t="s">
        <v>12</v>
      </c>
      <c r="D560" s="2" t="s">
        <v>240</v>
      </c>
      <c r="E560" s="2">
        <v>864</v>
      </c>
      <c r="F560" s="3">
        <v>46145</v>
      </c>
      <c r="G560" s="3">
        <v>46150</v>
      </c>
      <c r="H560" s="3">
        <v>46148</v>
      </c>
      <c r="I560" s="2">
        <v>866</v>
      </c>
      <c r="J560" s="2">
        <v>37</v>
      </c>
    </row>
    <row r="561" spans="1:10">
      <c r="A561" s="2" t="s">
        <v>972</v>
      </c>
      <c r="B561" s="2" t="s">
        <v>635</v>
      </c>
      <c r="C561" s="2" t="s">
        <v>16</v>
      </c>
      <c r="D561" s="2" t="s">
        <v>815</v>
      </c>
      <c r="E561" s="2">
        <v>221</v>
      </c>
      <c r="F561" s="3">
        <v>46125</v>
      </c>
      <c r="G561" s="3">
        <v>46137</v>
      </c>
      <c r="H561" s="3">
        <v>46134</v>
      </c>
      <c r="I561" s="2">
        <v>222</v>
      </c>
      <c r="J561" s="2">
        <v>9</v>
      </c>
    </row>
    <row r="562" spans="1:10">
      <c r="A562" s="2" t="s">
        <v>973</v>
      </c>
      <c r="B562" s="2" t="s">
        <v>52</v>
      </c>
      <c r="C562" s="2" t="s">
        <v>16</v>
      </c>
      <c r="D562" s="2" t="s">
        <v>294</v>
      </c>
      <c r="E562" s="2">
        <v>160</v>
      </c>
      <c r="F562" s="3">
        <v>46095</v>
      </c>
      <c r="G562" s="3">
        <v>46104</v>
      </c>
      <c r="H562" s="3">
        <v>46102</v>
      </c>
      <c r="I562" s="2">
        <v>145</v>
      </c>
      <c r="J562" s="2">
        <v>3</v>
      </c>
    </row>
    <row r="563" spans="1:10">
      <c r="A563" s="2" t="s">
        <v>974</v>
      </c>
      <c r="B563" s="2" t="s">
        <v>614</v>
      </c>
      <c r="C563" s="2" t="s">
        <v>16</v>
      </c>
      <c r="D563" s="2" t="s">
        <v>904</v>
      </c>
      <c r="E563" s="2">
        <v>802</v>
      </c>
      <c r="F563" s="3">
        <v>46149</v>
      </c>
      <c r="G563" s="3">
        <v>46161</v>
      </c>
      <c r="H563" s="3">
        <v>46159</v>
      </c>
      <c r="I563" s="2">
        <v>787</v>
      </c>
      <c r="J563" s="2">
        <v>24</v>
      </c>
    </row>
    <row r="564" spans="1:10">
      <c r="A564" s="2" t="s">
        <v>975</v>
      </c>
      <c r="B564" s="2" t="s">
        <v>32</v>
      </c>
      <c r="C564" s="2" t="s">
        <v>16</v>
      </c>
      <c r="D564" s="2" t="s">
        <v>366</v>
      </c>
      <c r="E564" s="2">
        <v>751</v>
      </c>
      <c r="F564" s="3">
        <v>46153</v>
      </c>
      <c r="G564" s="3">
        <v>46159</v>
      </c>
      <c r="H564" s="3">
        <v>46159</v>
      </c>
      <c r="I564" s="2">
        <v>713</v>
      </c>
      <c r="J564" s="2">
        <v>21</v>
      </c>
    </row>
    <row r="565" spans="1:10">
      <c r="A565" s="2" t="s">
        <v>976</v>
      </c>
      <c r="B565" s="2" t="s">
        <v>49</v>
      </c>
      <c r="C565" s="2" t="s">
        <v>12</v>
      </c>
      <c r="D565" s="2" t="s">
        <v>113</v>
      </c>
      <c r="E565" s="2">
        <v>646</v>
      </c>
      <c r="F565" s="3">
        <v>46116</v>
      </c>
      <c r="G565" s="3">
        <v>46128</v>
      </c>
      <c r="H565" s="3">
        <v>46125</v>
      </c>
      <c r="I565" s="2">
        <v>651</v>
      </c>
      <c r="J565" s="2">
        <v>7</v>
      </c>
    </row>
    <row r="566" spans="1:10">
      <c r="A566" s="2" t="s">
        <v>977</v>
      </c>
      <c r="B566" s="2" t="s">
        <v>67</v>
      </c>
      <c r="C566" s="2" t="s">
        <v>16</v>
      </c>
      <c r="D566" s="2" t="s">
        <v>978</v>
      </c>
      <c r="E566" s="2">
        <v>427</v>
      </c>
      <c r="F566" s="3">
        <v>46170</v>
      </c>
      <c r="G566" s="3">
        <v>46181</v>
      </c>
      <c r="H566" s="3">
        <v>46179</v>
      </c>
      <c r="I566" s="2">
        <v>434</v>
      </c>
      <c r="J566" s="2">
        <v>13</v>
      </c>
    </row>
    <row r="567" spans="1:10">
      <c r="A567" s="2" t="s">
        <v>979</v>
      </c>
      <c r="B567" s="2" t="s">
        <v>11</v>
      </c>
      <c r="C567" s="2" t="s">
        <v>23</v>
      </c>
      <c r="D567" s="2" t="s">
        <v>980</v>
      </c>
      <c r="E567" s="2">
        <v>940</v>
      </c>
      <c r="F567" s="3">
        <v>46054</v>
      </c>
      <c r="G567" s="3">
        <v>46064</v>
      </c>
      <c r="H567" s="3">
        <v>46061</v>
      </c>
      <c r="I567" s="2">
        <v>786</v>
      </c>
      <c r="J567" s="2">
        <v>25</v>
      </c>
    </row>
    <row r="568" spans="1:10">
      <c r="A568" s="2" t="s">
        <v>981</v>
      </c>
      <c r="B568" s="2" t="s">
        <v>35</v>
      </c>
      <c r="C568" s="2" t="s">
        <v>16</v>
      </c>
      <c r="D568" s="2" t="s">
        <v>944</v>
      </c>
      <c r="E568" s="2">
        <v>85</v>
      </c>
      <c r="F568" s="3">
        <v>46049</v>
      </c>
      <c r="G568" s="3">
        <v>46061</v>
      </c>
      <c r="H568" s="3">
        <v>46065</v>
      </c>
      <c r="I568" s="2">
        <v>70</v>
      </c>
      <c r="J568" s="2">
        <v>0</v>
      </c>
    </row>
    <row r="569" spans="1:10">
      <c r="A569" s="2" t="s">
        <v>982</v>
      </c>
      <c r="B569" s="2" t="s">
        <v>43</v>
      </c>
      <c r="C569" s="2" t="s">
        <v>12</v>
      </c>
      <c r="D569" s="2" t="s">
        <v>983</v>
      </c>
      <c r="E569" s="2">
        <v>171</v>
      </c>
      <c r="F569" s="3">
        <v>46173</v>
      </c>
      <c r="G569" s="3">
        <v>46185</v>
      </c>
      <c r="H569" s="3">
        <v>46184</v>
      </c>
      <c r="I569" s="2">
        <v>170</v>
      </c>
      <c r="J569" s="2">
        <v>3</v>
      </c>
    </row>
    <row r="570" spans="1:10">
      <c r="A570" s="2" t="s">
        <v>984</v>
      </c>
      <c r="B570" s="2" t="s">
        <v>29</v>
      </c>
      <c r="C570" s="2" t="s">
        <v>12</v>
      </c>
      <c r="D570" s="2" t="s">
        <v>985</v>
      </c>
      <c r="E570" s="2">
        <v>826</v>
      </c>
      <c r="F570" s="3">
        <v>46033</v>
      </c>
      <c r="G570" s="3">
        <v>46042</v>
      </c>
      <c r="H570" s="2"/>
      <c r="I570" s="2"/>
      <c r="J570" s="2"/>
    </row>
    <row r="571" spans="1:10">
      <c r="A571" s="2" t="s">
        <v>986</v>
      </c>
      <c r="B571" s="2" t="s">
        <v>35</v>
      </c>
      <c r="C571" s="2" t="s">
        <v>23</v>
      </c>
      <c r="D571" s="2" t="s">
        <v>987</v>
      </c>
      <c r="E571" s="2">
        <v>921</v>
      </c>
      <c r="F571" s="3">
        <v>46079</v>
      </c>
      <c r="G571" s="3">
        <v>46090</v>
      </c>
      <c r="H571" s="3">
        <v>46097</v>
      </c>
      <c r="I571" s="2">
        <v>775</v>
      </c>
      <c r="J571" s="2">
        <v>44</v>
      </c>
    </row>
    <row r="572" spans="1:10">
      <c r="A572" s="2" t="s">
        <v>988</v>
      </c>
      <c r="B572" s="2" t="s">
        <v>67</v>
      </c>
      <c r="C572" s="2" t="s">
        <v>16</v>
      </c>
      <c r="D572" s="2" t="s">
        <v>989</v>
      </c>
      <c r="E572" s="2">
        <v>296</v>
      </c>
      <c r="F572" s="3">
        <v>46079</v>
      </c>
      <c r="G572" s="3">
        <v>46091</v>
      </c>
      <c r="H572" s="3">
        <v>46100</v>
      </c>
      <c r="I572" s="2">
        <v>292</v>
      </c>
      <c r="J572" s="2">
        <v>0</v>
      </c>
    </row>
    <row r="573" spans="1:10">
      <c r="A573" s="2" t="s">
        <v>990</v>
      </c>
      <c r="B573" s="2" t="s">
        <v>35</v>
      </c>
      <c r="C573" s="2" t="s">
        <v>12</v>
      </c>
      <c r="D573" s="2" t="s">
        <v>589</v>
      </c>
      <c r="E573" s="2">
        <v>486</v>
      </c>
      <c r="F573" s="3">
        <v>46111</v>
      </c>
      <c r="G573" s="3">
        <v>46123</v>
      </c>
      <c r="H573" s="3">
        <v>46121</v>
      </c>
      <c r="I573" s="2">
        <v>390</v>
      </c>
      <c r="J573" s="2">
        <v>21</v>
      </c>
    </row>
    <row r="574" spans="1:10">
      <c r="A574" s="2" t="s">
        <v>991</v>
      </c>
      <c r="B574" s="2" t="s">
        <v>713</v>
      </c>
      <c r="C574" s="2" t="s">
        <v>12</v>
      </c>
      <c r="D574" s="2" t="s">
        <v>992</v>
      </c>
      <c r="E574" s="2">
        <v>766</v>
      </c>
      <c r="F574" s="3">
        <v>46070</v>
      </c>
      <c r="G574" s="3">
        <v>46084</v>
      </c>
      <c r="H574" s="3">
        <v>46083</v>
      </c>
      <c r="I574" s="2">
        <v>711</v>
      </c>
      <c r="J574" s="2">
        <v>13</v>
      </c>
    </row>
    <row r="575" spans="1:10">
      <c r="A575" s="2" t="s">
        <v>993</v>
      </c>
      <c r="B575" s="2" t="s">
        <v>67</v>
      </c>
      <c r="C575" s="2" t="s">
        <v>12</v>
      </c>
      <c r="D575" s="2" t="s">
        <v>994</v>
      </c>
      <c r="E575" s="2">
        <v>740</v>
      </c>
      <c r="F575" s="3">
        <v>46117</v>
      </c>
      <c r="G575" s="3">
        <v>46123</v>
      </c>
      <c r="H575" s="3">
        <v>46121</v>
      </c>
      <c r="I575" s="2">
        <v>746</v>
      </c>
      <c r="J575" s="2">
        <v>17</v>
      </c>
    </row>
    <row r="576" spans="1:10">
      <c r="A576" s="2" t="s">
        <v>995</v>
      </c>
      <c r="B576" s="2" t="s">
        <v>528</v>
      </c>
      <c r="C576" s="2" t="s">
        <v>16</v>
      </c>
      <c r="D576" s="2" t="s">
        <v>923</v>
      </c>
      <c r="E576" s="2">
        <v>250</v>
      </c>
      <c r="F576" s="3">
        <v>46058</v>
      </c>
      <c r="G576" s="3">
        <v>46072</v>
      </c>
      <c r="H576" s="3">
        <v>46081</v>
      </c>
      <c r="I576" s="2">
        <v>250</v>
      </c>
      <c r="J576" s="2">
        <v>6</v>
      </c>
    </row>
    <row r="577" spans="1:10">
      <c r="A577" s="2" t="s">
        <v>996</v>
      </c>
      <c r="B577" s="2" t="s">
        <v>49</v>
      </c>
      <c r="C577" s="2" t="s">
        <v>12</v>
      </c>
      <c r="D577" s="2" t="s">
        <v>968</v>
      </c>
      <c r="E577" s="2">
        <v>846</v>
      </c>
      <c r="F577" s="3">
        <v>46056</v>
      </c>
      <c r="G577" s="3">
        <v>46067</v>
      </c>
      <c r="H577" s="3">
        <v>46066</v>
      </c>
      <c r="I577" s="2">
        <v>830</v>
      </c>
      <c r="J577" s="2">
        <v>8</v>
      </c>
    </row>
    <row r="578" spans="1:10">
      <c r="A578" s="2" t="s">
        <v>997</v>
      </c>
      <c r="B578" s="2" t="s">
        <v>49</v>
      </c>
      <c r="C578" s="2" t="s">
        <v>166</v>
      </c>
      <c r="D578" s="2" t="s">
        <v>68</v>
      </c>
      <c r="E578" s="2">
        <v>988</v>
      </c>
      <c r="F578" s="3">
        <v>46100</v>
      </c>
      <c r="G578" s="3">
        <v>46111</v>
      </c>
      <c r="H578" s="3">
        <v>46119</v>
      </c>
      <c r="I578" s="2">
        <v>976</v>
      </c>
      <c r="J578" s="2">
        <v>14</v>
      </c>
    </row>
    <row r="579" spans="1:10">
      <c r="A579" s="2" t="s">
        <v>998</v>
      </c>
      <c r="B579" s="2" t="s">
        <v>26</v>
      </c>
      <c r="C579" s="2" t="s">
        <v>12</v>
      </c>
      <c r="D579" s="2" t="s">
        <v>461</v>
      </c>
      <c r="E579" s="2">
        <v>969</v>
      </c>
      <c r="F579" s="3">
        <v>46125</v>
      </c>
      <c r="G579" s="3">
        <v>46133</v>
      </c>
      <c r="H579" s="3">
        <v>46132</v>
      </c>
      <c r="I579" s="2">
        <v>900</v>
      </c>
      <c r="J579" s="2">
        <v>21</v>
      </c>
    </row>
    <row r="580" spans="1:10">
      <c r="A580" s="2" t="s">
        <v>999</v>
      </c>
      <c r="B580" s="2" t="s">
        <v>49</v>
      </c>
      <c r="C580" s="2" t="s">
        <v>12</v>
      </c>
      <c r="D580" s="2" t="s">
        <v>187</v>
      </c>
      <c r="E580" s="2">
        <v>118</v>
      </c>
      <c r="F580" s="3">
        <v>46055</v>
      </c>
      <c r="G580" s="3">
        <v>46068</v>
      </c>
      <c r="H580" s="3">
        <v>46067</v>
      </c>
      <c r="I580" s="2">
        <v>117</v>
      </c>
      <c r="J580" s="2">
        <v>1</v>
      </c>
    </row>
    <row r="581" spans="1:10">
      <c r="A581" s="2" t="s">
        <v>1000</v>
      </c>
      <c r="B581" s="2" t="s">
        <v>11</v>
      </c>
      <c r="C581" s="2" t="s">
        <v>12</v>
      </c>
      <c r="D581" s="2" t="s">
        <v>891</v>
      </c>
      <c r="E581" s="2">
        <v>967</v>
      </c>
      <c r="F581" s="3">
        <v>46061</v>
      </c>
      <c r="G581" s="3">
        <v>46068</v>
      </c>
      <c r="H581" s="3">
        <v>46067</v>
      </c>
      <c r="I581" s="2">
        <v>954</v>
      </c>
      <c r="J581" s="2">
        <v>22</v>
      </c>
    </row>
    <row r="582" spans="1:10">
      <c r="A582" s="2" t="s">
        <v>1001</v>
      </c>
      <c r="B582" s="2" t="s">
        <v>100</v>
      </c>
      <c r="C582" s="2" t="s">
        <v>12</v>
      </c>
      <c r="D582" s="2" t="s">
        <v>503</v>
      </c>
      <c r="E582" s="2">
        <v>296</v>
      </c>
      <c r="F582" s="3">
        <v>46094</v>
      </c>
      <c r="G582" s="3">
        <v>46106</v>
      </c>
      <c r="H582" s="3">
        <v>46103</v>
      </c>
      <c r="I582" s="2">
        <v>285</v>
      </c>
      <c r="J582" s="2">
        <v>8</v>
      </c>
    </row>
    <row r="583" spans="1:10">
      <c r="A583" s="2" t="s">
        <v>1002</v>
      </c>
      <c r="B583" s="2" t="s">
        <v>26</v>
      </c>
      <c r="C583" s="2" t="s">
        <v>12</v>
      </c>
      <c r="D583" s="2" t="s">
        <v>1003</v>
      </c>
      <c r="E583" s="2">
        <v>469</v>
      </c>
      <c r="F583" s="3">
        <v>46047</v>
      </c>
      <c r="G583" s="3">
        <v>46056</v>
      </c>
      <c r="H583" s="3">
        <v>46054</v>
      </c>
      <c r="I583" s="2">
        <v>470</v>
      </c>
      <c r="J583" s="2">
        <v>3</v>
      </c>
    </row>
    <row r="584" spans="1:10">
      <c r="A584" s="2" t="s">
        <v>1004</v>
      </c>
      <c r="B584" s="2" t="s">
        <v>49</v>
      </c>
      <c r="C584" s="2" t="s">
        <v>23</v>
      </c>
      <c r="D584" s="2" t="s">
        <v>1005</v>
      </c>
      <c r="E584" s="2">
        <v>270</v>
      </c>
      <c r="F584" s="3">
        <v>46054</v>
      </c>
      <c r="G584" s="3">
        <v>46063</v>
      </c>
      <c r="H584" s="2"/>
      <c r="I584" s="2"/>
      <c r="J584" s="2"/>
    </row>
    <row r="585" spans="1:10">
      <c r="A585" s="2" t="s">
        <v>1006</v>
      </c>
      <c r="B585" s="2" t="s">
        <v>49</v>
      </c>
      <c r="C585" s="2" t="s">
        <v>12</v>
      </c>
      <c r="D585" s="2" t="s">
        <v>310</v>
      </c>
      <c r="E585" s="2">
        <v>883</v>
      </c>
      <c r="F585" s="3">
        <v>46138</v>
      </c>
      <c r="G585" s="3">
        <v>46150</v>
      </c>
      <c r="H585" s="3">
        <v>46156</v>
      </c>
      <c r="I585" s="2">
        <v>894</v>
      </c>
      <c r="J585" s="2">
        <v>2</v>
      </c>
    </row>
    <row r="586" spans="1:10">
      <c r="A586" s="2" t="s">
        <v>1007</v>
      </c>
      <c r="B586" s="2" t="s">
        <v>100</v>
      </c>
      <c r="C586" s="2" t="s">
        <v>23</v>
      </c>
      <c r="D586" s="2" t="s">
        <v>833</v>
      </c>
      <c r="E586" s="2">
        <v>690</v>
      </c>
      <c r="F586" s="3">
        <v>46063</v>
      </c>
      <c r="G586" s="3">
        <v>46077</v>
      </c>
      <c r="H586" s="3">
        <v>46080</v>
      </c>
      <c r="I586" s="2">
        <v>695</v>
      </c>
      <c r="J586" s="2">
        <v>17</v>
      </c>
    </row>
    <row r="587" spans="1:10">
      <c r="A587" s="2" t="s">
        <v>1008</v>
      </c>
      <c r="B587" s="2" t="s">
        <v>29</v>
      </c>
      <c r="C587" s="2" t="s">
        <v>12</v>
      </c>
      <c r="D587" s="2" t="s">
        <v>1009</v>
      </c>
      <c r="E587" s="2">
        <v>991</v>
      </c>
      <c r="F587" s="3">
        <v>46118</v>
      </c>
      <c r="G587" s="3">
        <v>46128</v>
      </c>
      <c r="H587" s="3">
        <v>46127</v>
      </c>
      <c r="I587" s="2">
        <v>993</v>
      </c>
      <c r="J587" s="2">
        <v>3</v>
      </c>
    </row>
    <row r="588" spans="1:10">
      <c r="A588" s="2" t="s">
        <v>1010</v>
      </c>
      <c r="B588" s="2" t="s">
        <v>43</v>
      </c>
      <c r="C588" s="2" t="s">
        <v>12</v>
      </c>
      <c r="D588" s="2" t="s">
        <v>189</v>
      </c>
      <c r="E588" s="2">
        <v>197</v>
      </c>
      <c r="F588" s="3">
        <v>46099</v>
      </c>
      <c r="G588" s="3">
        <v>46112</v>
      </c>
      <c r="H588" s="3">
        <v>46120</v>
      </c>
      <c r="I588" s="2">
        <v>199</v>
      </c>
      <c r="J588" s="2">
        <v>10</v>
      </c>
    </row>
    <row r="589" spans="1:10">
      <c r="A589" s="2" t="s">
        <v>1011</v>
      </c>
      <c r="B589" s="2" t="s">
        <v>35</v>
      </c>
      <c r="C589" s="2" t="s">
        <v>23</v>
      </c>
      <c r="D589" s="2" t="s">
        <v>1012</v>
      </c>
      <c r="E589" s="2">
        <v>557</v>
      </c>
      <c r="F589" s="3">
        <v>46143</v>
      </c>
      <c r="G589" s="3">
        <v>46152</v>
      </c>
      <c r="H589" s="3">
        <v>46152</v>
      </c>
      <c r="I589" s="2">
        <v>549</v>
      </c>
      <c r="J589" s="2">
        <v>25</v>
      </c>
    </row>
    <row r="590" spans="1:10">
      <c r="A590" s="2" t="s">
        <v>1013</v>
      </c>
      <c r="B590" s="2" t="s">
        <v>19</v>
      </c>
      <c r="C590" s="2" t="s">
        <v>12</v>
      </c>
      <c r="D590" s="2" t="s">
        <v>1014</v>
      </c>
      <c r="E590" s="2">
        <v>808</v>
      </c>
      <c r="F590" s="3">
        <v>46121</v>
      </c>
      <c r="G590" s="3">
        <v>46126</v>
      </c>
      <c r="H590" s="3">
        <v>46126</v>
      </c>
      <c r="I590" s="2">
        <v>810</v>
      </c>
      <c r="J590" s="2">
        <v>24</v>
      </c>
    </row>
    <row r="591" spans="1:10">
      <c r="A591" s="2" t="s">
        <v>1015</v>
      </c>
      <c r="B591" s="2" t="s">
        <v>29</v>
      </c>
      <c r="C591" s="2" t="s">
        <v>12</v>
      </c>
      <c r="D591" s="2" t="s">
        <v>983</v>
      </c>
      <c r="E591" s="2">
        <v>621</v>
      </c>
      <c r="F591" s="3">
        <v>46085</v>
      </c>
      <c r="G591" s="3">
        <v>46094</v>
      </c>
      <c r="H591" s="3">
        <v>46099</v>
      </c>
      <c r="I591" s="2">
        <v>616</v>
      </c>
      <c r="J591" s="2">
        <v>8</v>
      </c>
    </row>
    <row r="592" spans="1:10">
      <c r="A592" s="2" t="s">
        <v>1016</v>
      </c>
      <c r="B592" s="2" t="s">
        <v>52</v>
      </c>
      <c r="C592" s="2" t="s">
        <v>12</v>
      </c>
      <c r="D592" s="2" t="s">
        <v>664</v>
      </c>
      <c r="E592" s="2">
        <v>447</v>
      </c>
      <c r="F592" s="3">
        <v>46136</v>
      </c>
      <c r="G592" s="3">
        <v>46142</v>
      </c>
      <c r="H592" s="3">
        <v>46142</v>
      </c>
      <c r="I592" s="2">
        <v>445</v>
      </c>
      <c r="J592" s="2">
        <v>9</v>
      </c>
    </row>
    <row r="593" spans="1:10">
      <c r="A593" s="2" t="s">
        <v>1017</v>
      </c>
      <c r="B593" s="2" t="s">
        <v>26</v>
      </c>
      <c r="C593" s="2" t="s">
        <v>12</v>
      </c>
      <c r="D593" s="2" t="s">
        <v>434</v>
      </c>
      <c r="E593" s="2">
        <v>396</v>
      </c>
      <c r="F593" s="3">
        <v>46075</v>
      </c>
      <c r="G593" s="3">
        <v>46087</v>
      </c>
      <c r="H593" s="3">
        <v>46085</v>
      </c>
      <c r="I593" s="2">
        <v>398</v>
      </c>
      <c r="J593" s="2">
        <v>8</v>
      </c>
    </row>
    <row r="594" spans="1:10">
      <c r="A594" s="2" t="s">
        <v>1018</v>
      </c>
      <c r="B594" s="2" t="s">
        <v>81</v>
      </c>
      <c r="C594" s="2" t="s">
        <v>16</v>
      </c>
      <c r="D594" s="2" t="s">
        <v>1019</v>
      </c>
      <c r="E594" s="2">
        <v>678</v>
      </c>
      <c r="F594" s="3">
        <v>46173</v>
      </c>
      <c r="G594" s="3">
        <v>46182</v>
      </c>
      <c r="H594" s="3">
        <v>46183</v>
      </c>
      <c r="I594" s="2">
        <v>610</v>
      </c>
      <c r="J594" s="2">
        <v>3</v>
      </c>
    </row>
    <row r="595" spans="1:10">
      <c r="A595" s="2" t="s">
        <v>1020</v>
      </c>
      <c r="B595" s="2" t="s">
        <v>52</v>
      </c>
      <c r="C595" s="2" t="s">
        <v>16</v>
      </c>
      <c r="D595" s="2" t="s">
        <v>831</v>
      </c>
      <c r="E595" s="2">
        <v>379</v>
      </c>
      <c r="F595" s="3">
        <v>46135</v>
      </c>
      <c r="G595" s="3">
        <v>46150</v>
      </c>
      <c r="H595" s="3">
        <v>46147</v>
      </c>
      <c r="I595" s="2">
        <v>304</v>
      </c>
      <c r="J595" s="2">
        <v>7</v>
      </c>
    </row>
    <row r="596" spans="1:10">
      <c r="A596" s="2" t="s">
        <v>1021</v>
      </c>
      <c r="B596" s="2" t="s">
        <v>54</v>
      </c>
      <c r="C596" s="2" t="s">
        <v>12</v>
      </c>
      <c r="D596" s="2" t="s">
        <v>854</v>
      </c>
      <c r="E596" s="2">
        <v>630</v>
      </c>
      <c r="F596" s="3">
        <v>46166</v>
      </c>
      <c r="G596" s="3">
        <v>46177</v>
      </c>
      <c r="H596" s="3">
        <v>46176</v>
      </c>
      <c r="I596" s="2">
        <v>625</v>
      </c>
      <c r="J596" s="2">
        <v>9</v>
      </c>
    </row>
    <row r="597" spans="1:10">
      <c r="A597" s="2" t="s">
        <v>1022</v>
      </c>
      <c r="B597" s="2" t="s">
        <v>46</v>
      </c>
      <c r="C597" s="2" t="s">
        <v>12</v>
      </c>
      <c r="D597" s="2" t="s">
        <v>994</v>
      </c>
      <c r="E597" s="2">
        <v>612</v>
      </c>
      <c r="F597" s="3">
        <v>46081</v>
      </c>
      <c r="G597" s="3">
        <v>46086</v>
      </c>
      <c r="H597" s="3">
        <v>46090</v>
      </c>
      <c r="I597" s="2">
        <v>607</v>
      </c>
      <c r="J597" s="2">
        <v>11</v>
      </c>
    </row>
    <row r="598" spans="1:10">
      <c r="A598" s="2" t="s">
        <v>1023</v>
      </c>
      <c r="B598" s="2" t="s">
        <v>46</v>
      </c>
      <c r="C598" s="2" t="s">
        <v>12</v>
      </c>
      <c r="D598" s="2" t="s">
        <v>1024</v>
      </c>
      <c r="E598" s="2">
        <v>581</v>
      </c>
      <c r="F598" s="3">
        <v>46108</v>
      </c>
      <c r="G598" s="3">
        <v>46114</v>
      </c>
      <c r="H598" s="3">
        <v>46113</v>
      </c>
      <c r="I598" s="2">
        <v>499</v>
      </c>
      <c r="J598" s="2">
        <v>42</v>
      </c>
    </row>
    <row r="599" spans="1:10">
      <c r="A599" s="2" t="s">
        <v>1025</v>
      </c>
      <c r="B599" s="2" t="s">
        <v>67</v>
      </c>
      <c r="C599" s="2" t="s">
        <v>12</v>
      </c>
      <c r="D599" s="2" t="s">
        <v>731</v>
      </c>
      <c r="E599" s="2">
        <v>457</v>
      </c>
      <c r="F599" s="3">
        <v>46037</v>
      </c>
      <c r="G599" s="3">
        <v>46044</v>
      </c>
      <c r="H599" s="3">
        <v>46041</v>
      </c>
      <c r="I599" s="2">
        <v>459</v>
      </c>
      <c r="J599" s="2">
        <v>5</v>
      </c>
    </row>
    <row r="600" spans="1:10">
      <c r="A600" s="2" t="s">
        <v>1026</v>
      </c>
      <c r="B600" s="2" t="s">
        <v>889</v>
      </c>
      <c r="C600" s="2" t="s">
        <v>12</v>
      </c>
      <c r="D600" s="2" t="s">
        <v>1027</v>
      </c>
      <c r="E600" s="2">
        <v>938</v>
      </c>
      <c r="F600" s="3">
        <v>46050</v>
      </c>
      <c r="G600" s="3">
        <v>46060</v>
      </c>
      <c r="H600" s="3">
        <v>46060</v>
      </c>
      <c r="I600" s="2">
        <v>771</v>
      </c>
      <c r="J600" s="2">
        <v>10</v>
      </c>
    </row>
    <row r="601" spans="1:10">
      <c r="A601" s="2" t="s">
        <v>1028</v>
      </c>
      <c r="B601" s="2" t="s">
        <v>70</v>
      </c>
      <c r="C601" s="2" t="s">
        <v>16</v>
      </c>
      <c r="D601" s="2" t="s">
        <v>279</v>
      </c>
      <c r="E601" s="2">
        <v>547</v>
      </c>
      <c r="F601" s="3">
        <v>46030</v>
      </c>
      <c r="G601" s="3">
        <v>46041</v>
      </c>
      <c r="H601" s="3">
        <v>46043</v>
      </c>
      <c r="I601" s="2">
        <v>551</v>
      </c>
      <c r="J601" s="2">
        <v>4</v>
      </c>
    </row>
    <row r="602" spans="1:10">
      <c r="A602" s="2" t="s">
        <v>1029</v>
      </c>
      <c r="B602" s="2" t="s">
        <v>52</v>
      </c>
      <c r="C602" s="2" t="s">
        <v>12</v>
      </c>
      <c r="D602" s="2" t="s">
        <v>734</v>
      </c>
      <c r="E602" s="2">
        <v>741</v>
      </c>
      <c r="F602" s="3">
        <v>46061</v>
      </c>
      <c r="G602" s="3">
        <v>46072</v>
      </c>
      <c r="H602" s="3">
        <v>46069</v>
      </c>
      <c r="I602" s="2">
        <v>751</v>
      </c>
      <c r="J602" s="2">
        <v>18</v>
      </c>
    </row>
    <row r="603" spans="1:10">
      <c r="A603" s="2" t="s">
        <v>1030</v>
      </c>
      <c r="B603" s="2" t="s">
        <v>49</v>
      </c>
      <c r="C603" s="2" t="s">
        <v>16</v>
      </c>
      <c r="D603" s="2" t="s">
        <v>266</v>
      </c>
      <c r="E603" s="2">
        <v>215</v>
      </c>
      <c r="F603" s="3">
        <v>46075</v>
      </c>
      <c r="G603" s="3">
        <v>46085</v>
      </c>
      <c r="H603" s="3">
        <v>46084</v>
      </c>
      <c r="I603" s="2">
        <v>185</v>
      </c>
      <c r="J603" s="2">
        <v>2</v>
      </c>
    </row>
    <row r="604" spans="1:10">
      <c r="A604" s="2" t="s">
        <v>1031</v>
      </c>
      <c r="B604" s="2" t="s">
        <v>52</v>
      </c>
      <c r="C604" s="2" t="s">
        <v>16</v>
      </c>
      <c r="D604" s="2" t="s">
        <v>92</v>
      </c>
      <c r="E604" s="2">
        <v>431</v>
      </c>
      <c r="F604" s="3">
        <v>46073</v>
      </c>
      <c r="G604" s="3">
        <v>46079</v>
      </c>
      <c r="H604" s="3">
        <v>46077</v>
      </c>
      <c r="I604" s="2">
        <v>423</v>
      </c>
      <c r="J604" s="2">
        <v>7</v>
      </c>
    </row>
    <row r="605" spans="1:10">
      <c r="A605" s="2" t="s">
        <v>1032</v>
      </c>
      <c r="B605" s="2" t="s">
        <v>11</v>
      </c>
      <c r="C605" s="2" t="s">
        <v>23</v>
      </c>
      <c r="D605" s="2" t="s">
        <v>785</v>
      </c>
      <c r="E605" s="2">
        <v>766</v>
      </c>
      <c r="F605" s="3">
        <v>46091</v>
      </c>
      <c r="G605" s="3">
        <v>46096</v>
      </c>
      <c r="H605" s="3">
        <v>46096</v>
      </c>
      <c r="I605" s="2">
        <v>767</v>
      </c>
      <c r="J605" s="2">
        <v>2</v>
      </c>
    </row>
    <row r="606" spans="1:10">
      <c r="A606" s="2" t="s">
        <v>1033</v>
      </c>
      <c r="B606" s="2" t="s">
        <v>19</v>
      </c>
      <c r="C606" s="2" t="s">
        <v>12</v>
      </c>
      <c r="D606" s="2" t="s">
        <v>57</v>
      </c>
      <c r="E606" s="2">
        <v>261</v>
      </c>
      <c r="F606" s="3">
        <v>46101</v>
      </c>
      <c r="G606" s="3">
        <v>46106</v>
      </c>
      <c r="H606" s="3">
        <v>46104</v>
      </c>
      <c r="I606" s="2">
        <v>253</v>
      </c>
      <c r="J606" s="2">
        <v>5</v>
      </c>
    </row>
    <row r="607" spans="1:10">
      <c r="A607" s="2" t="s">
        <v>1034</v>
      </c>
      <c r="B607" s="2" t="s">
        <v>26</v>
      </c>
      <c r="C607" s="2" t="s">
        <v>23</v>
      </c>
      <c r="D607" s="2" t="s">
        <v>1035</v>
      </c>
      <c r="E607" s="2">
        <v>724</v>
      </c>
      <c r="F607" s="3">
        <v>46052</v>
      </c>
      <c r="G607" s="3">
        <v>46064</v>
      </c>
      <c r="H607" s="3">
        <v>46061</v>
      </c>
      <c r="I607" s="2">
        <v>722</v>
      </c>
      <c r="J607" s="2">
        <v>6</v>
      </c>
    </row>
    <row r="608" spans="1:10">
      <c r="A608" s="2" t="s">
        <v>1036</v>
      </c>
      <c r="B608" s="2" t="s">
        <v>120</v>
      </c>
      <c r="C608" s="2" t="s">
        <v>12</v>
      </c>
      <c r="D608" s="2" t="s">
        <v>1009</v>
      </c>
      <c r="E608" s="2">
        <v>651</v>
      </c>
      <c r="F608" s="3">
        <v>46116</v>
      </c>
      <c r="G608" s="3">
        <v>46129</v>
      </c>
      <c r="H608" s="3">
        <v>46126</v>
      </c>
      <c r="I608" s="2">
        <v>620</v>
      </c>
      <c r="J608" s="2">
        <v>36</v>
      </c>
    </row>
    <row r="609" spans="1:10">
      <c r="A609" s="2" t="s">
        <v>1037</v>
      </c>
      <c r="B609" s="2" t="s">
        <v>22</v>
      </c>
      <c r="C609" s="2" t="s">
        <v>16</v>
      </c>
      <c r="D609" s="2" t="s">
        <v>235</v>
      </c>
      <c r="E609" s="2">
        <v>440</v>
      </c>
      <c r="F609" s="3">
        <v>46107</v>
      </c>
      <c r="G609" s="3">
        <v>46115</v>
      </c>
      <c r="H609" s="3">
        <v>46121</v>
      </c>
      <c r="I609" s="2">
        <v>441</v>
      </c>
      <c r="J609" s="2">
        <v>7</v>
      </c>
    </row>
    <row r="610" spans="1:10">
      <c r="A610" s="2" t="s">
        <v>1038</v>
      </c>
      <c r="B610" s="2" t="s">
        <v>49</v>
      </c>
      <c r="C610" s="2" t="s">
        <v>12</v>
      </c>
      <c r="D610" s="2" t="s">
        <v>1039</v>
      </c>
      <c r="E610" s="2">
        <v>650</v>
      </c>
      <c r="F610" s="3">
        <v>46113</v>
      </c>
      <c r="G610" s="3">
        <v>46126</v>
      </c>
      <c r="H610" s="3">
        <v>46123</v>
      </c>
      <c r="I610" s="2">
        <v>581</v>
      </c>
      <c r="J610" s="2">
        <v>7</v>
      </c>
    </row>
    <row r="611" spans="1:10">
      <c r="A611" s="2" t="s">
        <v>1040</v>
      </c>
      <c r="B611" s="2" t="s">
        <v>81</v>
      </c>
      <c r="C611" s="2" t="s">
        <v>23</v>
      </c>
      <c r="D611" s="2" t="s">
        <v>1041</v>
      </c>
      <c r="E611" s="2">
        <v>994</v>
      </c>
      <c r="F611" s="3">
        <v>46115</v>
      </c>
      <c r="G611" s="3">
        <v>46121</v>
      </c>
      <c r="H611" s="3">
        <v>46118</v>
      </c>
      <c r="I611" s="2">
        <v>980</v>
      </c>
      <c r="J611" s="2">
        <v>4</v>
      </c>
    </row>
    <row r="612" spans="1:10">
      <c r="A612" s="2" t="s">
        <v>1042</v>
      </c>
      <c r="B612" s="2" t="s">
        <v>67</v>
      </c>
      <c r="C612" s="2" t="s">
        <v>12</v>
      </c>
      <c r="D612" s="2" t="s">
        <v>1043</v>
      </c>
      <c r="E612" s="2">
        <v>880</v>
      </c>
      <c r="F612" s="3">
        <v>46149</v>
      </c>
      <c r="G612" s="3">
        <v>46156</v>
      </c>
      <c r="H612" s="3">
        <v>46153</v>
      </c>
      <c r="I612" s="2">
        <v>890</v>
      </c>
      <c r="J612" s="2">
        <v>22</v>
      </c>
    </row>
    <row r="613" spans="1:10">
      <c r="A613" s="2" t="s">
        <v>1044</v>
      </c>
      <c r="B613" s="2" t="s">
        <v>32</v>
      </c>
      <c r="C613" s="2" t="s">
        <v>16</v>
      </c>
      <c r="D613" s="2" t="s">
        <v>906</v>
      </c>
      <c r="E613" s="2">
        <v>729</v>
      </c>
      <c r="F613" s="3">
        <v>46120</v>
      </c>
      <c r="G613" s="3">
        <v>46131</v>
      </c>
      <c r="H613" s="3">
        <v>46130</v>
      </c>
      <c r="I613" s="2">
        <v>742</v>
      </c>
      <c r="J613" s="2">
        <v>31</v>
      </c>
    </row>
    <row r="614" spans="1:10">
      <c r="A614" s="2" t="s">
        <v>1045</v>
      </c>
      <c r="B614" s="2" t="s">
        <v>177</v>
      </c>
      <c r="C614" s="2" t="s">
        <v>12</v>
      </c>
      <c r="D614" s="2" t="s">
        <v>30</v>
      </c>
      <c r="E614" s="2">
        <v>152</v>
      </c>
      <c r="F614" s="3">
        <v>46071</v>
      </c>
      <c r="G614" s="3">
        <v>46086</v>
      </c>
      <c r="H614" s="3">
        <v>46095</v>
      </c>
      <c r="I614" s="2">
        <v>152</v>
      </c>
      <c r="J614" s="2">
        <v>1</v>
      </c>
    </row>
    <row r="615" spans="1:10">
      <c r="A615" s="2" t="s">
        <v>1046</v>
      </c>
      <c r="B615" s="2" t="s">
        <v>26</v>
      </c>
      <c r="C615" s="2" t="s">
        <v>12</v>
      </c>
      <c r="D615" s="2" t="s">
        <v>941</v>
      </c>
      <c r="E615" s="2">
        <v>82</v>
      </c>
      <c r="F615" s="3">
        <v>46093</v>
      </c>
      <c r="G615" s="3">
        <v>46100</v>
      </c>
      <c r="H615" s="3">
        <v>46100</v>
      </c>
      <c r="I615" s="2">
        <v>83</v>
      </c>
      <c r="J615" s="2">
        <v>1</v>
      </c>
    </row>
    <row r="616" spans="1:10">
      <c r="A616" s="2" t="s">
        <v>1047</v>
      </c>
      <c r="B616" s="2" t="s">
        <v>26</v>
      </c>
      <c r="C616" s="2" t="s">
        <v>12</v>
      </c>
      <c r="D616" s="2" t="s">
        <v>1048</v>
      </c>
      <c r="E616" s="2">
        <v>654</v>
      </c>
      <c r="F616" s="3">
        <v>46137</v>
      </c>
      <c r="G616" s="3">
        <v>46148</v>
      </c>
      <c r="H616" s="3">
        <v>46149</v>
      </c>
      <c r="I616" s="2">
        <v>559</v>
      </c>
      <c r="J616" s="2">
        <v>5</v>
      </c>
    </row>
    <row r="617" spans="1:10">
      <c r="A617" s="2" t="s">
        <v>1049</v>
      </c>
      <c r="B617" s="2" t="s">
        <v>52</v>
      </c>
      <c r="C617" s="2" t="s">
        <v>166</v>
      </c>
      <c r="D617" s="2" t="s">
        <v>836</v>
      </c>
      <c r="E617" s="2">
        <v>105</v>
      </c>
      <c r="F617" s="3">
        <v>46132</v>
      </c>
      <c r="G617" s="3">
        <v>46145</v>
      </c>
      <c r="H617" s="3">
        <v>46144</v>
      </c>
      <c r="I617" s="2">
        <v>104</v>
      </c>
      <c r="J617" s="2">
        <v>2</v>
      </c>
    </row>
    <row r="618" spans="1:10">
      <c r="A618" s="2" t="s">
        <v>1050</v>
      </c>
      <c r="B618" s="2" t="s">
        <v>22</v>
      </c>
      <c r="C618" s="2" t="s">
        <v>23</v>
      </c>
      <c r="D618" s="2" t="s">
        <v>535</v>
      </c>
      <c r="E618" s="2">
        <v>501</v>
      </c>
      <c r="F618" s="3">
        <v>46031</v>
      </c>
      <c r="G618" s="3">
        <v>46040</v>
      </c>
      <c r="H618" s="3">
        <v>46040</v>
      </c>
      <c r="I618" s="2">
        <v>509</v>
      </c>
      <c r="J618" s="2">
        <v>11</v>
      </c>
    </row>
    <row r="619" spans="1:10">
      <c r="A619" s="2" t="s">
        <v>1051</v>
      </c>
      <c r="B619" s="2" t="s">
        <v>19</v>
      </c>
      <c r="C619" s="2" t="s">
        <v>12</v>
      </c>
      <c r="D619" s="2" t="s">
        <v>533</v>
      </c>
      <c r="E619" s="2">
        <v>492</v>
      </c>
      <c r="F619" s="3">
        <v>46085</v>
      </c>
      <c r="G619" s="3">
        <v>46091</v>
      </c>
      <c r="H619" s="3">
        <v>46090</v>
      </c>
      <c r="I619" s="2">
        <v>407</v>
      </c>
      <c r="J619" s="2">
        <v>22</v>
      </c>
    </row>
    <row r="620" spans="1:10">
      <c r="A620" s="2" t="s">
        <v>1052</v>
      </c>
      <c r="B620" s="2" t="s">
        <v>329</v>
      </c>
      <c r="C620" s="2" t="s">
        <v>23</v>
      </c>
      <c r="D620" s="2" t="s">
        <v>824</v>
      </c>
      <c r="E620" s="2">
        <v>974</v>
      </c>
      <c r="F620" s="3">
        <v>46127</v>
      </c>
      <c r="G620" s="3">
        <v>46133</v>
      </c>
      <c r="H620" s="3">
        <v>46137</v>
      </c>
      <c r="I620" s="2">
        <v>981</v>
      </c>
      <c r="J620" s="2">
        <v>12</v>
      </c>
    </row>
    <row r="621" spans="1:10">
      <c r="A621" s="2" t="s">
        <v>1053</v>
      </c>
      <c r="B621" s="2" t="s">
        <v>614</v>
      </c>
      <c r="C621" s="2" t="s">
        <v>12</v>
      </c>
      <c r="D621" s="2" t="s">
        <v>354</v>
      </c>
      <c r="E621" s="2">
        <v>318</v>
      </c>
      <c r="F621" s="3">
        <v>46096</v>
      </c>
      <c r="G621" s="3">
        <v>46104</v>
      </c>
      <c r="H621" s="3">
        <v>46104</v>
      </c>
      <c r="I621" s="2">
        <v>322</v>
      </c>
      <c r="J621" s="2">
        <v>8</v>
      </c>
    </row>
    <row r="622" spans="1:10">
      <c r="A622" s="2" t="s">
        <v>1054</v>
      </c>
      <c r="B622" s="2" t="s">
        <v>81</v>
      </c>
      <c r="C622" s="2" t="s">
        <v>16</v>
      </c>
      <c r="D622" s="2" t="s">
        <v>244</v>
      </c>
      <c r="E622" s="2">
        <v>148</v>
      </c>
      <c r="F622" s="3">
        <v>46069</v>
      </c>
      <c r="G622" s="3">
        <v>46084</v>
      </c>
      <c r="H622" s="3">
        <v>46082</v>
      </c>
      <c r="I622" s="2">
        <v>148</v>
      </c>
      <c r="J622" s="2">
        <v>1</v>
      </c>
    </row>
    <row r="623" spans="1:10">
      <c r="A623" s="2" t="s">
        <v>1055</v>
      </c>
      <c r="B623" s="2" t="s">
        <v>474</v>
      </c>
      <c r="C623" s="2" t="s">
        <v>12</v>
      </c>
      <c r="D623" s="2" t="s">
        <v>152</v>
      </c>
      <c r="E623" s="2">
        <v>639</v>
      </c>
      <c r="F623" s="3">
        <v>46152</v>
      </c>
      <c r="G623" s="3">
        <v>46162</v>
      </c>
      <c r="H623" s="3">
        <v>46167</v>
      </c>
      <c r="I623" s="2">
        <v>639</v>
      </c>
      <c r="J623" s="2">
        <v>32</v>
      </c>
    </row>
    <row r="624" spans="1:10">
      <c r="A624" s="2" t="s">
        <v>1056</v>
      </c>
      <c r="B624" s="2" t="s">
        <v>49</v>
      </c>
      <c r="C624" s="2" t="s">
        <v>16</v>
      </c>
      <c r="D624" s="2" t="s">
        <v>383</v>
      </c>
      <c r="E624" s="2">
        <v>459</v>
      </c>
      <c r="F624" s="3">
        <v>46144</v>
      </c>
      <c r="G624" s="3">
        <v>46152</v>
      </c>
      <c r="H624" s="3">
        <v>46151</v>
      </c>
      <c r="I624" s="2">
        <v>453</v>
      </c>
      <c r="J624" s="2">
        <v>5</v>
      </c>
    </row>
    <row r="625" spans="1:10">
      <c r="A625" s="2" t="s">
        <v>1057</v>
      </c>
      <c r="B625" s="2" t="s">
        <v>52</v>
      </c>
      <c r="C625" s="2" t="s">
        <v>12</v>
      </c>
      <c r="D625" s="2" t="s">
        <v>1058</v>
      </c>
      <c r="E625" s="2">
        <v>526</v>
      </c>
      <c r="F625" s="3">
        <v>46118</v>
      </c>
      <c r="G625" s="3">
        <v>46129</v>
      </c>
      <c r="H625" s="3">
        <v>46129</v>
      </c>
      <c r="I625" s="2">
        <v>534</v>
      </c>
      <c r="J625" s="2">
        <v>6</v>
      </c>
    </row>
    <row r="626" spans="1:10">
      <c r="A626" s="2" t="s">
        <v>1059</v>
      </c>
      <c r="B626" s="2" t="s">
        <v>19</v>
      </c>
      <c r="C626" s="2" t="s">
        <v>23</v>
      </c>
      <c r="D626" s="2" t="s">
        <v>824</v>
      </c>
      <c r="E626" s="2">
        <v>267</v>
      </c>
      <c r="F626" s="3">
        <v>46027</v>
      </c>
      <c r="G626" s="3">
        <v>46036</v>
      </c>
      <c r="H626" s="3">
        <v>46033</v>
      </c>
      <c r="I626" s="2">
        <v>269</v>
      </c>
      <c r="J626" s="2">
        <v>3</v>
      </c>
    </row>
    <row r="627" spans="1:10">
      <c r="A627" s="2" t="s">
        <v>1060</v>
      </c>
      <c r="B627" s="2" t="s">
        <v>22</v>
      </c>
      <c r="C627" s="2" t="s">
        <v>16</v>
      </c>
      <c r="D627" s="2" t="s">
        <v>1061</v>
      </c>
      <c r="E627" s="2">
        <v>290</v>
      </c>
      <c r="F627" s="3">
        <v>46102</v>
      </c>
      <c r="G627" s="3">
        <v>46112</v>
      </c>
      <c r="H627" s="3">
        <v>46109</v>
      </c>
      <c r="I627" s="2">
        <v>289</v>
      </c>
      <c r="J627" s="2">
        <v>9</v>
      </c>
    </row>
    <row r="628" spans="1:10">
      <c r="A628" s="2" t="s">
        <v>1062</v>
      </c>
      <c r="B628" s="2" t="s">
        <v>11</v>
      </c>
      <c r="C628" s="2" t="s">
        <v>16</v>
      </c>
      <c r="D628" s="2" t="s">
        <v>1063</v>
      </c>
      <c r="E628" s="2">
        <v>281</v>
      </c>
      <c r="F628" s="3">
        <v>46057</v>
      </c>
      <c r="G628" s="3">
        <v>46071</v>
      </c>
      <c r="H628" s="3">
        <v>46073</v>
      </c>
      <c r="I628" s="2">
        <v>282</v>
      </c>
      <c r="J628" s="2">
        <v>12</v>
      </c>
    </row>
    <row r="629" spans="1:10">
      <c r="A629" s="2" t="s">
        <v>1064</v>
      </c>
      <c r="B629" s="2" t="s">
        <v>52</v>
      </c>
      <c r="C629" s="2" t="s">
        <v>12</v>
      </c>
      <c r="D629" s="2" t="s">
        <v>376</v>
      </c>
      <c r="E629" s="2">
        <v>885</v>
      </c>
      <c r="F629" s="3">
        <v>46116</v>
      </c>
      <c r="G629" s="3">
        <v>46131</v>
      </c>
      <c r="H629" s="3">
        <v>46129</v>
      </c>
      <c r="I629" s="2">
        <v>900</v>
      </c>
      <c r="J629" s="2">
        <v>15</v>
      </c>
    </row>
    <row r="630" spans="1:10">
      <c r="A630" s="2" t="s">
        <v>1065</v>
      </c>
      <c r="B630" s="2" t="s">
        <v>52</v>
      </c>
      <c r="C630" s="2" t="s">
        <v>12</v>
      </c>
      <c r="D630" s="2" t="s">
        <v>600</v>
      </c>
      <c r="E630" s="2">
        <v>583</v>
      </c>
      <c r="F630" s="3">
        <v>46045</v>
      </c>
      <c r="G630" s="3">
        <v>46052</v>
      </c>
      <c r="H630" s="3">
        <v>46056</v>
      </c>
      <c r="I630" s="2">
        <v>572</v>
      </c>
      <c r="J630" s="2">
        <v>9</v>
      </c>
    </row>
    <row r="631" spans="1:10">
      <c r="A631" s="2" t="s">
        <v>1066</v>
      </c>
      <c r="B631" s="2" t="s">
        <v>52</v>
      </c>
      <c r="C631" s="2" t="s">
        <v>16</v>
      </c>
      <c r="D631" s="2" t="s">
        <v>1067</v>
      </c>
      <c r="E631" s="2">
        <v>939</v>
      </c>
      <c r="F631" s="3">
        <v>46098</v>
      </c>
      <c r="G631" s="3">
        <v>46104</v>
      </c>
      <c r="H631" s="3">
        <v>46102</v>
      </c>
      <c r="I631" s="2">
        <v>938</v>
      </c>
      <c r="J631" s="2">
        <v>17</v>
      </c>
    </row>
    <row r="632" spans="1:10">
      <c r="A632" s="2" t="s">
        <v>1068</v>
      </c>
      <c r="B632" s="2" t="s">
        <v>177</v>
      </c>
      <c r="C632" s="2" t="s">
        <v>12</v>
      </c>
      <c r="D632" s="2" t="s">
        <v>75</v>
      </c>
      <c r="E632" s="2">
        <v>423</v>
      </c>
      <c r="F632" s="3">
        <v>46075</v>
      </c>
      <c r="G632" s="3">
        <v>46088</v>
      </c>
      <c r="H632" s="3">
        <v>46093</v>
      </c>
      <c r="I632" s="2">
        <v>416</v>
      </c>
      <c r="J632" s="2">
        <v>9</v>
      </c>
    </row>
    <row r="633" spans="1:10">
      <c r="A633" s="2" t="s">
        <v>1069</v>
      </c>
      <c r="B633" s="2" t="s">
        <v>64</v>
      </c>
      <c r="C633" s="2" t="s">
        <v>16</v>
      </c>
      <c r="D633" s="2" t="s">
        <v>1070</v>
      </c>
      <c r="E633" s="2">
        <v>239</v>
      </c>
      <c r="F633" s="3">
        <v>46144</v>
      </c>
      <c r="G633" s="3">
        <v>46153</v>
      </c>
      <c r="H633" s="3">
        <v>46153</v>
      </c>
      <c r="I633" s="2">
        <v>236</v>
      </c>
      <c r="J633" s="2">
        <v>1</v>
      </c>
    </row>
    <row r="634" spans="1:10">
      <c r="A634" s="2" t="s">
        <v>1071</v>
      </c>
      <c r="B634" s="2" t="s">
        <v>54</v>
      </c>
      <c r="C634" s="2" t="s">
        <v>12</v>
      </c>
      <c r="D634" s="2" t="s">
        <v>1072</v>
      </c>
      <c r="E634" s="2">
        <v>872</v>
      </c>
      <c r="F634" s="3">
        <v>46036</v>
      </c>
      <c r="G634" s="3">
        <v>46049</v>
      </c>
      <c r="H634" s="3">
        <v>46046</v>
      </c>
      <c r="I634" s="2">
        <v>872</v>
      </c>
      <c r="J634" s="2">
        <v>13</v>
      </c>
    </row>
    <row r="635" spans="1:10">
      <c r="A635" s="2" t="s">
        <v>1073</v>
      </c>
      <c r="B635" s="2" t="s">
        <v>81</v>
      </c>
      <c r="C635" s="2" t="s">
        <v>23</v>
      </c>
      <c r="D635" s="2" t="s">
        <v>552</v>
      </c>
      <c r="E635" s="2">
        <v>241</v>
      </c>
      <c r="F635" s="3">
        <v>46104</v>
      </c>
      <c r="G635" s="3">
        <v>46110</v>
      </c>
      <c r="H635" s="3">
        <v>46110</v>
      </c>
      <c r="I635" s="2">
        <v>238</v>
      </c>
      <c r="J635" s="2">
        <v>1</v>
      </c>
    </row>
    <row r="636" spans="1:10">
      <c r="A636" s="2" t="s">
        <v>1074</v>
      </c>
      <c r="B636" s="2" t="s">
        <v>46</v>
      </c>
      <c r="C636" s="2" t="s">
        <v>16</v>
      </c>
      <c r="D636" s="2" t="s">
        <v>452</v>
      </c>
      <c r="E636" s="2">
        <v>973</v>
      </c>
      <c r="F636" s="3">
        <v>46052</v>
      </c>
      <c r="G636" s="3">
        <v>46059</v>
      </c>
      <c r="H636" s="2"/>
      <c r="I636" s="2"/>
      <c r="J636" s="2"/>
    </row>
    <row r="637" spans="1:10">
      <c r="A637" s="2" t="s">
        <v>1075</v>
      </c>
      <c r="B637" s="2" t="s">
        <v>11</v>
      </c>
      <c r="C637" s="2" t="s">
        <v>16</v>
      </c>
      <c r="D637" s="2" t="s">
        <v>1076</v>
      </c>
      <c r="E637" s="2">
        <v>278</v>
      </c>
      <c r="F637" s="3">
        <v>46076</v>
      </c>
      <c r="G637" s="3">
        <v>46084</v>
      </c>
      <c r="H637" s="3">
        <v>46084</v>
      </c>
      <c r="I637" s="2">
        <v>283</v>
      </c>
      <c r="J637" s="2">
        <v>12</v>
      </c>
    </row>
    <row r="638" spans="1:10">
      <c r="A638" s="2" t="s">
        <v>1077</v>
      </c>
      <c r="B638" s="2" t="s">
        <v>19</v>
      </c>
      <c r="C638" s="2" t="s">
        <v>16</v>
      </c>
      <c r="D638" s="2" t="s">
        <v>266</v>
      </c>
      <c r="E638" s="2">
        <v>773</v>
      </c>
      <c r="F638" s="3">
        <v>46139</v>
      </c>
      <c r="G638" s="3">
        <v>46144</v>
      </c>
      <c r="H638" s="3">
        <v>46142</v>
      </c>
      <c r="I638" s="2">
        <v>772</v>
      </c>
      <c r="J638" s="2">
        <v>28</v>
      </c>
    </row>
    <row r="639" spans="1:10">
      <c r="A639" s="2" t="s">
        <v>1078</v>
      </c>
      <c r="B639" s="2" t="s">
        <v>11</v>
      </c>
      <c r="C639" s="2" t="s">
        <v>16</v>
      </c>
      <c r="D639" s="2" t="s">
        <v>50</v>
      </c>
      <c r="E639" s="2">
        <v>121</v>
      </c>
      <c r="F639" s="3">
        <v>46068</v>
      </c>
      <c r="G639" s="3">
        <v>46079</v>
      </c>
      <c r="H639" s="3">
        <v>46078</v>
      </c>
      <c r="I639" s="2">
        <v>120</v>
      </c>
      <c r="J639" s="2">
        <v>4</v>
      </c>
    </row>
    <row r="640" spans="1:10">
      <c r="A640" s="2" t="s">
        <v>1079</v>
      </c>
      <c r="B640" s="2" t="s">
        <v>64</v>
      </c>
      <c r="C640" s="2" t="s">
        <v>16</v>
      </c>
      <c r="D640" s="2" t="s">
        <v>944</v>
      </c>
      <c r="E640" s="2">
        <v>108</v>
      </c>
      <c r="F640" s="3">
        <v>46151</v>
      </c>
      <c r="G640" s="3">
        <v>46162</v>
      </c>
      <c r="H640" s="3">
        <v>46168</v>
      </c>
      <c r="I640" s="2">
        <v>101</v>
      </c>
      <c r="J640" s="2">
        <v>2</v>
      </c>
    </row>
    <row r="641" spans="1:10">
      <c r="A641" s="2" t="s">
        <v>1080</v>
      </c>
      <c r="B641" s="2" t="s">
        <v>70</v>
      </c>
      <c r="C641" s="2" t="s">
        <v>16</v>
      </c>
      <c r="D641" s="2" t="s">
        <v>432</v>
      </c>
      <c r="E641" s="2">
        <v>870</v>
      </c>
      <c r="F641" s="3">
        <v>46113</v>
      </c>
      <c r="G641" s="3">
        <v>46123</v>
      </c>
      <c r="H641" s="3">
        <v>46127</v>
      </c>
      <c r="I641" s="2">
        <v>856</v>
      </c>
      <c r="J641" s="2">
        <v>5</v>
      </c>
    </row>
    <row r="642" spans="1:10">
      <c r="A642" s="2" t="s">
        <v>1081</v>
      </c>
      <c r="B642" s="2" t="s">
        <v>177</v>
      </c>
      <c r="C642" s="2" t="s">
        <v>12</v>
      </c>
      <c r="D642" s="2" t="s">
        <v>547</v>
      </c>
      <c r="E642" s="2">
        <v>612</v>
      </c>
      <c r="F642" s="3">
        <v>46089</v>
      </c>
      <c r="G642" s="3">
        <v>46100</v>
      </c>
      <c r="H642" s="3">
        <v>46098</v>
      </c>
      <c r="I642" s="2">
        <v>621</v>
      </c>
      <c r="J642" s="2">
        <v>14</v>
      </c>
    </row>
    <row r="643" spans="1:10">
      <c r="A643" s="2" t="s">
        <v>1082</v>
      </c>
      <c r="B643" s="2" t="s">
        <v>26</v>
      </c>
      <c r="C643" s="2" t="s">
        <v>16</v>
      </c>
      <c r="D643" s="2" t="s">
        <v>92</v>
      </c>
      <c r="E643" s="2">
        <v>428</v>
      </c>
      <c r="F643" s="3">
        <v>46140</v>
      </c>
      <c r="G643" s="3">
        <v>46150</v>
      </c>
      <c r="H643" s="3">
        <v>46153</v>
      </c>
      <c r="I643" s="2">
        <v>422</v>
      </c>
      <c r="J643" s="2">
        <v>4</v>
      </c>
    </row>
    <row r="644" spans="1:10">
      <c r="A644" s="2" t="s">
        <v>1083</v>
      </c>
      <c r="B644" s="2" t="s">
        <v>43</v>
      </c>
      <c r="C644" s="2" t="s">
        <v>12</v>
      </c>
      <c r="D644" s="2" t="s">
        <v>152</v>
      </c>
      <c r="E644" s="2">
        <v>784</v>
      </c>
      <c r="F644" s="3">
        <v>46140</v>
      </c>
      <c r="G644" s="3">
        <v>46147</v>
      </c>
      <c r="H644" s="3">
        <v>46144</v>
      </c>
      <c r="I644" s="2">
        <v>781</v>
      </c>
      <c r="J644" s="2">
        <v>55</v>
      </c>
    </row>
    <row r="645" spans="1:10">
      <c r="A645" s="2" t="s">
        <v>1084</v>
      </c>
      <c r="B645" s="2" t="s">
        <v>46</v>
      </c>
      <c r="C645" s="2" t="s">
        <v>12</v>
      </c>
      <c r="D645" s="2" t="s">
        <v>936</v>
      </c>
      <c r="E645" s="2">
        <v>665</v>
      </c>
      <c r="F645" s="3">
        <v>46079</v>
      </c>
      <c r="G645" s="3">
        <v>46088</v>
      </c>
      <c r="H645" s="3">
        <v>46093</v>
      </c>
      <c r="I645" s="2">
        <v>674</v>
      </c>
      <c r="J645" s="2">
        <v>47</v>
      </c>
    </row>
    <row r="646" spans="1:10">
      <c r="A646" s="2" t="s">
        <v>1085</v>
      </c>
      <c r="B646" s="2" t="s">
        <v>781</v>
      </c>
      <c r="C646" s="2" t="s">
        <v>12</v>
      </c>
      <c r="D646" s="2" t="s">
        <v>160</v>
      </c>
      <c r="E646" s="2">
        <v>418</v>
      </c>
      <c r="F646" s="3">
        <v>46106</v>
      </c>
      <c r="G646" s="3">
        <v>46118</v>
      </c>
      <c r="H646" s="3">
        <v>46115</v>
      </c>
      <c r="I646" s="2">
        <v>422</v>
      </c>
      <c r="J646" s="2">
        <v>26</v>
      </c>
    </row>
    <row r="647" spans="1:10">
      <c r="A647" s="2" t="s">
        <v>1086</v>
      </c>
      <c r="B647" s="2" t="s">
        <v>19</v>
      </c>
      <c r="C647" s="2" t="s">
        <v>322</v>
      </c>
      <c r="D647" s="2" t="s">
        <v>219</v>
      </c>
      <c r="E647" s="2">
        <v>940</v>
      </c>
      <c r="F647" s="3">
        <v>46115</v>
      </c>
      <c r="G647" s="3">
        <v>46120</v>
      </c>
      <c r="H647" s="3">
        <v>46117</v>
      </c>
      <c r="I647" s="2">
        <v>938</v>
      </c>
      <c r="J647" s="2">
        <v>28</v>
      </c>
    </row>
    <row r="648" spans="1:10">
      <c r="A648" s="2" t="s">
        <v>1087</v>
      </c>
      <c r="B648" s="2" t="s">
        <v>11</v>
      </c>
      <c r="C648" s="2" t="s">
        <v>12</v>
      </c>
      <c r="D648" s="2" t="s">
        <v>1027</v>
      </c>
      <c r="E648" s="2">
        <v>550</v>
      </c>
      <c r="F648" s="3">
        <v>46126</v>
      </c>
      <c r="G648" s="3">
        <v>46135</v>
      </c>
      <c r="H648" s="3">
        <v>46135</v>
      </c>
      <c r="I648" s="2">
        <v>482</v>
      </c>
      <c r="J648" s="2">
        <v>2</v>
      </c>
    </row>
    <row r="649" spans="1:10">
      <c r="A649" s="2" t="s">
        <v>1088</v>
      </c>
      <c r="B649" s="2" t="s">
        <v>49</v>
      </c>
      <c r="C649" s="2" t="s">
        <v>23</v>
      </c>
      <c r="D649" s="2" t="s">
        <v>948</v>
      </c>
      <c r="E649" s="2">
        <v>475</v>
      </c>
      <c r="F649" s="3">
        <v>46113</v>
      </c>
      <c r="G649" s="3">
        <v>46120</v>
      </c>
      <c r="H649" s="3">
        <v>46119</v>
      </c>
      <c r="I649" s="2">
        <v>480</v>
      </c>
      <c r="J649" s="2">
        <v>4</v>
      </c>
    </row>
    <row r="650" spans="1:10">
      <c r="A650" s="2" t="s">
        <v>1089</v>
      </c>
      <c r="B650" s="2" t="s">
        <v>70</v>
      </c>
      <c r="C650" s="2" t="s">
        <v>16</v>
      </c>
      <c r="D650" s="2" t="s">
        <v>1090</v>
      </c>
      <c r="E650" s="2">
        <v>745</v>
      </c>
      <c r="F650" s="3">
        <v>46051</v>
      </c>
      <c r="G650" s="3">
        <v>46059</v>
      </c>
      <c r="H650" s="3">
        <v>46064</v>
      </c>
      <c r="I650" s="2">
        <v>740</v>
      </c>
      <c r="J650" s="2">
        <v>6</v>
      </c>
    </row>
    <row r="651" spans="1:10">
      <c r="A651" s="2" t="s">
        <v>1091</v>
      </c>
      <c r="B651" s="2" t="s">
        <v>67</v>
      </c>
      <c r="C651" s="2" t="s">
        <v>16</v>
      </c>
      <c r="D651" s="2" t="s">
        <v>1092</v>
      </c>
      <c r="E651" s="2">
        <v>377</v>
      </c>
      <c r="F651" s="3">
        <v>46148</v>
      </c>
      <c r="G651" s="3">
        <v>46157</v>
      </c>
      <c r="H651" s="3">
        <v>46154</v>
      </c>
      <c r="I651" s="2">
        <v>371</v>
      </c>
      <c r="J651" s="2">
        <v>19</v>
      </c>
    </row>
    <row r="652" spans="1:10">
      <c r="A652" s="2" t="s">
        <v>1093</v>
      </c>
      <c r="B652" s="2" t="s">
        <v>29</v>
      </c>
      <c r="C652" s="2" t="s">
        <v>23</v>
      </c>
      <c r="D652" s="2" t="s">
        <v>1094</v>
      </c>
      <c r="E652" s="2">
        <v>646</v>
      </c>
      <c r="F652" s="3">
        <v>46130</v>
      </c>
      <c r="G652" s="3">
        <v>46136</v>
      </c>
      <c r="H652" s="3">
        <v>46135</v>
      </c>
      <c r="I652" s="2">
        <v>544</v>
      </c>
      <c r="J652" s="2">
        <v>3</v>
      </c>
    </row>
    <row r="653" spans="1:10">
      <c r="A653" s="2" t="s">
        <v>1095</v>
      </c>
      <c r="B653" s="2" t="s">
        <v>43</v>
      </c>
      <c r="C653" s="2" t="s">
        <v>16</v>
      </c>
      <c r="D653" s="2" t="s">
        <v>268</v>
      </c>
      <c r="E653" s="2">
        <v>360</v>
      </c>
      <c r="F653" s="3">
        <v>46045</v>
      </c>
      <c r="G653" s="3">
        <v>46058</v>
      </c>
      <c r="H653" s="3">
        <v>46059</v>
      </c>
      <c r="I653" s="2">
        <v>365</v>
      </c>
      <c r="J653" s="2">
        <v>12</v>
      </c>
    </row>
    <row r="654" spans="1:10">
      <c r="A654" s="2" t="s">
        <v>1096</v>
      </c>
      <c r="B654" s="2" t="s">
        <v>54</v>
      </c>
      <c r="C654" s="2" t="s">
        <v>16</v>
      </c>
      <c r="D654" s="2" t="s">
        <v>398</v>
      </c>
      <c r="E654" s="2">
        <v>618</v>
      </c>
      <c r="F654" s="3">
        <v>46048</v>
      </c>
      <c r="G654" s="3">
        <v>46063</v>
      </c>
      <c r="H654" s="3">
        <v>46061</v>
      </c>
      <c r="I654" s="2">
        <v>616</v>
      </c>
      <c r="J654" s="2">
        <v>14</v>
      </c>
    </row>
    <row r="655" spans="1:10">
      <c r="A655" s="2" t="s">
        <v>1097</v>
      </c>
      <c r="B655" s="2" t="s">
        <v>29</v>
      </c>
      <c r="C655" s="2" t="s">
        <v>12</v>
      </c>
      <c r="D655" s="2" t="s">
        <v>1098</v>
      </c>
      <c r="E655" s="2">
        <v>969</v>
      </c>
      <c r="F655" s="3">
        <v>46087</v>
      </c>
      <c r="G655" s="3">
        <v>46096</v>
      </c>
      <c r="H655" s="3">
        <v>46095</v>
      </c>
      <c r="I655" s="2">
        <v>953</v>
      </c>
      <c r="J655" s="2">
        <v>8</v>
      </c>
    </row>
    <row r="656" spans="1:10">
      <c r="A656" s="2" t="s">
        <v>1099</v>
      </c>
      <c r="B656" s="2" t="s">
        <v>177</v>
      </c>
      <c r="C656" s="2" t="s">
        <v>23</v>
      </c>
      <c r="D656" s="2" t="s">
        <v>1100</v>
      </c>
      <c r="E656" s="2">
        <v>332</v>
      </c>
      <c r="F656" s="3">
        <v>46053</v>
      </c>
      <c r="G656" s="3">
        <v>46062</v>
      </c>
      <c r="H656" s="3">
        <v>46061</v>
      </c>
      <c r="I656" s="2">
        <v>338</v>
      </c>
      <c r="J656" s="2">
        <v>12</v>
      </c>
    </row>
    <row r="657" spans="1:10">
      <c r="A657" s="2" t="s">
        <v>1101</v>
      </c>
      <c r="B657" s="2" t="s">
        <v>120</v>
      </c>
      <c r="C657" s="2" t="s">
        <v>23</v>
      </c>
      <c r="D657" s="2" t="s">
        <v>980</v>
      </c>
      <c r="E657" s="2">
        <v>742</v>
      </c>
      <c r="F657" s="3">
        <v>46122</v>
      </c>
      <c r="G657" s="3">
        <v>46134</v>
      </c>
      <c r="H657" s="3">
        <v>46131</v>
      </c>
      <c r="I657" s="2">
        <v>679</v>
      </c>
      <c r="J657" s="2">
        <v>32</v>
      </c>
    </row>
    <row r="658" spans="1:10">
      <c r="A658" s="2" t="s">
        <v>1102</v>
      </c>
      <c r="B658" s="2" t="s">
        <v>81</v>
      </c>
      <c r="C658" s="2" t="s">
        <v>12</v>
      </c>
      <c r="D658" s="2" t="s">
        <v>750</v>
      </c>
      <c r="E658" s="2">
        <v>741</v>
      </c>
      <c r="F658" s="3">
        <v>46172</v>
      </c>
      <c r="G658" s="3">
        <v>46179</v>
      </c>
      <c r="H658" s="3">
        <v>46187</v>
      </c>
      <c r="I658" s="2">
        <v>745</v>
      </c>
      <c r="J658" s="2">
        <v>3</v>
      </c>
    </row>
    <row r="659" spans="1:10">
      <c r="A659" s="2" t="s">
        <v>1103</v>
      </c>
      <c r="B659" s="2" t="s">
        <v>436</v>
      </c>
      <c r="C659" s="2" t="s">
        <v>16</v>
      </c>
      <c r="D659" s="2" t="s">
        <v>1104</v>
      </c>
      <c r="E659" s="2">
        <v>690</v>
      </c>
      <c r="F659" s="3">
        <v>46143</v>
      </c>
      <c r="G659" s="3">
        <v>46150</v>
      </c>
      <c r="H659" s="3">
        <v>46149</v>
      </c>
      <c r="I659" s="2">
        <v>693</v>
      </c>
      <c r="J659" s="2">
        <v>67</v>
      </c>
    </row>
    <row r="660" spans="1:10">
      <c r="A660" s="2" t="s">
        <v>1105</v>
      </c>
      <c r="B660" s="2" t="s">
        <v>11</v>
      </c>
      <c r="C660" s="2" t="s">
        <v>23</v>
      </c>
      <c r="D660" s="2" t="s">
        <v>1106</v>
      </c>
      <c r="E660" s="2">
        <v>816</v>
      </c>
      <c r="F660" s="3">
        <v>46107</v>
      </c>
      <c r="G660" s="3">
        <v>46112</v>
      </c>
      <c r="H660" s="3">
        <v>46111</v>
      </c>
      <c r="I660" s="2">
        <v>808</v>
      </c>
      <c r="J660" s="2">
        <v>1</v>
      </c>
    </row>
    <row r="661" spans="1:10">
      <c r="A661" s="2" t="s">
        <v>1107</v>
      </c>
      <c r="B661" s="2" t="s">
        <v>591</v>
      </c>
      <c r="C661" s="2" t="s">
        <v>16</v>
      </c>
      <c r="D661" s="2" t="s">
        <v>1108</v>
      </c>
      <c r="E661" s="2">
        <v>654</v>
      </c>
      <c r="F661" s="3">
        <v>46071</v>
      </c>
      <c r="G661" s="3">
        <v>46079</v>
      </c>
      <c r="H661" s="3">
        <v>46083</v>
      </c>
      <c r="I661" s="2">
        <v>666</v>
      </c>
      <c r="J661" s="2">
        <v>19</v>
      </c>
    </row>
    <row r="662" spans="1:10">
      <c r="A662" s="2" t="s">
        <v>1109</v>
      </c>
      <c r="B662" s="2" t="s">
        <v>19</v>
      </c>
      <c r="C662" s="2" t="s">
        <v>16</v>
      </c>
      <c r="D662" s="2" t="s">
        <v>272</v>
      </c>
      <c r="E662" s="2">
        <v>199</v>
      </c>
      <c r="F662" s="3">
        <v>46077</v>
      </c>
      <c r="G662" s="3">
        <v>46091</v>
      </c>
      <c r="H662" s="3">
        <v>46091</v>
      </c>
      <c r="I662" s="2">
        <v>197</v>
      </c>
      <c r="J662" s="2">
        <v>5</v>
      </c>
    </row>
    <row r="663" spans="1:10">
      <c r="A663" s="2" t="s">
        <v>1110</v>
      </c>
      <c r="B663" s="2" t="s">
        <v>64</v>
      </c>
      <c r="C663" s="2" t="s">
        <v>12</v>
      </c>
      <c r="D663" s="2" t="s">
        <v>690</v>
      </c>
      <c r="E663" s="2">
        <v>299</v>
      </c>
      <c r="F663" s="3">
        <v>46161</v>
      </c>
      <c r="G663" s="3">
        <v>46168</v>
      </c>
      <c r="H663" s="3">
        <v>46166</v>
      </c>
      <c r="I663" s="2">
        <v>278</v>
      </c>
      <c r="J663" s="2">
        <v>10</v>
      </c>
    </row>
    <row r="664" spans="1:10">
      <c r="A664" s="2" t="s">
        <v>1111</v>
      </c>
      <c r="B664" s="2" t="s">
        <v>26</v>
      </c>
      <c r="C664" s="2" t="s">
        <v>12</v>
      </c>
      <c r="D664" s="2" t="s">
        <v>310</v>
      </c>
      <c r="E664" s="2">
        <v>597</v>
      </c>
      <c r="F664" s="3">
        <v>46118</v>
      </c>
      <c r="G664" s="3">
        <v>46125</v>
      </c>
      <c r="H664" s="3">
        <v>46123</v>
      </c>
      <c r="I664" s="2">
        <v>597</v>
      </c>
      <c r="J664" s="2">
        <v>8</v>
      </c>
    </row>
    <row r="665" spans="1:10">
      <c r="A665" s="2" t="s">
        <v>1112</v>
      </c>
      <c r="B665" s="2" t="s">
        <v>26</v>
      </c>
      <c r="C665" s="2" t="s">
        <v>12</v>
      </c>
      <c r="D665" s="2" t="s">
        <v>187</v>
      </c>
      <c r="E665" s="2">
        <v>486</v>
      </c>
      <c r="F665" s="3">
        <v>46121</v>
      </c>
      <c r="G665" s="3">
        <v>46128</v>
      </c>
      <c r="H665" s="3">
        <v>46125</v>
      </c>
      <c r="I665" s="2">
        <v>451</v>
      </c>
      <c r="J665" s="2">
        <v>11</v>
      </c>
    </row>
    <row r="666" spans="1:10">
      <c r="A666" s="2" t="s">
        <v>1113</v>
      </c>
      <c r="B666" s="2" t="s">
        <v>49</v>
      </c>
      <c r="C666" s="2" t="s">
        <v>12</v>
      </c>
      <c r="D666" s="2" t="s">
        <v>115</v>
      </c>
      <c r="E666" s="2">
        <v>353</v>
      </c>
      <c r="F666" s="3">
        <v>46100</v>
      </c>
      <c r="G666" s="3">
        <v>46105</v>
      </c>
      <c r="H666" s="3">
        <v>46105</v>
      </c>
      <c r="I666" s="2">
        <v>351</v>
      </c>
      <c r="J666" s="2">
        <v>2</v>
      </c>
    </row>
    <row r="667" spans="1:10">
      <c r="A667" s="2" t="s">
        <v>1114</v>
      </c>
      <c r="B667" s="2" t="s">
        <v>46</v>
      </c>
      <c r="C667" s="2" t="s">
        <v>16</v>
      </c>
      <c r="D667" s="2" t="s">
        <v>1115</v>
      </c>
      <c r="E667" s="2">
        <v>774</v>
      </c>
      <c r="F667" s="3">
        <v>46129</v>
      </c>
      <c r="G667" s="3">
        <v>46139</v>
      </c>
      <c r="H667" s="3">
        <v>46137</v>
      </c>
      <c r="I667" s="2">
        <v>765</v>
      </c>
      <c r="J667" s="2">
        <v>61</v>
      </c>
    </row>
    <row r="668" spans="1:10">
      <c r="A668" s="2" t="s">
        <v>1116</v>
      </c>
      <c r="B668" s="2" t="s">
        <v>81</v>
      </c>
      <c r="C668" s="2" t="s">
        <v>12</v>
      </c>
      <c r="D668" s="2" t="s">
        <v>1117</v>
      </c>
      <c r="E668" s="2">
        <v>485</v>
      </c>
      <c r="F668" s="3">
        <v>46118</v>
      </c>
      <c r="G668" s="3">
        <v>46126</v>
      </c>
      <c r="H668" s="3">
        <v>46125</v>
      </c>
      <c r="I668" s="2">
        <v>494</v>
      </c>
      <c r="J668" s="2">
        <v>5</v>
      </c>
    </row>
    <row r="669" spans="1:10">
      <c r="A669" s="2" t="s">
        <v>1118</v>
      </c>
      <c r="B669" s="2" t="s">
        <v>43</v>
      </c>
      <c r="C669" s="2" t="s">
        <v>12</v>
      </c>
      <c r="D669" s="2" t="s">
        <v>1119</v>
      </c>
      <c r="E669" s="2">
        <v>627</v>
      </c>
      <c r="F669" s="3">
        <v>46081</v>
      </c>
      <c r="G669" s="3">
        <v>46090</v>
      </c>
      <c r="H669" s="3">
        <v>46087</v>
      </c>
      <c r="I669" s="2">
        <v>638</v>
      </c>
      <c r="J669" s="2">
        <v>40</v>
      </c>
    </row>
    <row r="670" spans="1:10">
      <c r="A670" s="2" t="s">
        <v>1120</v>
      </c>
      <c r="B670" s="2" t="s">
        <v>371</v>
      </c>
      <c r="C670" s="2" t="s">
        <v>12</v>
      </c>
      <c r="D670" s="2" t="s">
        <v>305</v>
      </c>
      <c r="E670" s="2">
        <v>265</v>
      </c>
      <c r="F670" s="3">
        <v>46165</v>
      </c>
      <c r="G670" s="3">
        <v>46171</v>
      </c>
      <c r="H670" s="3">
        <v>46168</v>
      </c>
      <c r="I670" s="2">
        <v>267</v>
      </c>
      <c r="J670" s="2">
        <v>6</v>
      </c>
    </row>
    <row r="671" spans="1:10">
      <c r="A671" s="2" t="s">
        <v>1121</v>
      </c>
      <c r="B671" s="2" t="s">
        <v>1122</v>
      </c>
      <c r="C671" s="2" t="s">
        <v>12</v>
      </c>
      <c r="D671" s="2" t="s">
        <v>478</v>
      </c>
      <c r="E671" s="2">
        <v>791</v>
      </c>
      <c r="F671" s="3">
        <v>46122</v>
      </c>
      <c r="G671" s="3">
        <v>46132</v>
      </c>
      <c r="H671" s="3">
        <v>46130</v>
      </c>
      <c r="I671" s="2">
        <v>787</v>
      </c>
      <c r="J671" s="2">
        <v>45</v>
      </c>
    </row>
    <row r="672" spans="1:10">
      <c r="A672" s="2" t="s">
        <v>1123</v>
      </c>
      <c r="B672" s="2" t="s">
        <v>11</v>
      </c>
      <c r="C672" s="2" t="s">
        <v>23</v>
      </c>
      <c r="D672" s="2" t="s">
        <v>1124</v>
      </c>
      <c r="E672" s="2">
        <v>593</v>
      </c>
      <c r="F672" s="3">
        <v>46175</v>
      </c>
      <c r="G672" s="3">
        <v>46190</v>
      </c>
      <c r="H672" s="3">
        <v>46188</v>
      </c>
      <c r="I672" s="2">
        <v>586</v>
      </c>
      <c r="J672" s="2">
        <v>11</v>
      </c>
    </row>
    <row r="673" spans="1:10">
      <c r="A673" s="2" t="s">
        <v>1125</v>
      </c>
      <c r="B673" s="2" t="s">
        <v>43</v>
      </c>
      <c r="C673" s="2" t="s">
        <v>16</v>
      </c>
      <c r="D673" s="2" t="s">
        <v>164</v>
      </c>
      <c r="E673" s="2">
        <v>783</v>
      </c>
      <c r="F673" s="3">
        <v>46143</v>
      </c>
      <c r="G673" s="3">
        <v>46151</v>
      </c>
      <c r="H673" s="3">
        <v>46148</v>
      </c>
      <c r="I673" s="2">
        <v>778</v>
      </c>
      <c r="J673" s="2">
        <v>24</v>
      </c>
    </row>
    <row r="674" spans="1:10">
      <c r="A674" s="2" t="s">
        <v>1002</v>
      </c>
      <c r="B674" s="2" t="s">
        <v>26</v>
      </c>
      <c r="C674" s="2" t="s">
        <v>12</v>
      </c>
      <c r="D674" s="2" t="s">
        <v>1003</v>
      </c>
      <c r="E674" s="2">
        <v>469</v>
      </c>
      <c r="F674" s="3">
        <v>46047</v>
      </c>
      <c r="G674" s="3">
        <v>46056</v>
      </c>
      <c r="H674" s="3">
        <v>46054</v>
      </c>
      <c r="I674" s="2">
        <v>470</v>
      </c>
      <c r="J674" s="2">
        <v>3</v>
      </c>
    </row>
    <row r="675" spans="1:10">
      <c r="A675" s="2" t="s">
        <v>1126</v>
      </c>
      <c r="B675" s="2" t="s">
        <v>81</v>
      </c>
      <c r="C675" s="2" t="s">
        <v>16</v>
      </c>
      <c r="D675" s="2"/>
      <c r="E675" s="2">
        <v>132</v>
      </c>
      <c r="F675" s="3">
        <v>46121</v>
      </c>
      <c r="G675" s="3">
        <v>46134</v>
      </c>
      <c r="H675" s="3">
        <v>46141</v>
      </c>
      <c r="I675" s="2">
        <v>116</v>
      </c>
      <c r="J675" s="2">
        <v>0</v>
      </c>
    </row>
    <row r="676" spans="1:10">
      <c r="A676" s="2" t="s">
        <v>1127</v>
      </c>
      <c r="B676" s="2" t="s">
        <v>713</v>
      </c>
      <c r="C676" s="2" t="s">
        <v>12</v>
      </c>
      <c r="D676" s="2" t="s">
        <v>864</v>
      </c>
      <c r="E676" s="2">
        <v>157</v>
      </c>
      <c r="F676" s="3">
        <v>46109</v>
      </c>
      <c r="G676" s="3">
        <v>46124</v>
      </c>
      <c r="H676" s="3">
        <v>46124</v>
      </c>
      <c r="I676" s="2">
        <v>141</v>
      </c>
      <c r="J676" s="2">
        <v>6</v>
      </c>
    </row>
    <row r="677" spans="1:10">
      <c r="A677" s="2" t="s">
        <v>1128</v>
      </c>
      <c r="B677" s="2" t="s">
        <v>1122</v>
      </c>
      <c r="C677" s="2" t="s">
        <v>23</v>
      </c>
      <c r="D677" s="2" t="s">
        <v>748</v>
      </c>
      <c r="E677" s="2">
        <v>222</v>
      </c>
      <c r="F677" s="3">
        <v>46151</v>
      </c>
      <c r="G677" s="3">
        <v>46159</v>
      </c>
      <c r="H677" s="3">
        <v>46156</v>
      </c>
      <c r="I677" s="2">
        <v>219</v>
      </c>
      <c r="J677" s="2">
        <v>11</v>
      </c>
    </row>
    <row r="678" spans="1:10">
      <c r="A678" s="2" t="s">
        <v>1129</v>
      </c>
      <c r="B678" s="2" t="s">
        <v>11</v>
      </c>
      <c r="C678" s="2" t="s">
        <v>12</v>
      </c>
      <c r="D678" s="2" t="s">
        <v>970</v>
      </c>
      <c r="E678" s="2">
        <v>568</v>
      </c>
      <c r="F678" s="3">
        <v>46038</v>
      </c>
      <c r="G678" s="3">
        <v>46053</v>
      </c>
      <c r="H678" s="2"/>
      <c r="I678" s="2"/>
      <c r="J678" s="2"/>
    </row>
    <row r="679" spans="1:10">
      <c r="A679" s="2" t="s">
        <v>1130</v>
      </c>
      <c r="B679" s="2" t="s">
        <v>11</v>
      </c>
      <c r="C679" s="2" t="s">
        <v>12</v>
      </c>
      <c r="D679" s="2" t="s">
        <v>376</v>
      </c>
      <c r="E679" s="2">
        <v>759</v>
      </c>
      <c r="F679" s="3">
        <v>46095</v>
      </c>
      <c r="G679" s="3">
        <v>46106</v>
      </c>
      <c r="H679" s="3">
        <v>46104</v>
      </c>
      <c r="I679" s="2">
        <v>771</v>
      </c>
      <c r="J679" s="2">
        <v>11</v>
      </c>
    </row>
    <row r="680" spans="1:10">
      <c r="A680" s="2" t="s">
        <v>1131</v>
      </c>
      <c r="B680" s="2" t="s">
        <v>52</v>
      </c>
      <c r="C680" s="2" t="s">
        <v>12</v>
      </c>
      <c r="D680" s="2" t="s">
        <v>1058</v>
      </c>
      <c r="E680" s="2">
        <v>130</v>
      </c>
      <c r="F680" s="3">
        <v>46105</v>
      </c>
      <c r="G680" s="3">
        <v>46119</v>
      </c>
      <c r="H680" s="3">
        <v>46117</v>
      </c>
      <c r="I680" s="2">
        <v>130</v>
      </c>
      <c r="J680" s="2">
        <v>2</v>
      </c>
    </row>
    <row r="681" spans="1:10">
      <c r="A681" s="2" t="s">
        <v>1132</v>
      </c>
      <c r="B681" s="2" t="s">
        <v>52</v>
      </c>
      <c r="C681" s="2" t="s">
        <v>16</v>
      </c>
      <c r="D681" s="2" t="s">
        <v>158</v>
      </c>
      <c r="E681" s="2">
        <v>216</v>
      </c>
      <c r="F681" s="3">
        <v>46115</v>
      </c>
      <c r="G681" s="3">
        <v>46120</v>
      </c>
      <c r="H681" s="3">
        <v>46118</v>
      </c>
      <c r="I681" s="2">
        <v>216</v>
      </c>
      <c r="J681" s="2">
        <v>4</v>
      </c>
    </row>
    <row r="682" spans="1:10">
      <c r="A682" s="2" t="s">
        <v>1133</v>
      </c>
      <c r="B682" s="2" t="s">
        <v>40</v>
      </c>
      <c r="C682" s="2" t="s">
        <v>23</v>
      </c>
      <c r="D682" s="2" t="s">
        <v>219</v>
      </c>
      <c r="E682" s="2">
        <v>178</v>
      </c>
      <c r="F682" s="3">
        <v>46138</v>
      </c>
      <c r="G682" s="3">
        <v>46151</v>
      </c>
      <c r="H682" s="3">
        <v>46149</v>
      </c>
      <c r="I682" s="2">
        <v>178</v>
      </c>
      <c r="J682" s="2">
        <v>12</v>
      </c>
    </row>
    <row r="683" spans="1:10">
      <c r="A683" s="2" t="s">
        <v>1134</v>
      </c>
      <c r="B683" s="2" t="s">
        <v>1135</v>
      </c>
      <c r="C683" s="2" t="s">
        <v>16</v>
      </c>
      <c r="D683" s="2" t="s">
        <v>283</v>
      </c>
      <c r="E683" s="2">
        <v>235</v>
      </c>
      <c r="F683" s="3">
        <v>46055</v>
      </c>
      <c r="G683" s="3">
        <v>46064</v>
      </c>
      <c r="H683" s="3">
        <v>46071</v>
      </c>
      <c r="I683" s="2">
        <v>231</v>
      </c>
      <c r="J683" s="2">
        <v>0</v>
      </c>
    </row>
    <row r="684" spans="1:10">
      <c r="A684" s="2" t="s">
        <v>1136</v>
      </c>
      <c r="B684" s="2" t="s">
        <v>390</v>
      </c>
      <c r="C684" s="2" t="s">
        <v>16</v>
      </c>
      <c r="D684" s="2" t="s">
        <v>810</v>
      </c>
      <c r="E684" s="2">
        <v>497</v>
      </c>
      <c r="F684" s="3">
        <v>46123</v>
      </c>
      <c r="G684" s="3">
        <v>46135</v>
      </c>
      <c r="H684" s="3">
        <v>46135</v>
      </c>
      <c r="I684" s="2">
        <v>504</v>
      </c>
      <c r="J684" s="2">
        <v>14</v>
      </c>
    </row>
    <row r="685" spans="1:10">
      <c r="A685" s="2" t="s">
        <v>1137</v>
      </c>
      <c r="B685" s="2" t="s">
        <v>11</v>
      </c>
      <c r="C685" s="2" t="s">
        <v>16</v>
      </c>
      <c r="D685" s="2" t="s">
        <v>813</v>
      </c>
      <c r="E685" s="2">
        <v>254</v>
      </c>
      <c r="F685" s="3">
        <v>46104</v>
      </c>
      <c r="G685" s="3">
        <v>46111</v>
      </c>
      <c r="H685" s="3">
        <v>46109</v>
      </c>
      <c r="I685" s="2">
        <v>253</v>
      </c>
      <c r="J685" s="2">
        <v>6</v>
      </c>
    </row>
    <row r="686" spans="1:10">
      <c r="A686" s="2" t="s">
        <v>1138</v>
      </c>
      <c r="B686" s="2" t="s">
        <v>81</v>
      </c>
      <c r="C686" s="2" t="s">
        <v>16</v>
      </c>
      <c r="D686" s="2" t="s">
        <v>90</v>
      </c>
      <c r="E686" s="2">
        <v>99</v>
      </c>
      <c r="F686" s="3">
        <v>46103</v>
      </c>
      <c r="G686" s="3">
        <v>46116</v>
      </c>
      <c r="H686" s="3">
        <v>46116</v>
      </c>
      <c r="I686" s="2">
        <v>89</v>
      </c>
      <c r="J686" s="2">
        <v>1</v>
      </c>
    </row>
    <row r="687" spans="1:10">
      <c r="A687" s="2" t="s">
        <v>1139</v>
      </c>
      <c r="B687" s="2" t="s">
        <v>120</v>
      </c>
      <c r="C687" s="2" t="s">
        <v>23</v>
      </c>
      <c r="D687" s="2" t="s">
        <v>1140</v>
      </c>
      <c r="E687" s="2">
        <v>603</v>
      </c>
      <c r="F687" s="3">
        <v>46128</v>
      </c>
      <c r="G687" s="3">
        <v>46134</v>
      </c>
      <c r="H687" s="3">
        <v>46134</v>
      </c>
      <c r="I687" s="2">
        <v>614</v>
      </c>
      <c r="J687" s="2">
        <v>31</v>
      </c>
    </row>
    <row r="688" spans="1:10">
      <c r="A688" s="2" t="s">
        <v>1141</v>
      </c>
      <c r="B688" s="2" t="s">
        <v>965</v>
      </c>
      <c r="C688" s="2" t="s">
        <v>12</v>
      </c>
      <c r="D688" s="2" t="s">
        <v>540</v>
      </c>
      <c r="E688" s="2">
        <v>858</v>
      </c>
      <c r="F688" s="3">
        <v>46038</v>
      </c>
      <c r="G688" s="3">
        <v>46045</v>
      </c>
      <c r="H688" s="3">
        <v>46043</v>
      </c>
      <c r="I688" s="2">
        <v>863</v>
      </c>
      <c r="J688" s="2">
        <v>12</v>
      </c>
    </row>
    <row r="689" spans="1:10">
      <c r="A689" s="2" t="s">
        <v>1142</v>
      </c>
      <c r="B689" s="2" t="s">
        <v>11</v>
      </c>
      <c r="C689" s="2" t="s">
        <v>12</v>
      </c>
      <c r="D689" s="2" t="s">
        <v>403</v>
      </c>
      <c r="E689" s="2">
        <v>779</v>
      </c>
      <c r="F689" s="3">
        <v>46092</v>
      </c>
      <c r="G689" s="3">
        <v>46100</v>
      </c>
      <c r="H689" s="3">
        <v>46097</v>
      </c>
      <c r="I689" s="2">
        <v>768</v>
      </c>
      <c r="J689" s="2">
        <v>22</v>
      </c>
    </row>
    <row r="690" spans="1:10">
      <c r="A690" s="2" t="s">
        <v>1143</v>
      </c>
      <c r="B690" s="2" t="s">
        <v>1144</v>
      </c>
      <c r="C690" s="2" t="s">
        <v>16</v>
      </c>
      <c r="D690" s="2" t="s">
        <v>150</v>
      </c>
      <c r="E690" s="2">
        <v>412</v>
      </c>
      <c r="F690" s="3">
        <v>46173</v>
      </c>
      <c r="G690" s="3">
        <v>46188</v>
      </c>
      <c r="H690" s="3">
        <v>46185</v>
      </c>
      <c r="I690" s="2">
        <v>411</v>
      </c>
      <c r="J690" s="2">
        <v>11</v>
      </c>
    </row>
    <row r="691" spans="1:10">
      <c r="A691" s="2" t="s">
        <v>1145</v>
      </c>
      <c r="B691" s="2" t="s">
        <v>11</v>
      </c>
      <c r="C691" s="2" t="s">
        <v>16</v>
      </c>
      <c r="D691" s="2" t="s">
        <v>90</v>
      </c>
      <c r="E691" s="2">
        <v>685</v>
      </c>
      <c r="F691" s="3">
        <v>46097</v>
      </c>
      <c r="G691" s="3">
        <v>46107</v>
      </c>
      <c r="H691" s="3">
        <v>46106</v>
      </c>
      <c r="I691" s="2">
        <v>681</v>
      </c>
      <c r="J691" s="2">
        <v>24</v>
      </c>
    </row>
    <row r="692" spans="1:10">
      <c r="A692" s="2" t="s">
        <v>1146</v>
      </c>
      <c r="B692" s="2" t="s">
        <v>1147</v>
      </c>
      <c r="C692" s="2" t="s">
        <v>12</v>
      </c>
      <c r="D692" s="2" t="s">
        <v>178</v>
      </c>
      <c r="E692" s="2">
        <v>346</v>
      </c>
      <c r="F692" s="3">
        <v>46128</v>
      </c>
      <c r="G692" s="3">
        <v>46142</v>
      </c>
      <c r="H692" s="3">
        <v>46140</v>
      </c>
      <c r="I692" s="2">
        <v>350</v>
      </c>
      <c r="J692" s="2">
        <v>13</v>
      </c>
    </row>
    <row r="693" spans="1:10">
      <c r="A693" s="2" t="s">
        <v>1148</v>
      </c>
      <c r="B693" s="2" t="s">
        <v>32</v>
      </c>
      <c r="C693" s="2" t="s">
        <v>12</v>
      </c>
      <c r="D693" s="2" t="s">
        <v>204</v>
      </c>
      <c r="E693" s="2">
        <v>954</v>
      </c>
      <c r="F693" s="3">
        <v>46090</v>
      </c>
      <c r="G693" s="3">
        <v>46101</v>
      </c>
      <c r="H693" s="3">
        <v>46099</v>
      </c>
      <c r="I693" s="2">
        <v>948</v>
      </c>
      <c r="J693" s="2">
        <v>18</v>
      </c>
    </row>
    <row r="694" spans="1:10">
      <c r="A694" s="2" t="s">
        <v>1149</v>
      </c>
      <c r="B694" s="2" t="s">
        <v>120</v>
      </c>
      <c r="C694" s="2" t="s">
        <v>12</v>
      </c>
      <c r="D694" s="2" t="s">
        <v>711</v>
      </c>
      <c r="E694" s="2">
        <v>468</v>
      </c>
      <c r="F694" s="3">
        <v>46047</v>
      </c>
      <c r="G694" s="3">
        <v>46061</v>
      </c>
      <c r="H694" s="3">
        <v>46058</v>
      </c>
      <c r="I694" s="2">
        <v>468</v>
      </c>
      <c r="J694" s="2">
        <v>2</v>
      </c>
    </row>
    <row r="695" spans="1:10">
      <c r="A695" s="2" t="s">
        <v>1150</v>
      </c>
      <c r="B695" s="2" t="s">
        <v>1151</v>
      </c>
      <c r="C695" s="2" t="s">
        <v>12</v>
      </c>
      <c r="D695" s="2" t="s">
        <v>336</v>
      </c>
      <c r="E695" s="2">
        <v>952</v>
      </c>
      <c r="F695" s="3">
        <v>46103</v>
      </c>
      <c r="G695" s="3">
        <v>46115</v>
      </c>
      <c r="H695" s="3">
        <v>46114</v>
      </c>
      <c r="I695" s="2">
        <v>794</v>
      </c>
      <c r="J695" s="2">
        <v>0</v>
      </c>
    </row>
    <row r="696" spans="1:10">
      <c r="A696" s="2" t="s">
        <v>1152</v>
      </c>
      <c r="B696" s="2" t="s">
        <v>46</v>
      </c>
      <c r="C696" s="2" t="s">
        <v>16</v>
      </c>
      <c r="D696" s="2" t="s">
        <v>1153</v>
      </c>
      <c r="E696" s="2">
        <v>733</v>
      </c>
      <c r="F696" s="3">
        <v>46093</v>
      </c>
      <c r="G696" s="3">
        <v>46102</v>
      </c>
      <c r="H696" s="3">
        <v>46101</v>
      </c>
      <c r="I696" s="2">
        <v>737</v>
      </c>
      <c r="J696" s="2">
        <v>4</v>
      </c>
    </row>
    <row r="697" spans="1:10">
      <c r="A697" s="2" t="s">
        <v>1154</v>
      </c>
      <c r="B697" s="2" t="s">
        <v>32</v>
      </c>
      <c r="C697" s="2" t="s">
        <v>16</v>
      </c>
      <c r="D697" s="2" t="s">
        <v>1155</v>
      </c>
      <c r="E697" s="2">
        <v>454</v>
      </c>
      <c r="F697" s="3">
        <v>46141</v>
      </c>
      <c r="G697" s="3">
        <v>46151</v>
      </c>
      <c r="H697" s="3">
        <v>46149</v>
      </c>
      <c r="I697" s="2">
        <v>452</v>
      </c>
      <c r="J697" s="2">
        <v>31</v>
      </c>
    </row>
    <row r="698" spans="1:10">
      <c r="A698" s="2" t="s">
        <v>1156</v>
      </c>
      <c r="B698" s="2" t="s">
        <v>11</v>
      </c>
      <c r="C698" s="2" t="s">
        <v>16</v>
      </c>
      <c r="D698" s="2" t="s">
        <v>597</v>
      </c>
      <c r="E698" s="2">
        <v>158</v>
      </c>
      <c r="F698" s="3">
        <v>46123</v>
      </c>
      <c r="G698" s="3">
        <v>46129</v>
      </c>
      <c r="H698" s="3">
        <v>46127</v>
      </c>
      <c r="I698" s="2">
        <v>157</v>
      </c>
      <c r="J698" s="2">
        <v>3</v>
      </c>
    </row>
    <row r="699" spans="1:10">
      <c r="A699" s="2" t="s">
        <v>1157</v>
      </c>
      <c r="B699" s="2" t="s">
        <v>1158</v>
      </c>
      <c r="C699" s="2" t="s">
        <v>16</v>
      </c>
      <c r="D699" s="2" t="s">
        <v>71</v>
      </c>
      <c r="E699" s="2">
        <v>444</v>
      </c>
      <c r="F699" s="3">
        <v>46124</v>
      </c>
      <c r="G699" s="3">
        <v>46136</v>
      </c>
      <c r="H699" s="3">
        <v>46134</v>
      </c>
      <c r="I699" s="2">
        <v>435</v>
      </c>
      <c r="J699" s="2">
        <v>18</v>
      </c>
    </row>
    <row r="700" spans="1:10">
      <c r="A700" s="2" t="s">
        <v>1159</v>
      </c>
      <c r="B700" s="2" t="s">
        <v>35</v>
      </c>
      <c r="C700" s="2" t="s">
        <v>16</v>
      </c>
      <c r="D700" s="2" t="s">
        <v>1160</v>
      </c>
      <c r="E700" s="2">
        <v>578</v>
      </c>
      <c r="F700" s="3">
        <v>46176</v>
      </c>
      <c r="G700" s="3">
        <v>46187</v>
      </c>
      <c r="H700" s="3">
        <v>46194</v>
      </c>
      <c r="I700" s="2">
        <v>583</v>
      </c>
      <c r="J700" s="2">
        <v>9</v>
      </c>
    </row>
    <row r="701" spans="1:10">
      <c r="A701" s="2" t="s">
        <v>1161</v>
      </c>
      <c r="B701" s="2" t="s">
        <v>576</v>
      </c>
      <c r="C701" s="2" t="s">
        <v>16</v>
      </c>
      <c r="D701" s="2" t="s">
        <v>298</v>
      </c>
      <c r="E701" s="2">
        <v>307</v>
      </c>
      <c r="F701" s="3">
        <v>46040</v>
      </c>
      <c r="G701" s="3">
        <v>46052</v>
      </c>
      <c r="H701" s="3">
        <v>46050</v>
      </c>
      <c r="I701" s="2">
        <v>312</v>
      </c>
      <c r="J701" s="2">
        <v>6</v>
      </c>
    </row>
    <row r="702" spans="1:10">
      <c r="A702" s="2" t="s">
        <v>1162</v>
      </c>
      <c r="B702" s="2" t="s">
        <v>11</v>
      </c>
      <c r="C702" s="2" t="s">
        <v>12</v>
      </c>
      <c r="D702" s="2" t="s">
        <v>1163</v>
      </c>
      <c r="E702" s="2">
        <v>106</v>
      </c>
      <c r="F702" s="3">
        <v>46152</v>
      </c>
      <c r="G702" s="3">
        <v>46163</v>
      </c>
      <c r="H702" s="3">
        <v>46170</v>
      </c>
      <c r="I702" s="2">
        <v>105</v>
      </c>
      <c r="J702" s="2">
        <v>3</v>
      </c>
    </row>
    <row r="703" spans="1:10">
      <c r="A703" s="2" t="s">
        <v>1164</v>
      </c>
      <c r="B703" s="2" t="s">
        <v>32</v>
      </c>
      <c r="C703" s="2" t="s">
        <v>12</v>
      </c>
      <c r="D703" s="2" t="s">
        <v>352</v>
      </c>
      <c r="E703" s="2">
        <v>489</v>
      </c>
      <c r="F703" s="3">
        <v>46030</v>
      </c>
      <c r="G703" s="3">
        <v>46041</v>
      </c>
      <c r="H703" s="2"/>
      <c r="I703" s="2"/>
      <c r="J703" s="2"/>
    </row>
    <row r="704" spans="1:10">
      <c r="A704" s="2" t="s">
        <v>1165</v>
      </c>
      <c r="B704" s="2" t="s">
        <v>29</v>
      </c>
      <c r="C704" s="2" t="s">
        <v>16</v>
      </c>
      <c r="D704" s="2" t="s">
        <v>162</v>
      </c>
      <c r="E704" s="2">
        <v>538</v>
      </c>
      <c r="F704" s="3">
        <v>46098</v>
      </c>
      <c r="G704" s="3">
        <v>46110</v>
      </c>
      <c r="H704" s="3">
        <v>46107</v>
      </c>
      <c r="I704" s="2">
        <v>545</v>
      </c>
      <c r="J704" s="2">
        <v>4</v>
      </c>
    </row>
    <row r="705" spans="1:10">
      <c r="A705" s="2" t="s">
        <v>1166</v>
      </c>
      <c r="B705" s="2" t="s">
        <v>120</v>
      </c>
      <c r="C705" s="2" t="s">
        <v>23</v>
      </c>
      <c r="D705" s="2" t="s">
        <v>763</v>
      </c>
      <c r="E705" s="2">
        <v>923</v>
      </c>
      <c r="F705" s="3">
        <v>46073</v>
      </c>
      <c r="G705" s="3">
        <v>46081</v>
      </c>
      <c r="H705" s="3">
        <v>46080</v>
      </c>
      <c r="I705" s="2">
        <v>920</v>
      </c>
      <c r="J705" s="2">
        <v>45</v>
      </c>
    </row>
    <row r="706" spans="1:10">
      <c r="A706" s="2" t="s">
        <v>1167</v>
      </c>
      <c r="B706" s="2" t="s">
        <v>635</v>
      </c>
      <c r="C706" s="2" t="s">
        <v>23</v>
      </c>
      <c r="D706" s="2" t="s">
        <v>1168</v>
      </c>
      <c r="E706" s="2">
        <v>726</v>
      </c>
      <c r="F706" s="3">
        <v>46043</v>
      </c>
      <c r="G706" s="3">
        <v>46055</v>
      </c>
      <c r="H706" s="3">
        <v>46055</v>
      </c>
      <c r="I706" s="2">
        <v>642</v>
      </c>
      <c r="J706" s="2">
        <v>23</v>
      </c>
    </row>
    <row r="707" spans="1:10">
      <c r="A707" s="2" t="s">
        <v>1169</v>
      </c>
      <c r="B707" s="2" t="s">
        <v>1170</v>
      </c>
      <c r="C707" s="2" t="s">
        <v>12</v>
      </c>
      <c r="D707" s="2" t="s">
        <v>307</v>
      </c>
      <c r="E707" s="2">
        <v>149</v>
      </c>
      <c r="F707" s="3">
        <v>46115</v>
      </c>
      <c r="G707" s="3">
        <v>46121</v>
      </c>
      <c r="H707" s="3">
        <v>46121</v>
      </c>
      <c r="I707" s="2">
        <v>147</v>
      </c>
      <c r="J707" s="2">
        <v>3</v>
      </c>
    </row>
    <row r="708" spans="1:10">
      <c r="A708" s="2" t="s">
        <v>1171</v>
      </c>
      <c r="B708" s="2" t="s">
        <v>635</v>
      </c>
      <c r="C708" s="2" t="s">
        <v>12</v>
      </c>
      <c r="D708" s="2" t="s">
        <v>38</v>
      </c>
      <c r="E708" s="2">
        <v>431</v>
      </c>
      <c r="F708" s="3">
        <v>46083</v>
      </c>
      <c r="G708" s="3">
        <v>46091</v>
      </c>
      <c r="H708" s="3">
        <v>46089</v>
      </c>
      <c r="I708" s="2">
        <v>382</v>
      </c>
      <c r="J708" s="2">
        <v>22</v>
      </c>
    </row>
    <row r="709" spans="1:10">
      <c r="A709" s="2" t="s">
        <v>1172</v>
      </c>
      <c r="B709" s="2" t="s">
        <v>81</v>
      </c>
      <c r="C709" s="2" t="s">
        <v>12</v>
      </c>
      <c r="D709" s="2" t="s">
        <v>864</v>
      </c>
      <c r="E709" s="2">
        <v>721</v>
      </c>
      <c r="F709" s="3">
        <v>46036</v>
      </c>
      <c r="G709" s="3">
        <v>46049</v>
      </c>
      <c r="H709" s="3">
        <v>46047</v>
      </c>
      <c r="I709" s="2">
        <v>662</v>
      </c>
      <c r="J709" s="2">
        <v>12</v>
      </c>
    </row>
    <row r="710" spans="1:10">
      <c r="A710" s="2" t="s">
        <v>1173</v>
      </c>
      <c r="B710" s="2" t="s">
        <v>120</v>
      </c>
      <c r="C710" s="2" t="s">
        <v>12</v>
      </c>
      <c r="D710" s="2" t="s">
        <v>1174</v>
      </c>
      <c r="E710" s="2">
        <v>820</v>
      </c>
      <c r="F710" s="3">
        <v>46040</v>
      </c>
      <c r="G710" s="3">
        <v>46051</v>
      </c>
      <c r="H710" s="3">
        <v>46048</v>
      </c>
      <c r="I710" s="2">
        <v>714</v>
      </c>
      <c r="J710" s="2">
        <v>22</v>
      </c>
    </row>
    <row r="711" spans="1:10">
      <c r="A711" s="2" t="s">
        <v>1175</v>
      </c>
      <c r="B711" s="2" t="s">
        <v>528</v>
      </c>
      <c r="C711" s="2" t="s">
        <v>12</v>
      </c>
      <c r="D711" s="2" t="s">
        <v>1176</v>
      </c>
      <c r="E711" s="2">
        <v>109</v>
      </c>
      <c r="F711" s="3">
        <v>46130</v>
      </c>
      <c r="G711" s="3">
        <v>46137</v>
      </c>
      <c r="H711" s="3">
        <v>46137</v>
      </c>
      <c r="I711" s="2">
        <v>90</v>
      </c>
      <c r="J711" s="2">
        <v>1</v>
      </c>
    </row>
    <row r="712" spans="1:10">
      <c r="A712" s="2" t="s">
        <v>1177</v>
      </c>
      <c r="B712" s="2" t="s">
        <v>965</v>
      </c>
      <c r="C712" s="2" t="s">
        <v>23</v>
      </c>
      <c r="D712" s="2" t="s">
        <v>512</v>
      </c>
      <c r="E712" s="2">
        <v>421</v>
      </c>
      <c r="F712" s="3">
        <v>46144</v>
      </c>
      <c r="G712" s="3">
        <v>46153</v>
      </c>
      <c r="H712" s="3">
        <v>46150</v>
      </c>
      <c r="I712" s="2">
        <v>413</v>
      </c>
      <c r="J712" s="2">
        <v>1</v>
      </c>
    </row>
    <row r="713" spans="1:10">
      <c r="A713" s="2" t="s">
        <v>1178</v>
      </c>
      <c r="B713" s="2" t="s">
        <v>64</v>
      </c>
      <c r="C713" s="2" t="s">
        <v>16</v>
      </c>
      <c r="D713" s="2" t="s">
        <v>17</v>
      </c>
      <c r="E713" s="2">
        <v>289</v>
      </c>
      <c r="F713" s="3">
        <v>46088</v>
      </c>
      <c r="G713" s="3">
        <v>46097</v>
      </c>
      <c r="H713" s="3">
        <v>46106</v>
      </c>
      <c r="I713" s="2">
        <v>260</v>
      </c>
      <c r="J713" s="2">
        <v>16</v>
      </c>
    </row>
    <row r="714" spans="1:10">
      <c r="A714" s="2" t="s">
        <v>1179</v>
      </c>
      <c r="B714" s="2" t="s">
        <v>26</v>
      </c>
      <c r="C714" s="2" t="s">
        <v>23</v>
      </c>
      <c r="D714" s="2" t="s">
        <v>631</v>
      </c>
      <c r="E714" s="2">
        <v>700</v>
      </c>
      <c r="F714" s="3">
        <v>46123</v>
      </c>
      <c r="G714" s="3">
        <v>46131</v>
      </c>
      <c r="H714" s="3">
        <v>46130</v>
      </c>
      <c r="I714" s="2">
        <v>690</v>
      </c>
      <c r="J714" s="2">
        <v>18</v>
      </c>
    </row>
    <row r="715" spans="1:10">
      <c r="A715" s="2" t="s">
        <v>1180</v>
      </c>
      <c r="B715" s="2" t="s">
        <v>54</v>
      </c>
      <c r="C715" s="2" t="s">
        <v>23</v>
      </c>
      <c r="D715" s="2" t="s">
        <v>1181</v>
      </c>
      <c r="E715" s="2">
        <v>271</v>
      </c>
      <c r="F715" s="3">
        <v>46072</v>
      </c>
      <c r="G715" s="3">
        <v>46081</v>
      </c>
      <c r="H715" s="3">
        <v>46081</v>
      </c>
      <c r="I715" s="2">
        <v>269</v>
      </c>
      <c r="J715" s="2">
        <v>0</v>
      </c>
    </row>
    <row r="716" spans="1:10">
      <c r="A716" s="2" t="s">
        <v>1182</v>
      </c>
      <c r="B716" s="2" t="s">
        <v>43</v>
      </c>
      <c r="C716" s="2" t="s">
        <v>16</v>
      </c>
      <c r="D716" s="2" t="s">
        <v>17</v>
      </c>
      <c r="E716" s="2">
        <v>788</v>
      </c>
      <c r="F716" s="3">
        <v>46086</v>
      </c>
      <c r="G716" s="3">
        <v>46096</v>
      </c>
      <c r="H716" s="3">
        <v>46093</v>
      </c>
      <c r="I716" s="2">
        <v>791</v>
      </c>
      <c r="J716" s="2">
        <v>53</v>
      </c>
    </row>
    <row r="717" spans="1:10">
      <c r="A717" s="2" t="s">
        <v>1183</v>
      </c>
      <c r="B717" s="2" t="s">
        <v>67</v>
      </c>
      <c r="C717" s="2" t="s">
        <v>16</v>
      </c>
      <c r="D717" s="2" t="s">
        <v>432</v>
      </c>
      <c r="E717" s="2">
        <v>725</v>
      </c>
      <c r="F717" s="3">
        <v>46156</v>
      </c>
      <c r="G717" s="3">
        <v>46161</v>
      </c>
      <c r="H717" s="3">
        <v>46159</v>
      </c>
      <c r="I717" s="2">
        <v>653</v>
      </c>
      <c r="J717" s="2">
        <v>27</v>
      </c>
    </row>
    <row r="718" spans="1:10">
      <c r="A718" s="2" t="s">
        <v>1184</v>
      </c>
      <c r="B718" s="2" t="s">
        <v>29</v>
      </c>
      <c r="C718" s="2" t="s">
        <v>16</v>
      </c>
      <c r="D718" s="2" t="s">
        <v>207</v>
      </c>
      <c r="E718" s="2">
        <v>367</v>
      </c>
      <c r="F718" s="3">
        <v>46040</v>
      </c>
      <c r="G718" s="3">
        <v>46055</v>
      </c>
      <c r="H718" s="3">
        <v>46053</v>
      </c>
      <c r="I718" s="2">
        <v>372</v>
      </c>
      <c r="J718" s="2">
        <v>1</v>
      </c>
    </row>
    <row r="719" spans="1:10">
      <c r="A719" s="2" t="s">
        <v>1185</v>
      </c>
      <c r="B719" s="2" t="s">
        <v>32</v>
      </c>
      <c r="C719" s="2" t="s">
        <v>12</v>
      </c>
      <c r="D719" s="2" t="s">
        <v>96</v>
      </c>
      <c r="E719" s="2">
        <v>703</v>
      </c>
      <c r="F719" s="3">
        <v>46156</v>
      </c>
      <c r="G719" s="3">
        <v>46167</v>
      </c>
      <c r="H719" s="3">
        <v>46170</v>
      </c>
      <c r="I719" s="2">
        <v>693</v>
      </c>
      <c r="J719" s="2">
        <v>24</v>
      </c>
    </row>
    <row r="720" spans="1:10">
      <c r="A720" s="2" t="s">
        <v>1186</v>
      </c>
      <c r="B720" s="2" t="s">
        <v>54</v>
      </c>
      <c r="C720" s="2" t="s">
        <v>12</v>
      </c>
      <c r="D720" s="2" t="s">
        <v>105</v>
      </c>
      <c r="E720" s="2">
        <v>482</v>
      </c>
      <c r="F720" s="3">
        <v>46116</v>
      </c>
      <c r="G720" s="3">
        <v>46131</v>
      </c>
      <c r="H720" s="3">
        <v>46129</v>
      </c>
      <c r="I720" s="2">
        <v>485</v>
      </c>
      <c r="J720" s="2">
        <v>2</v>
      </c>
    </row>
    <row r="721" spans="1:10">
      <c r="A721" s="2" t="s">
        <v>1187</v>
      </c>
      <c r="B721" s="2" t="s">
        <v>54</v>
      </c>
      <c r="C721" s="2" t="s">
        <v>16</v>
      </c>
      <c r="D721" s="2" t="s">
        <v>79</v>
      </c>
      <c r="E721" s="2">
        <v>898</v>
      </c>
      <c r="F721" s="3">
        <v>46035</v>
      </c>
      <c r="G721" s="3">
        <v>46050</v>
      </c>
      <c r="H721" s="3">
        <v>46047</v>
      </c>
      <c r="I721" s="2">
        <v>909</v>
      </c>
      <c r="J721" s="2">
        <v>21</v>
      </c>
    </row>
    <row r="722" spans="1:10">
      <c r="A722" s="2" t="s">
        <v>1188</v>
      </c>
      <c r="B722" s="2" t="s">
        <v>43</v>
      </c>
      <c r="C722" s="2" t="s">
        <v>12</v>
      </c>
      <c r="D722" s="2" t="s">
        <v>38</v>
      </c>
      <c r="E722" s="2">
        <v>340</v>
      </c>
      <c r="F722" s="3">
        <v>46041</v>
      </c>
      <c r="G722" s="3">
        <v>46053</v>
      </c>
      <c r="H722" s="3">
        <v>46053</v>
      </c>
      <c r="I722" s="2">
        <v>343</v>
      </c>
      <c r="J722" s="2">
        <v>16</v>
      </c>
    </row>
    <row r="723" spans="1:10">
      <c r="A723" s="2" t="s">
        <v>1189</v>
      </c>
      <c r="B723" s="2" t="s">
        <v>100</v>
      </c>
      <c r="C723" s="2" t="s">
        <v>12</v>
      </c>
      <c r="D723" s="2" t="s">
        <v>734</v>
      </c>
      <c r="E723" s="2">
        <v>263</v>
      </c>
      <c r="F723" s="3">
        <v>46124</v>
      </c>
      <c r="G723" s="3">
        <v>46133</v>
      </c>
      <c r="H723" s="3">
        <v>46132</v>
      </c>
      <c r="I723" s="2">
        <v>260</v>
      </c>
      <c r="J723" s="2">
        <v>4</v>
      </c>
    </row>
    <row r="724" spans="1:10">
      <c r="A724" s="2" t="s">
        <v>1190</v>
      </c>
      <c r="B724" s="2" t="s">
        <v>43</v>
      </c>
      <c r="C724" s="2" t="s">
        <v>23</v>
      </c>
      <c r="D724" s="2" t="s">
        <v>1191</v>
      </c>
      <c r="E724" s="2">
        <v>821</v>
      </c>
      <c r="F724" s="3">
        <v>46060</v>
      </c>
      <c r="G724" s="3">
        <v>46067</v>
      </c>
      <c r="H724" s="3">
        <v>46065</v>
      </c>
      <c r="I724" s="2">
        <v>826</v>
      </c>
      <c r="J724" s="2">
        <v>17</v>
      </c>
    </row>
    <row r="725" spans="1:10">
      <c r="A725" s="2" t="s">
        <v>1192</v>
      </c>
      <c r="B725" s="2" t="s">
        <v>19</v>
      </c>
      <c r="C725" s="2" t="s">
        <v>12</v>
      </c>
      <c r="D725" s="2" t="s">
        <v>1193</v>
      </c>
      <c r="E725" s="2">
        <v>590</v>
      </c>
      <c r="F725" s="3">
        <v>46099</v>
      </c>
      <c r="G725" s="3">
        <v>46112</v>
      </c>
      <c r="H725" s="3">
        <v>46109</v>
      </c>
      <c r="I725" s="2">
        <v>546</v>
      </c>
      <c r="J725" s="2">
        <v>20</v>
      </c>
    </row>
    <row r="726" spans="1:10">
      <c r="A726" s="2" t="s">
        <v>1194</v>
      </c>
      <c r="B726" s="2" t="s">
        <v>35</v>
      </c>
      <c r="C726" s="2" t="s">
        <v>12</v>
      </c>
      <c r="D726" s="2" t="s">
        <v>154</v>
      </c>
      <c r="E726" s="2">
        <v>929</v>
      </c>
      <c r="F726" s="3">
        <v>46130</v>
      </c>
      <c r="G726" s="3">
        <v>46140</v>
      </c>
      <c r="H726" s="3">
        <v>46138</v>
      </c>
      <c r="I726" s="2">
        <v>923</v>
      </c>
      <c r="J726" s="2">
        <v>6</v>
      </c>
    </row>
    <row r="727" spans="1:10">
      <c r="A727" s="2" t="s">
        <v>1195</v>
      </c>
      <c r="B727" s="2" t="s">
        <v>1196</v>
      </c>
      <c r="C727" s="2" t="s">
        <v>12</v>
      </c>
      <c r="D727" s="2" t="s">
        <v>156</v>
      </c>
      <c r="E727" s="2">
        <v>859</v>
      </c>
      <c r="F727" s="3">
        <v>46173</v>
      </c>
      <c r="G727" s="3">
        <v>46188</v>
      </c>
      <c r="H727" s="3">
        <v>46188</v>
      </c>
      <c r="I727" s="2">
        <v>795</v>
      </c>
      <c r="J727" s="2">
        <v>29</v>
      </c>
    </row>
    <row r="728" spans="1:10">
      <c r="A728" s="2" t="s">
        <v>1197</v>
      </c>
      <c r="B728" s="2" t="s">
        <v>100</v>
      </c>
      <c r="C728" s="2" t="s">
        <v>16</v>
      </c>
      <c r="D728" s="2" t="s">
        <v>767</v>
      </c>
      <c r="E728" s="2">
        <v>237</v>
      </c>
      <c r="F728" s="3">
        <v>46125</v>
      </c>
      <c r="G728" s="3">
        <v>46131</v>
      </c>
      <c r="H728" s="3">
        <v>46130</v>
      </c>
      <c r="I728" s="2">
        <v>238</v>
      </c>
      <c r="J728" s="2">
        <v>4</v>
      </c>
    </row>
    <row r="729" spans="1:10">
      <c r="A729" s="2" t="s">
        <v>1198</v>
      </c>
      <c r="B729" s="2" t="s">
        <v>120</v>
      </c>
      <c r="C729" s="2" t="s">
        <v>23</v>
      </c>
      <c r="D729" s="2" t="s">
        <v>1199</v>
      </c>
      <c r="E729" s="2">
        <v>935</v>
      </c>
      <c r="F729" s="3">
        <v>46128</v>
      </c>
      <c r="G729" s="3">
        <v>46136</v>
      </c>
      <c r="H729" s="2"/>
      <c r="I729" s="2"/>
      <c r="J729" s="2"/>
    </row>
    <row r="730" spans="1:10">
      <c r="A730" s="2" t="s">
        <v>1200</v>
      </c>
      <c r="B730" s="2" t="s">
        <v>29</v>
      </c>
      <c r="C730" s="2" t="s">
        <v>12</v>
      </c>
      <c r="D730" s="2" t="s">
        <v>444</v>
      </c>
      <c r="E730" s="2">
        <v>651</v>
      </c>
      <c r="F730" s="3">
        <v>46143</v>
      </c>
      <c r="G730" s="3">
        <v>46154</v>
      </c>
      <c r="H730" s="3">
        <v>46152</v>
      </c>
      <c r="I730" s="2">
        <v>613</v>
      </c>
      <c r="J730" s="2">
        <v>5</v>
      </c>
    </row>
    <row r="731" spans="1:10">
      <c r="A731" s="2" t="s">
        <v>1201</v>
      </c>
      <c r="B731" s="2" t="s">
        <v>49</v>
      </c>
      <c r="C731" s="2" t="s">
        <v>23</v>
      </c>
      <c r="D731" s="2" t="s">
        <v>118</v>
      </c>
      <c r="E731" s="2">
        <v>727</v>
      </c>
      <c r="F731" s="3">
        <v>46136</v>
      </c>
      <c r="G731" s="3">
        <v>46151</v>
      </c>
      <c r="H731" s="3">
        <v>46151</v>
      </c>
      <c r="I731" s="2">
        <v>724</v>
      </c>
      <c r="J731" s="2">
        <v>11</v>
      </c>
    </row>
    <row r="732" spans="1:10">
      <c r="A732" s="2" t="s">
        <v>1202</v>
      </c>
      <c r="B732" s="2" t="s">
        <v>40</v>
      </c>
      <c r="C732" s="2" t="s">
        <v>16</v>
      </c>
      <c r="D732" s="2" t="s">
        <v>1203</v>
      </c>
      <c r="E732" s="2">
        <v>415</v>
      </c>
      <c r="F732" s="3">
        <v>46054</v>
      </c>
      <c r="G732" s="3">
        <v>46068</v>
      </c>
      <c r="H732" s="3">
        <v>46073</v>
      </c>
      <c r="I732" s="2">
        <v>413</v>
      </c>
      <c r="J732" s="2">
        <v>27</v>
      </c>
    </row>
    <row r="733" spans="1:10">
      <c r="A733" s="2" t="s">
        <v>1204</v>
      </c>
      <c r="B733" s="2" t="s">
        <v>19</v>
      </c>
      <c r="C733" s="2" t="s">
        <v>12</v>
      </c>
      <c r="D733" s="2" t="s">
        <v>1205</v>
      </c>
      <c r="E733" s="2">
        <v>197</v>
      </c>
      <c r="F733" s="3">
        <v>46030</v>
      </c>
      <c r="G733" s="3">
        <v>46040</v>
      </c>
      <c r="H733" s="3">
        <v>46040</v>
      </c>
      <c r="I733" s="2">
        <v>200</v>
      </c>
      <c r="J733" s="2">
        <v>8</v>
      </c>
    </row>
    <row r="734" spans="1:10">
      <c r="A734" s="2" t="s">
        <v>1206</v>
      </c>
      <c r="B734" s="2" t="s">
        <v>64</v>
      </c>
      <c r="C734" s="2" t="s">
        <v>16</v>
      </c>
      <c r="D734" s="2" t="s">
        <v>1207</v>
      </c>
      <c r="E734" s="2">
        <v>753</v>
      </c>
      <c r="F734" s="3">
        <v>46104</v>
      </c>
      <c r="G734" s="3">
        <v>46111</v>
      </c>
      <c r="H734" s="3">
        <v>46109</v>
      </c>
      <c r="I734" s="2">
        <v>717</v>
      </c>
      <c r="J734" s="2">
        <v>7</v>
      </c>
    </row>
    <row r="735" spans="1:10">
      <c r="A735" s="2" t="s">
        <v>1208</v>
      </c>
      <c r="B735" s="2" t="s">
        <v>32</v>
      </c>
      <c r="C735" s="2" t="s">
        <v>12</v>
      </c>
      <c r="D735" s="2" t="s">
        <v>690</v>
      </c>
      <c r="E735" s="2">
        <v>596</v>
      </c>
      <c r="F735" s="3">
        <v>46092</v>
      </c>
      <c r="G735" s="3">
        <v>46106</v>
      </c>
      <c r="H735" s="3">
        <v>46103</v>
      </c>
      <c r="I735" s="2">
        <v>531</v>
      </c>
      <c r="J735" s="2">
        <v>15</v>
      </c>
    </row>
    <row r="736" spans="1:10">
      <c r="A736" s="2" t="s">
        <v>1209</v>
      </c>
      <c r="B736" s="2" t="s">
        <v>35</v>
      </c>
      <c r="C736" s="2" t="s">
        <v>12</v>
      </c>
      <c r="D736" s="2" t="s">
        <v>1193</v>
      </c>
      <c r="E736" s="2">
        <v>962</v>
      </c>
      <c r="F736" s="3">
        <v>46033</v>
      </c>
      <c r="G736" s="3">
        <v>46046</v>
      </c>
      <c r="H736" s="3">
        <v>46044</v>
      </c>
      <c r="I736" s="2">
        <v>973</v>
      </c>
      <c r="J736" s="2">
        <v>47</v>
      </c>
    </row>
    <row r="737" spans="1:10">
      <c r="A737" s="2" t="s">
        <v>830</v>
      </c>
      <c r="B737" s="2" t="s">
        <v>43</v>
      </c>
      <c r="C737" s="2" t="s">
        <v>16</v>
      </c>
      <c r="D737" s="2" t="s">
        <v>831</v>
      </c>
      <c r="E737" s="2">
        <v>755</v>
      </c>
      <c r="F737" s="3">
        <v>46173</v>
      </c>
      <c r="G737" s="3">
        <v>46179</v>
      </c>
      <c r="H737" s="3">
        <v>46187</v>
      </c>
      <c r="I737" s="2">
        <v>765</v>
      </c>
      <c r="J737" s="2">
        <v>50</v>
      </c>
    </row>
    <row r="738" spans="1:10">
      <c r="A738" s="2" t="s">
        <v>1210</v>
      </c>
      <c r="B738" s="2" t="s">
        <v>100</v>
      </c>
      <c r="C738" s="2" t="s">
        <v>12</v>
      </c>
      <c r="D738" s="2" t="s">
        <v>160</v>
      </c>
      <c r="E738" s="2">
        <v>636</v>
      </c>
      <c r="F738" s="3">
        <v>46053</v>
      </c>
      <c r="G738" s="3">
        <v>46062</v>
      </c>
      <c r="H738" s="3">
        <v>46059</v>
      </c>
      <c r="I738" s="2">
        <v>638</v>
      </c>
      <c r="J738" s="2">
        <v>7</v>
      </c>
    </row>
    <row r="739" spans="1:10">
      <c r="A739" s="2" t="s">
        <v>1211</v>
      </c>
      <c r="B739" s="2" t="s">
        <v>46</v>
      </c>
      <c r="C739" s="2" t="s">
        <v>16</v>
      </c>
      <c r="D739" s="2" t="s">
        <v>775</v>
      </c>
      <c r="E739" s="2">
        <v>539</v>
      </c>
      <c r="F739" s="3">
        <v>46099</v>
      </c>
      <c r="G739" s="3">
        <v>46107</v>
      </c>
      <c r="H739" s="3">
        <v>46106</v>
      </c>
      <c r="I739" s="2">
        <v>539</v>
      </c>
      <c r="J739" s="2">
        <v>51</v>
      </c>
    </row>
    <row r="740" spans="1:10">
      <c r="A740" s="2" t="s">
        <v>1212</v>
      </c>
      <c r="B740" s="2" t="s">
        <v>26</v>
      </c>
      <c r="C740" s="2" t="s">
        <v>16</v>
      </c>
      <c r="D740" s="2" t="s">
        <v>666</v>
      </c>
      <c r="E740" s="2">
        <v>386</v>
      </c>
      <c r="F740" s="3">
        <v>46109</v>
      </c>
      <c r="G740" s="3">
        <v>46119</v>
      </c>
      <c r="H740" s="3">
        <v>46117</v>
      </c>
      <c r="I740" s="2">
        <v>388</v>
      </c>
      <c r="J740" s="2">
        <v>9</v>
      </c>
    </row>
    <row r="741" spans="1:10">
      <c r="A741" s="2" t="s">
        <v>1213</v>
      </c>
      <c r="B741" s="2" t="s">
        <v>22</v>
      </c>
      <c r="C741" s="2" t="s">
        <v>12</v>
      </c>
      <c r="D741" s="2" t="s">
        <v>73</v>
      </c>
      <c r="E741" s="2">
        <v>300</v>
      </c>
      <c r="F741" s="3">
        <v>46132</v>
      </c>
      <c r="G741" s="3">
        <v>46147</v>
      </c>
      <c r="H741" s="3">
        <v>46147</v>
      </c>
      <c r="I741" s="2">
        <v>298</v>
      </c>
      <c r="J741" s="2">
        <v>20</v>
      </c>
    </row>
    <row r="742" spans="1:10">
      <c r="A742" s="2" t="s">
        <v>1214</v>
      </c>
      <c r="B742" s="2" t="s">
        <v>22</v>
      </c>
      <c r="C742" s="2" t="s">
        <v>23</v>
      </c>
      <c r="D742" s="2" t="s">
        <v>248</v>
      </c>
      <c r="E742" s="2">
        <v>583</v>
      </c>
      <c r="F742" s="3">
        <v>46045</v>
      </c>
      <c r="G742" s="3">
        <v>46057</v>
      </c>
      <c r="H742" s="3">
        <v>46063</v>
      </c>
      <c r="I742" s="2">
        <v>593</v>
      </c>
      <c r="J742" s="2">
        <v>3</v>
      </c>
    </row>
    <row r="743" spans="1:10">
      <c r="A743" s="2" t="s">
        <v>1215</v>
      </c>
      <c r="B743" s="2" t="s">
        <v>1216</v>
      </c>
      <c r="C743" s="2" t="s">
        <v>12</v>
      </c>
      <c r="D743" s="2" t="s">
        <v>403</v>
      </c>
      <c r="E743" s="2">
        <v>716</v>
      </c>
      <c r="F743" s="3">
        <v>46052</v>
      </c>
      <c r="G743" s="3">
        <v>46058</v>
      </c>
      <c r="H743" s="3">
        <v>46067</v>
      </c>
      <c r="I743" s="2">
        <v>719</v>
      </c>
      <c r="J743" s="2">
        <v>10</v>
      </c>
    </row>
    <row r="744" spans="1:10">
      <c r="A744" s="2" t="s">
        <v>1217</v>
      </c>
      <c r="B744" s="2" t="s">
        <v>52</v>
      </c>
      <c r="C744" s="2" t="s">
        <v>12</v>
      </c>
      <c r="D744" s="2" t="s">
        <v>403</v>
      </c>
      <c r="E744" s="2">
        <v>390</v>
      </c>
      <c r="F744" s="3">
        <v>46113</v>
      </c>
      <c r="G744" s="3">
        <v>46122</v>
      </c>
      <c r="H744" s="3">
        <v>46120</v>
      </c>
      <c r="I744" s="2">
        <v>394</v>
      </c>
      <c r="J744" s="2">
        <v>8</v>
      </c>
    </row>
    <row r="745" spans="1:10">
      <c r="A745" s="2" t="s">
        <v>1218</v>
      </c>
      <c r="B745" s="2" t="s">
        <v>19</v>
      </c>
      <c r="C745" s="2" t="s">
        <v>12</v>
      </c>
      <c r="D745" s="2" t="s">
        <v>183</v>
      </c>
      <c r="E745" s="2">
        <v>845</v>
      </c>
      <c r="F745" s="3">
        <v>46176</v>
      </c>
      <c r="G745" s="3">
        <v>46184</v>
      </c>
      <c r="H745" s="3">
        <v>46182</v>
      </c>
      <c r="I745" s="2">
        <v>859</v>
      </c>
      <c r="J745" s="2">
        <v>4</v>
      </c>
    </row>
    <row r="746" spans="1:10">
      <c r="A746" s="2" t="s">
        <v>1219</v>
      </c>
      <c r="B746" s="2" t="s">
        <v>32</v>
      </c>
      <c r="C746" s="2" t="s">
        <v>166</v>
      </c>
      <c r="D746" s="2" t="s">
        <v>154</v>
      </c>
      <c r="E746" s="2">
        <v>466</v>
      </c>
      <c r="F746" s="3">
        <v>46148</v>
      </c>
      <c r="G746" s="3">
        <v>46161</v>
      </c>
      <c r="H746" s="3">
        <v>46160</v>
      </c>
      <c r="I746" s="2">
        <v>474</v>
      </c>
      <c r="J746" s="2">
        <v>28</v>
      </c>
    </row>
    <row r="747" spans="1:10">
      <c r="A747" s="2" t="s">
        <v>1220</v>
      </c>
      <c r="B747" s="2" t="s">
        <v>120</v>
      </c>
      <c r="C747" s="2" t="s">
        <v>16</v>
      </c>
      <c r="D747" s="2" t="s">
        <v>173</v>
      </c>
      <c r="E747" s="2">
        <v>615</v>
      </c>
      <c r="F747" s="3">
        <v>46169</v>
      </c>
      <c r="G747" s="3">
        <v>46175</v>
      </c>
      <c r="H747" s="3">
        <v>46175</v>
      </c>
      <c r="I747" s="2">
        <v>548</v>
      </c>
      <c r="J747" s="2">
        <v>10</v>
      </c>
    </row>
    <row r="748" spans="1:10">
      <c r="A748" s="2" t="s">
        <v>1221</v>
      </c>
      <c r="B748" s="2" t="s">
        <v>70</v>
      </c>
      <c r="C748" s="2" t="s">
        <v>12</v>
      </c>
      <c r="D748" s="2" t="s">
        <v>421</v>
      </c>
      <c r="E748" s="2">
        <v>209</v>
      </c>
      <c r="F748" s="3">
        <v>46078</v>
      </c>
      <c r="G748" s="3">
        <v>46089</v>
      </c>
      <c r="H748" s="3">
        <v>46089</v>
      </c>
      <c r="I748" s="2">
        <v>213</v>
      </c>
      <c r="J748" s="2">
        <v>4</v>
      </c>
    </row>
    <row r="749" spans="1:10">
      <c r="A749" s="2" t="s">
        <v>1026</v>
      </c>
      <c r="B749" s="2" t="s">
        <v>762</v>
      </c>
      <c r="C749" s="2" t="s">
        <v>12</v>
      </c>
      <c r="D749" s="2" t="s">
        <v>1027</v>
      </c>
      <c r="E749" s="2">
        <v>938</v>
      </c>
      <c r="F749" s="3">
        <v>46050</v>
      </c>
      <c r="G749" s="3">
        <v>46060</v>
      </c>
      <c r="H749" s="3">
        <v>46060</v>
      </c>
      <c r="I749" s="2">
        <v>771</v>
      </c>
      <c r="J749" s="2">
        <v>10</v>
      </c>
    </row>
    <row r="750" spans="1:10">
      <c r="A750" s="2" t="s">
        <v>1222</v>
      </c>
      <c r="B750" s="2" t="s">
        <v>46</v>
      </c>
      <c r="C750" s="2" t="s">
        <v>16</v>
      </c>
      <c r="D750" s="2" t="s">
        <v>1223</v>
      </c>
      <c r="E750" s="2">
        <v>329</v>
      </c>
      <c r="F750" s="3">
        <v>46088</v>
      </c>
      <c r="G750" s="3">
        <v>46095</v>
      </c>
      <c r="H750" s="3">
        <v>46094</v>
      </c>
      <c r="I750" s="2">
        <v>333</v>
      </c>
      <c r="J750" s="2">
        <v>20</v>
      </c>
    </row>
    <row r="751" spans="1:10">
      <c r="A751" s="2" t="s">
        <v>1224</v>
      </c>
      <c r="B751" s="2" t="s">
        <v>100</v>
      </c>
      <c r="C751" s="2" t="s">
        <v>16</v>
      </c>
      <c r="D751" s="2" t="s">
        <v>1153</v>
      </c>
      <c r="E751" s="2">
        <v>328</v>
      </c>
      <c r="F751" s="3">
        <v>46057</v>
      </c>
      <c r="G751" s="3">
        <v>46063</v>
      </c>
      <c r="H751" s="3">
        <v>46060</v>
      </c>
      <c r="I751" s="2">
        <v>331</v>
      </c>
      <c r="J751" s="2">
        <v>8</v>
      </c>
    </row>
    <row r="752" spans="1:10">
      <c r="A752" s="2" t="s">
        <v>1225</v>
      </c>
      <c r="B752" s="2" t="s">
        <v>70</v>
      </c>
      <c r="C752" s="2" t="s">
        <v>16</v>
      </c>
      <c r="D752" s="2" t="s">
        <v>1153</v>
      </c>
      <c r="E752" s="2">
        <v>135</v>
      </c>
      <c r="F752" s="3">
        <v>46160</v>
      </c>
      <c r="G752" s="3">
        <v>46173</v>
      </c>
      <c r="H752" s="3">
        <v>46181</v>
      </c>
      <c r="I752" s="2">
        <v>137</v>
      </c>
      <c r="J752" s="2">
        <v>4</v>
      </c>
    </row>
    <row r="753" spans="1:10">
      <c r="A753" s="2" t="s">
        <v>1226</v>
      </c>
      <c r="B753" s="2" t="s">
        <v>26</v>
      </c>
      <c r="C753" s="2" t="s">
        <v>16</v>
      </c>
      <c r="D753" s="2" t="s">
        <v>1227</v>
      </c>
      <c r="E753" s="2">
        <v>884</v>
      </c>
      <c r="F753" s="3">
        <v>46090</v>
      </c>
      <c r="G753" s="3">
        <v>46100</v>
      </c>
      <c r="H753" s="3">
        <v>46099</v>
      </c>
      <c r="I753" s="2">
        <v>885</v>
      </c>
      <c r="J753" s="2">
        <v>2</v>
      </c>
    </row>
    <row r="754" spans="1:10">
      <c r="A754" s="2" t="s">
        <v>1228</v>
      </c>
      <c r="B754" s="2" t="s">
        <v>54</v>
      </c>
      <c r="C754" s="2" t="s">
        <v>12</v>
      </c>
      <c r="D754" s="2" t="s">
        <v>403</v>
      </c>
      <c r="E754" s="2">
        <v>514</v>
      </c>
      <c r="F754" s="3">
        <v>46110</v>
      </c>
      <c r="G754" s="3">
        <v>46117</v>
      </c>
      <c r="H754" s="3">
        <v>46115</v>
      </c>
      <c r="I754" s="2">
        <v>511</v>
      </c>
      <c r="J754" s="2">
        <v>8</v>
      </c>
    </row>
    <row r="755" spans="1:10">
      <c r="A755" s="2" t="s">
        <v>1229</v>
      </c>
      <c r="B755" s="2" t="s">
        <v>26</v>
      </c>
      <c r="C755" s="2" t="s">
        <v>12</v>
      </c>
      <c r="D755" s="2" t="s">
        <v>538</v>
      </c>
      <c r="E755" s="2">
        <v>868</v>
      </c>
      <c r="F755" s="3">
        <v>46041</v>
      </c>
      <c r="G755" s="3">
        <v>46049</v>
      </c>
      <c r="H755" s="3">
        <v>46048</v>
      </c>
      <c r="I755" s="2">
        <v>766</v>
      </c>
      <c r="J755" s="2">
        <v>7</v>
      </c>
    </row>
    <row r="756" spans="1:10">
      <c r="A756" s="2" t="s">
        <v>1230</v>
      </c>
      <c r="B756" s="2" t="s">
        <v>46</v>
      </c>
      <c r="C756" s="2" t="s">
        <v>16</v>
      </c>
      <c r="D756" s="2" t="s">
        <v>301</v>
      </c>
      <c r="E756" s="2">
        <v>689</v>
      </c>
      <c r="F756" s="3">
        <v>46095</v>
      </c>
      <c r="G756" s="3">
        <v>46103</v>
      </c>
      <c r="H756" s="3">
        <v>46102</v>
      </c>
      <c r="I756" s="2">
        <v>697</v>
      </c>
      <c r="J756" s="2">
        <v>-10</v>
      </c>
    </row>
    <row r="757" spans="1:10">
      <c r="A757" s="2" t="s">
        <v>1231</v>
      </c>
      <c r="B757" s="2" t="s">
        <v>528</v>
      </c>
      <c r="C757" s="2" t="s">
        <v>12</v>
      </c>
      <c r="D757" s="2" t="s">
        <v>469</v>
      </c>
      <c r="E757" s="2">
        <v>907</v>
      </c>
      <c r="F757" s="3">
        <v>46088</v>
      </c>
      <c r="G757" s="3">
        <v>46098</v>
      </c>
      <c r="H757" s="3">
        <v>46106</v>
      </c>
      <c r="I757" s="2">
        <v>913</v>
      </c>
      <c r="J757" s="2">
        <v>2</v>
      </c>
    </row>
    <row r="758" spans="1:10">
      <c r="A758" s="2" t="s">
        <v>1232</v>
      </c>
      <c r="B758" s="2" t="s">
        <v>32</v>
      </c>
      <c r="C758" s="2" t="s">
        <v>23</v>
      </c>
      <c r="D758" s="2" t="s">
        <v>296</v>
      </c>
      <c r="E758" s="2">
        <v>778</v>
      </c>
      <c r="F758" s="3">
        <v>46043</v>
      </c>
      <c r="G758" s="3">
        <v>46056</v>
      </c>
      <c r="H758" s="3">
        <v>46056</v>
      </c>
      <c r="I758" s="2">
        <v>778</v>
      </c>
      <c r="J758" s="2">
        <v>52</v>
      </c>
    </row>
    <row r="759" spans="1:10">
      <c r="A759" s="2" t="s">
        <v>1233</v>
      </c>
      <c r="B759" s="2" t="s">
        <v>70</v>
      </c>
      <c r="C759" s="2" t="s">
        <v>16</v>
      </c>
      <c r="D759" s="2" t="s">
        <v>428</v>
      </c>
      <c r="E759" s="2">
        <v>917</v>
      </c>
      <c r="F759" s="3">
        <v>46174</v>
      </c>
      <c r="G759" s="3">
        <v>46187</v>
      </c>
      <c r="H759" s="3">
        <v>46189</v>
      </c>
      <c r="I759" s="2">
        <v>924</v>
      </c>
      <c r="J759" s="2">
        <v>1</v>
      </c>
    </row>
    <row r="760" spans="1:10">
      <c r="A760" s="2" t="s">
        <v>1234</v>
      </c>
      <c r="B760" s="2" t="s">
        <v>1235</v>
      </c>
      <c r="C760" s="2" t="s">
        <v>12</v>
      </c>
      <c r="D760" s="2" t="s">
        <v>469</v>
      </c>
      <c r="E760" s="2">
        <v>252</v>
      </c>
      <c r="F760" s="3">
        <v>46156</v>
      </c>
      <c r="G760" s="3">
        <v>46165</v>
      </c>
      <c r="H760" s="3">
        <v>46173</v>
      </c>
      <c r="I760" s="2">
        <v>233</v>
      </c>
      <c r="J760" s="2">
        <v>14</v>
      </c>
    </row>
    <row r="761" spans="1:10">
      <c r="A761" s="2" t="s">
        <v>1236</v>
      </c>
      <c r="B761" s="2" t="s">
        <v>22</v>
      </c>
      <c r="C761" s="2" t="s">
        <v>16</v>
      </c>
      <c r="D761" s="2" t="s">
        <v>17</v>
      </c>
      <c r="E761" s="2">
        <v>222</v>
      </c>
      <c r="F761" s="3">
        <v>46176</v>
      </c>
      <c r="G761" s="3">
        <v>46191</v>
      </c>
      <c r="H761" s="3">
        <v>46188</v>
      </c>
      <c r="I761" s="2">
        <v>197</v>
      </c>
      <c r="J761" s="2">
        <v>-7</v>
      </c>
    </row>
    <row r="762" spans="1:10">
      <c r="A762" s="2" t="s">
        <v>1237</v>
      </c>
      <c r="B762" s="2" t="s">
        <v>22</v>
      </c>
      <c r="C762" s="2" t="s">
        <v>12</v>
      </c>
      <c r="D762" s="2" t="s">
        <v>968</v>
      </c>
      <c r="E762" s="2">
        <v>411</v>
      </c>
      <c r="F762" s="3">
        <v>46154</v>
      </c>
      <c r="G762" s="3">
        <v>46168</v>
      </c>
      <c r="H762" s="3">
        <v>46174</v>
      </c>
      <c r="I762" s="2">
        <v>408</v>
      </c>
      <c r="J762" s="2">
        <v>19</v>
      </c>
    </row>
    <row r="763" spans="1:10">
      <c r="A763" s="2" t="s">
        <v>1238</v>
      </c>
      <c r="B763" s="2" t="s">
        <v>32</v>
      </c>
      <c r="C763" s="2" t="s">
        <v>16</v>
      </c>
      <c r="D763" s="2" t="s">
        <v>272</v>
      </c>
      <c r="E763" s="2">
        <v>626</v>
      </c>
      <c r="F763" s="3">
        <v>46145</v>
      </c>
      <c r="G763" s="3">
        <v>46159</v>
      </c>
      <c r="H763" s="3">
        <v>46158</v>
      </c>
      <c r="I763" s="2">
        <v>625</v>
      </c>
      <c r="J763" s="2">
        <v>25</v>
      </c>
    </row>
    <row r="764" spans="1:10">
      <c r="A764" s="2" t="s">
        <v>1239</v>
      </c>
      <c r="B764" s="2" t="s">
        <v>32</v>
      </c>
      <c r="C764" s="2" t="s">
        <v>12</v>
      </c>
      <c r="D764" s="2" t="s">
        <v>647</v>
      </c>
      <c r="E764" s="2">
        <v>663</v>
      </c>
      <c r="F764" s="3">
        <v>46168</v>
      </c>
      <c r="G764" s="3">
        <v>46181</v>
      </c>
      <c r="H764" s="3">
        <v>46181</v>
      </c>
      <c r="I764" s="2">
        <v>655</v>
      </c>
      <c r="J764" s="2">
        <v>25</v>
      </c>
    </row>
    <row r="765" spans="1:10">
      <c r="A765" s="2" t="s">
        <v>1240</v>
      </c>
      <c r="B765" s="2" t="s">
        <v>35</v>
      </c>
      <c r="C765" s="2" t="s">
        <v>12</v>
      </c>
      <c r="D765" s="2" t="s">
        <v>705</v>
      </c>
      <c r="E765" s="2">
        <v>963</v>
      </c>
      <c r="F765" s="3">
        <v>46118</v>
      </c>
      <c r="G765" s="3">
        <v>46131</v>
      </c>
      <c r="H765" s="3">
        <v>46137</v>
      </c>
      <c r="I765" s="2">
        <v>775</v>
      </c>
      <c r="J765" s="2">
        <v>13</v>
      </c>
    </row>
    <row r="766" spans="1:10">
      <c r="A766" s="2" t="s">
        <v>1241</v>
      </c>
      <c r="B766" s="2" t="s">
        <v>120</v>
      </c>
      <c r="C766" s="2" t="s">
        <v>23</v>
      </c>
      <c r="D766" s="2" t="s">
        <v>1242</v>
      </c>
      <c r="E766" s="2">
        <v>628</v>
      </c>
      <c r="F766" s="3">
        <v>46093</v>
      </c>
      <c r="G766" s="3">
        <v>46104</v>
      </c>
      <c r="H766" s="3">
        <v>46102</v>
      </c>
      <c r="I766" s="2">
        <v>547</v>
      </c>
      <c r="J766" s="2">
        <v>26</v>
      </c>
    </row>
    <row r="767" spans="1:10">
      <c r="A767" s="2" t="s">
        <v>1243</v>
      </c>
      <c r="B767" s="2" t="s">
        <v>35</v>
      </c>
      <c r="C767" s="2" t="s">
        <v>12</v>
      </c>
      <c r="D767" s="2" t="s">
        <v>1244</v>
      </c>
      <c r="E767" s="2">
        <v>838</v>
      </c>
      <c r="F767" s="3">
        <v>46150</v>
      </c>
      <c r="G767" s="3">
        <v>46155</v>
      </c>
      <c r="H767" s="3">
        <v>46154</v>
      </c>
      <c r="I767" s="2">
        <v>850</v>
      </c>
      <c r="J767" s="2">
        <v>12</v>
      </c>
    </row>
    <row r="768" spans="1:10">
      <c r="A768" s="2" t="s">
        <v>1245</v>
      </c>
      <c r="B768" s="2" t="s">
        <v>81</v>
      </c>
      <c r="C768" s="2" t="s">
        <v>12</v>
      </c>
      <c r="D768" s="2" t="s">
        <v>872</v>
      </c>
      <c r="E768" s="2">
        <v>153</v>
      </c>
      <c r="F768" s="3">
        <v>46075</v>
      </c>
      <c r="G768" s="3">
        <v>46084</v>
      </c>
      <c r="H768" s="3">
        <v>46084</v>
      </c>
      <c r="I768" s="2">
        <v>124</v>
      </c>
      <c r="J768" s="2">
        <v>2</v>
      </c>
    </row>
    <row r="769" spans="1:10">
      <c r="A769" s="2" t="s">
        <v>1246</v>
      </c>
      <c r="B769" s="2" t="s">
        <v>177</v>
      </c>
      <c r="C769" s="2" t="s">
        <v>23</v>
      </c>
      <c r="D769" s="2" t="s">
        <v>745</v>
      </c>
      <c r="E769" s="2">
        <v>378</v>
      </c>
      <c r="F769" s="3">
        <v>46086</v>
      </c>
      <c r="G769" s="3">
        <v>46100</v>
      </c>
      <c r="H769" s="3">
        <v>46097</v>
      </c>
      <c r="I769" s="2">
        <v>376</v>
      </c>
      <c r="J769" s="2">
        <v>7</v>
      </c>
    </row>
    <row r="770" spans="1:10">
      <c r="A770" s="2" t="s">
        <v>1247</v>
      </c>
      <c r="B770" s="2" t="s">
        <v>26</v>
      </c>
      <c r="C770" s="2" t="s">
        <v>12</v>
      </c>
      <c r="D770" s="2" t="s">
        <v>98</v>
      </c>
      <c r="E770" s="2">
        <v>831</v>
      </c>
      <c r="F770" s="3">
        <v>46034</v>
      </c>
      <c r="G770" s="3">
        <v>46042</v>
      </c>
      <c r="H770" s="3">
        <v>46040</v>
      </c>
      <c r="I770" s="2">
        <v>802</v>
      </c>
      <c r="J770" s="2">
        <v>5</v>
      </c>
    </row>
    <row r="771" spans="1:10">
      <c r="A771" s="2" t="s">
        <v>1248</v>
      </c>
      <c r="B771" s="2" t="s">
        <v>100</v>
      </c>
      <c r="C771" s="2" t="s">
        <v>16</v>
      </c>
      <c r="D771" s="2" t="s">
        <v>383</v>
      </c>
      <c r="E771" s="2">
        <v>741</v>
      </c>
      <c r="F771" s="3">
        <v>46109</v>
      </c>
      <c r="G771" s="3">
        <v>46115</v>
      </c>
      <c r="H771" s="3">
        <v>46115</v>
      </c>
      <c r="I771" s="2">
        <v>736</v>
      </c>
      <c r="J771" s="2">
        <v>14</v>
      </c>
    </row>
    <row r="772" spans="1:10">
      <c r="A772" s="2" t="s">
        <v>1249</v>
      </c>
      <c r="B772" s="2" t="s">
        <v>52</v>
      </c>
      <c r="C772" s="2" t="s">
        <v>16</v>
      </c>
      <c r="D772" s="2" t="s">
        <v>1250</v>
      </c>
      <c r="E772" s="2">
        <v>290</v>
      </c>
      <c r="F772" s="3">
        <v>46084</v>
      </c>
      <c r="G772" s="3">
        <v>46094</v>
      </c>
      <c r="H772" s="3">
        <v>46091</v>
      </c>
      <c r="I772" s="2">
        <v>279</v>
      </c>
      <c r="J772" s="2">
        <v>2</v>
      </c>
    </row>
    <row r="773" spans="1:10">
      <c r="A773" s="2" t="s">
        <v>1251</v>
      </c>
      <c r="B773" s="2" t="s">
        <v>32</v>
      </c>
      <c r="C773" s="2" t="s">
        <v>12</v>
      </c>
      <c r="D773" s="2" t="s">
        <v>1072</v>
      </c>
      <c r="E773" s="2">
        <v>86</v>
      </c>
      <c r="F773" s="3">
        <v>46137</v>
      </c>
      <c r="G773" s="3">
        <v>46145</v>
      </c>
      <c r="H773" s="3">
        <v>46144</v>
      </c>
      <c r="I773" s="2">
        <v>78</v>
      </c>
      <c r="J773" s="2">
        <v>2</v>
      </c>
    </row>
    <row r="774" spans="1:10">
      <c r="A774" s="2" t="s">
        <v>1252</v>
      </c>
      <c r="B774" s="2" t="s">
        <v>70</v>
      </c>
      <c r="C774" s="2" t="s">
        <v>12</v>
      </c>
      <c r="D774" s="2" t="s">
        <v>714</v>
      </c>
      <c r="E774" s="2">
        <v>965</v>
      </c>
      <c r="F774" s="3">
        <v>46081</v>
      </c>
      <c r="G774" s="3">
        <v>46091</v>
      </c>
      <c r="H774" s="3">
        <v>46097</v>
      </c>
      <c r="I774" s="2">
        <v>976</v>
      </c>
      <c r="J774" s="2">
        <v>23</v>
      </c>
    </row>
    <row r="775" spans="1:10">
      <c r="A775" s="2" t="s">
        <v>1253</v>
      </c>
      <c r="B775" s="2" t="s">
        <v>52</v>
      </c>
      <c r="C775" s="2" t="s">
        <v>23</v>
      </c>
      <c r="D775" s="2" t="s">
        <v>619</v>
      </c>
      <c r="E775" s="2">
        <v>430</v>
      </c>
      <c r="F775" s="3">
        <v>46091</v>
      </c>
      <c r="G775" s="3">
        <v>46096</v>
      </c>
      <c r="H775" s="3">
        <v>46095</v>
      </c>
      <c r="I775" s="2">
        <v>405</v>
      </c>
      <c r="J775" s="2">
        <v>7</v>
      </c>
    </row>
    <row r="776" spans="1:10">
      <c r="A776" s="2" t="s">
        <v>1254</v>
      </c>
      <c r="B776" s="2" t="s">
        <v>40</v>
      </c>
      <c r="C776" s="2" t="s">
        <v>16</v>
      </c>
      <c r="D776" s="2" t="s">
        <v>597</v>
      </c>
      <c r="E776" s="2">
        <v>909</v>
      </c>
      <c r="F776" s="3">
        <v>46060</v>
      </c>
      <c r="G776" s="3">
        <v>46075</v>
      </c>
      <c r="H776" s="3">
        <v>46075</v>
      </c>
      <c r="I776" s="2">
        <v>923</v>
      </c>
      <c r="J776" s="2">
        <v>27</v>
      </c>
    </row>
    <row r="777" spans="1:10">
      <c r="A777" s="2" t="s">
        <v>1255</v>
      </c>
      <c r="B777" s="2" t="s">
        <v>29</v>
      </c>
      <c r="C777" s="2" t="s">
        <v>16</v>
      </c>
      <c r="D777" s="2" t="s">
        <v>1256</v>
      </c>
      <c r="E777" s="2">
        <v>322</v>
      </c>
      <c r="F777" s="3">
        <v>46042</v>
      </c>
      <c r="G777" s="3">
        <v>46057</v>
      </c>
      <c r="H777" s="3">
        <v>46066</v>
      </c>
      <c r="I777" s="2">
        <v>326</v>
      </c>
      <c r="J777" s="2">
        <v>2</v>
      </c>
    </row>
    <row r="778" spans="1:10">
      <c r="A778" s="2" t="s">
        <v>1257</v>
      </c>
      <c r="B778" s="2" t="s">
        <v>43</v>
      </c>
      <c r="C778" s="2" t="s">
        <v>12</v>
      </c>
      <c r="D778" s="2" t="s">
        <v>191</v>
      </c>
      <c r="E778" s="2">
        <v>930</v>
      </c>
      <c r="F778" s="3">
        <v>46154</v>
      </c>
      <c r="G778" s="3">
        <v>46161</v>
      </c>
      <c r="H778" s="3">
        <v>46160</v>
      </c>
      <c r="I778" s="2">
        <v>925</v>
      </c>
      <c r="J778" s="2">
        <v>25</v>
      </c>
    </row>
    <row r="779" spans="1:10">
      <c r="A779" s="2" t="s">
        <v>1258</v>
      </c>
      <c r="B779" s="2" t="s">
        <v>120</v>
      </c>
      <c r="C779" s="2" t="s">
        <v>23</v>
      </c>
      <c r="D779" s="2" t="s">
        <v>765</v>
      </c>
      <c r="E779" s="2">
        <v>447</v>
      </c>
      <c r="F779" s="3">
        <v>46059</v>
      </c>
      <c r="G779" s="3">
        <v>46068</v>
      </c>
      <c r="H779" s="3">
        <v>46065</v>
      </c>
      <c r="I779" s="2">
        <v>451</v>
      </c>
      <c r="J779" s="2">
        <v>21</v>
      </c>
    </row>
    <row r="780" spans="1:10">
      <c r="A780" s="2" t="s">
        <v>1259</v>
      </c>
      <c r="B780" s="2" t="s">
        <v>81</v>
      </c>
      <c r="C780" s="2" t="s">
        <v>12</v>
      </c>
      <c r="D780" s="2" t="s">
        <v>520</v>
      </c>
      <c r="E780" s="2">
        <v>751</v>
      </c>
      <c r="F780" s="3">
        <v>46085</v>
      </c>
      <c r="G780" s="3">
        <v>46095</v>
      </c>
      <c r="H780" s="3">
        <v>46092</v>
      </c>
      <c r="I780" s="2">
        <v>609</v>
      </c>
      <c r="J780" s="2">
        <v>3</v>
      </c>
    </row>
    <row r="781" spans="1:10">
      <c r="A781" s="2" t="s">
        <v>1260</v>
      </c>
      <c r="B781" s="2" t="s">
        <v>49</v>
      </c>
      <c r="C781" s="2" t="s">
        <v>166</v>
      </c>
      <c r="D781" s="2" t="s">
        <v>154</v>
      </c>
      <c r="E781" s="2">
        <v>734</v>
      </c>
      <c r="F781" s="3">
        <v>46115</v>
      </c>
      <c r="G781" s="3">
        <v>46124</v>
      </c>
      <c r="H781" s="3">
        <v>46122</v>
      </c>
      <c r="I781" s="2">
        <v>740</v>
      </c>
      <c r="J781" s="2">
        <v>5</v>
      </c>
    </row>
    <row r="782" spans="1:10">
      <c r="A782" s="2" t="s">
        <v>1261</v>
      </c>
      <c r="B782" s="2" t="s">
        <v>46</v>
      </c>
      <c r="C782" s="2" t="s">
        <v>16</v>
      </c>
      <c r="D782" s="2" t="s">
        <v>277</v>
      </c>
      <c r="E782" s="2">
        <v>346</v>
      </c>
      <c r="F782" s="3">
        <v>46175</v>
      </c>
      <c r="G782" s="3">
        <v>46188</v>
      </c>
      <c r="H782" s="3">
        <v>46186</v>
      </c>
      <c r="I782" s="2">
        <v>345</v>
      </c>
      <c r="J782" s="2">
        <v>32</v>
      </c>
    </row>
    <row r="783" spans="1:10">
      <c r="A783" s="2" t="s">
        <v>1262</v>
      </c>
      <c r="B783" s="2" t="s">
        <v>19</v>
      </c>
      <c r="C783" s="2" t="s">
        <v>12</v>
      </c>
      <c r="D783" s="2" t="s">
        <v>731</v>
      </c>
      <c r="E783" s="2">
        <v>527</v>
      </c>
      <c r="F783" s="3">
        <v>46095</v>
      </c>
      <c r="G783" s="3">
        <v>46103</v>
      </c>
      <c r="H783" s="3">
        <v>46100</v>
      </c>
      <c r="I783" s="2">
        <v>527</v>
      </c>
      <c r="J783" s="2">
        <v>26</v>
      </c>
    </row>
    <row r="784" spans="1:10">
      <c r="A784" s="2" t="s">
        <v>1263</v>
      </c>
      <c r="B784" s="2" t="s">
        <v>100</v>
      </c>
      <c r="C784" s="2" t="s">
        <v>12</v>
      </c>
      <c r="D784" s="2" t="s">
        <v>376</v>
      </c>
      <c r="E784" s="2">
        <v>523</v>
      </c>
      <c r="F784" s="3">
        <v>46122</v>
      </c>
      <c r="G784" s="3">
        <v>46136</v>
      </c>
      <c r="H784" s="3">
        <v>46133</v>
      </c>
      <c r="I784" s="2">
        <v>528</v>
      </c>
      <c r="J784" s="2">
        <v>5</v>
      </c>
    </row>
    <row r="785" spans="1:10">
      <c r="A785" s="2" t="s">
        <v>1264</v>
      </c>
      <c r="B785" s="2" t="s">
        <v>390</v>
      </c>
      <c r="C785" s="2" t="s">
        <v>16</v>
      </c>
      <c r="D785" s="2" t="s">
        <v>1265</v>
      </c>
      <c r="E785" s="2">
        <v>766</v>
      </c>
      <c r="F785" s="3">
        <v>46108</v>
      </c>
      <c r="G785" s="3">
        <v>46115</v>
      </c>
      <c r="H785" s="3">
        <v>46115</v>
      </c>
      <c r="I785" s="2">
        <v>765</v>
      </c>
      <c r="J785" s="2">
        <v>25</v>
      </c>
    </row>
    <row r="786" spans="1:10">
      <c r="A786" s="2" t="s">
        <v>1266</v>
      </c>
      <c r="B786" s="2" t="s">
        <v>67</v>
      </c>
      <c r="C786" s="2" t="s">
        <v>16</v>
      </c>
      <c r="D786" s="2" t="s">
        <v>769</v>
      </c>
      <c r="E786" s="2">
        <v>282</v>
      </c>
      <c r="F786" s="3">
        <v>46056</v>
      </c>
      <c r="G786" s="3">
        <v>46066</v>
      </c>
      <c r="H786" s="3">
        <v>46066</v>
      </c>
      <c r="I786" s="2">
        <v>285</v>
      </c>
      <c r="J786" s="2">
        <v>4</v>
      </c>
    </row>
    <row r="787" spans="1:10">
      <c r="A787" s="2" t="s">
        <v>1267</v>
      </c>
      <c r="B787" s="2" t="s">
        <v>70</v>
      </c>
      <c r="C787" s="2" t="s">
        <v>12</v>
      </c>
      <c r="D787" s="2" t="s">
        <v>994</v>
      </c>
      <c r="E787" s="2">
        <v>275</v>
      </c>
      <c r="F787" s="3">
        <v>46055</v>
      </c>
      <c r="G787" s="3">
        <v>46068</v>
      </c>
      <c r="H787" s="3">
        <v>46066</v>
      </c>
      <c r="I787" s="2">
        <v>270</v>
      </c>
      <c r="J787" s="2">
        <v>5</v>
      </c>
    </row>
    <row r="788" spans="1:10">
      <c r="A788" s="2" t="s">
        <v>1268</v>
      </c>
      <c r="B788" s="2" t="s">
        <v>49</v>
      </c>
      <c r="C788" s="2" t="s">
        <v>16</v>
      </c>
      <c r="D788" s="2" t="s">
        <v>1269</v>
      </c>
      <c r="E788" s="2">
        <v>628</v>
      </c>
      <c r="F788" s="3">
        <v>46140</v>
      </c>
      <c r="G788" s="3">
        <v>46155</v>
      </c>
      <c r="H788" s="3">
        <v>46153</v>
      </c>
      <c r="I788" s="2">
        <v>623</v>
      </c>
      <c r="J788" s="2">
        <v>4</v>
      </c>
    </row>
    <row r="789" spans="1:10">
      <c r="A789" s="2" t="s">
        <v>1270</v>
      </c>
      <c r="B789" s="2" t="s">
        <v>642</v>
      </c>
      <c r="C789" s="2" t="s">
        <v>23</v>
      </c>
      <c r="D789" s="2" t="s">
        <v>1271</v>
      </c>
      <c r="E789" s="2">
        <v>866</v>
      </c>
      <c r="F789" s="3">
        <v>46073</v>
      </c>
      <c r="G789" s="3">
        <v>46081</v>
      </c>
      <c r="H789" s="3">
        <v>46083</v>
      </c>
      <c r="I789" s="2">
        <v>860</v>
      </c>
      <c r="J789" s="2">
        <v>2</v>
      </c>
    </row>
    <row r="790" spans="1:10">
      <c r="A790" s="2" t="s">
        <v>1272</v>
      </c>
      <c r="B790" s="2" t="s">
        <v>70</v>
      </c>
      <c r="C790" s="2" t="s">
        <v>12</v>
      </c>
      <c r="D790" s="2" t="s">
        <v>1273</v>
      </c>
      <c r="E790" s="2">
        <v>191</v>
      </c>
      <c r="F790" s="3">
        <v>46057</v>
      </c>
      <c r="G790" s="3">
        <v>46070</v>
      </c>
      <c r="H790" s="3">
        <v>46074</v>
      </c>
      <c r="I790" s="2">
        <v>187</v>
      </c>
      <c r="J790" s="2">
        <v>4</v>
      </c>
    </row>
    <row r="791" spans="1:10">
      <c r="A791" s="2" t="s">
        <v>1274</v>
      </c>
      <c r="B791" s="2" t="s">
        <v>11</v>
      </c>
      <c r="C791" s="2" t="s">
        <v>12</v>
      </c>
      <c r="D791" s="2" t="s">
        <v>821</v>
      </c>
      <c r="E791" s="2">
        <v>430</v>
      </c>
      <c r="F791" s="3">
        <v>46112</v>
      </c>
      <c r="G791" s="3">
        <v>46121</v>
      </c>
      <c r="H791" s="2"/>
      <c r="I791" s="2"/>
      <c r="J791" s="2">
        <v>-1</v>
      </c>
    </row>
    <row r="792" spans="1:10">
      <c r="A792" s="2" t="s">
        <v>1275</v>
      </c>
      <c r="B792" s="2" t="s">
        <v>430</v>
      </c>
      <c r="C792" s="2" t="s">
        <v>12</v>
      </c>
      <c r="D792" s="2" t="s">
        <v>44</v>
      </c>
      <c r="E792" s="2">
        <v>597</v>
      </c>
      <c r="F792" s="3">
        <v>46069</v>
      </c>
      <c r="G792" s="3">
        <v>46075</v>
      </c>
      <c r="H792" s="3">
        <v>46074</v>
      </c>
      <c r="I792" s="2">
        <v>599</v>
      </c>
      <c r="J792" s="2">
        <v>18</v>
      </c>
    </row>
    <row r="793" spans="1:10">
      <c r="A793" s="2" t="s">
        <v>1276</v>
      </c>
      <c r="B793" s="2" t="s">
        <v>64</v>
      </c>
      <c r="C793" s="2" t="s">
        <v>12</v>
      </c>
      <c r="D793" s="2" t="s">
        <v>711</v>
      </c>
      <c r="E793" s="2">
        <v>737</v>
      </c>
      <c r="F793" s="3">
        <v>46035</v>
      </c>
      <c r="G793" s="3">
        <v>46044</v>
      </c>
      <c r="H793" s="3">
        <v>46042</v>
      </c>
      <c r="I793" s="2">
        <v>630</v>
      </c>
      <c r="J793" s="2">
        <v>39</v>
      </c>
    </row>
    <row r="794" spans="1:10">
      <c r="A794" s="2" t="s">
        <v>1277</v>
      </c>
      <c r="B794" s="2" t="s">
        <v>26</v>
      </c>
      <c r="C794" s="2" t="s">
        <v>12</v>
      </c>
      <c r="D794" s="2" t="s">
        <v>750</v>
      </c>
      <c r="E794" s="2">
        <v>950</v>
      </c>
      <c r="F794" s="3">
        <v>46073</v>
      </c>
      <c r="G794" s="3">
        <v>46088</v>
      </c>
      <c r="H794" s="3">
        <v>46088</v>
      </c>
      <c r="I794" s="2">
        <v>851</v>
      </c>
      <c r="J794" s="2">
        <v>28</v>
      </c>
    </row>
    <row r="795" spans="1:10">
      <c r="A795" s="2" t="s">
        <v>1278</v>
      </c>
      <c r="B795" s="2" t="s">
        <v>455</v>
      </c>
      <c r="C795" s="2" t="s">
        <v>12</v>
      </c>
      <c r="D795" s="2" t="s">
        <v>854</v>
      </c>
      <c r="E795" s="2">
        <v>96</v>
      </c>
      <c r="F795" s="3">
        <v>46157</v>
      </c>
      <c r="G795" s="3">
        <v>46167</v>
      </c>
      <c r="H795" s="3">
        <v>46167</v>
      </c>
      <c r="I795" s="2">
        <v>84</v>
      </c>
      <c r="J795" s="2">
        <v>4</v>
      </c>
    </row>
    <row r="796" spans="1:10">
      <c r="A796" s="2" t="s">
        <v>1279</v>
      </c>
      <c r="B796" s="2" t="s">
        <v>52</v>
      </c>
      <c r="C796" s="2" t="s">
        <v>16</v>
      </c>
      <c r="D796" s="2" t="s">
        <v>1280</v>
      </c>
      <c r="E796" s="2">
        <v>578</v>
      </c>
      <c r="F796" s="3">
        <v>46089</v>
      </c>
      <c r="G796" s="3">
        <v>46104</v>
      </c>
      <c r="H796" s="3">
        <v>46103</v>
      </c>
      <c r="I796" s="2">
        <v>580</v>
      </c>
      <c r="J796" s="2">
        <v>15</v>
      </c>
    </row>
    <row r="797" spans="1:10">
      <c r="A797" s="2" t="s">
        <v>1281</v>
      </c>
      <c r="B797" s="2" t="s">
        <v>120</v>
      </c>
      <c r="C797" s="2" t="s">
        <v>23</v>
      </c>
      <c r="D797" s="2" t="s">
        <v>1282</v>
      </c>
      <c r="E797" s="2">
        <v>391</v>
      </c>
      <c r="F797" s="3">
        <v>46166</v>
      </c>
      <c r="G797" s="3">
        <v>46181</v>
      </c>
      <c r="H797" s="3">
        <v>46178</v>
      </c>
      <c r="I797" s="2">
        <v>336</v>
      </c>
      <c r="J797" s="2">
        <v>18</v>
      </c>
    </row>
    <row r="798" spans="1:10">
      <c r="A798" s="2" t="s">
        <v>1283</v>
      </c>
      <c r="B798" s="2" t="s">
        <v>1284</v>
      </c>
      <c r="C798" s="2" t="s">
        <v>23</v>
      </c>
      <c r="D798" s="2" t="s">
        <v>779</v>
      </c>
      <c r="E798" s="2">
        <v>365</v>
      </c>
      <c r="F798" s="3">
        <v>46061</v>
      </c>
      <c r="G798" s="3">
        <v>46073</v>
      </c>
      <c r="H798" s="3">
        <v>46072</v>
      </c>
      <c r="I798" s="2">
        <v>361</v>
      </c>
      <c r="J798" s="2">
        <v>20</v>
      </c>
    </row>
    <row r="799" spans="1:10">
      <c r="A799" s="2" t="s">
        <v>1285</v>
      </c>
      <c r="B799" s="2" t="s">
        <v>46</v>
      </c>
      <c r="C799" s="2" t="s">
        <v>23</v>
      </c>
      <c r="D799" s="2" t="s">
        <v>61</v>
      </c>
      <c r="E799" s="2">
        <v>943</v>
      </c>
      <c r="F799" s="3">
        <v>46074</v>
      </c>
      <c r="G799" s="3">
        <v>46082</v>
      </c>
      <c r="H799" s="3">
        <v>46081</v>
      </c>
      <c r="I799" s="2">
        <v>935</v>
      </c>
      <c r="J799" s="2">
        <v>18</v>
      </c>
    </row>
    <row r="800" spans="1:10">
      <c r="A800" s="2" t="s">
        <v>1286</v>
      </c>
      <c r="B800" s="2" t="s">
        <v>1287</v>
      </c>
      <c r="C800" s="2" t="s">
        <v>12</v>
      </c>
      <c r="D800" s="2" t="s">
        <v>379</v>
      </c>
      <c r="E800" s="2">
        <v>460</v>
      </c>
      <c r="F800" s="3">
        <v>46057</v>
      </c>
      <c r="G800" s="3">
        <v>46068</v>
      </c>
      <c r="H800" s="2"/>
      <c r="I800" s="2"/>
      <c r="J800" s="2"/>
    </row>
    <row r="801" spans="1:10">
      <c r="A801" s="2" t="s">
        <v>1288</v>
      </c>
      <c r="B801" s="2" t="s">
        <v>120</v>
      </c>
      <c r="C801" s="2" t="s">
        <v>16</v>
      </c>
      <c r="D801" s="2" t="s">
        <v>1108</v>
      </c>
      <c r="E801" s="2">
        <v>571</v>
      </c>
      <c r="F801" s="3">
        <v>46076</v>
      </c>
      <c r="G801" s="3">
        <v>46088</v>
      </c>
      <c r="H801" s="3">
        <v>46086</v>
      </c>
      <c r="I801" s="2">
        <v>577</v>
      </c>
      <c r="J801" s="2">
        <v>18</v>
      </c>
    </row>
    <row r="802" spans="1:10">
      <c r="A802" s="2" t="s">
        <v>1289</v>
      </c>
      <c r="B802" s="2" t="s">
        <v>177</v>
      </c>
      <c r="C802" s="2" t="s">
        <v>16</v>
      </c>
      <c r="D802" s="2" t="s">
        <v>1290</v>
      </c>
      <c r="E802" s="2">
        <v>605</v>
      </c>
      <c r="F802" s="3">
        <v>46141</v>
      </c>
      <c r="G802" s="3">
        <v>46146</v>
      </c>
      <c r="H802" s="3">
        <v>46144</v>
      </c>
      <c r="I802" s="2">
        <v>599</v>
      </c>
      <c r="J802" s="2">
        <v>5</v>
      </c>
    </row>
    <row r="803" spans="1:10">
      <c r="A803" s="2" t="s">
        <v>1291</v>
      </c>
      <c r="B803" s="2" t="s">
        <v>32</v>
      </c>
      <c r="C803" s="2" t="s">
        <v>16</v>
      </c>
      <c r="D803" s="2" t="s">
        <v>1292</v>
      </c>
      <c r="E803" s="2">
        <v>482</v>
      </c>
      <c r="F803" s="3">
        <v>46164</v>
      </c>
      <c r="G803" s="3">
        <v>46171</v>
      </c>
      <c r="H803" s="3">
        <v>46170</v>
      </c>
      <c r="I803" s="2">
        <v>474</v>
      </c>
      <c r="J803" s="2">
        <v>31</v>
      </c>
    </row>
    <row r="804" spans="1:10">
      <c r="A804" s="2" t="s">
        <v>1293</v>
      </c>
      <c r="B804" s="2" t="s">
        <v>35</v>
      </c>
      <c r="C804" s="2" t="s">
        <v>23</v>
      </c>
      <c r="D804" s="2" t="s">
        <v>1294</v>
      </c>
      <c r="E804" s="2">
        <v>331</v>
      </c>
      <c r="F804" s="3">
        <v>46062</v>
      </c>
      <c r="G804" s="3">
        <v>46072</v>
      </c>
      <c r="H804" s="3">
        <v>46078</v>
      </c>
      <c r="I804" s="2">
        <v>328</v>
      </c>
      <c r="J804" s="2">
        <v>7</v>
      </c>
    </row>
    <row r="805" spans="1:10">
      <c r="A805" s="2" t="s">
        <v>1295</v>
      </c>
      <c r="B805" s="2" t="s">
        <v>177</v>
      </c>
      <c r="C805" s="2" t="s">
        <v>16</v>
      </c>
      <c r="D805" s="2" t="s">
        <v>1296</v>
      </c>
      <c r="E805" s="2">
        <v>412</v>
      </c>
      <c r="F805" s="3">
        <v>46168</v>
      </c>
      <c r="G805" s="3">
        <v>46173</v>
      </c>
      <c r="H805" s="3">
        <v>46173</v>
      </c>
      <c r="I805" s="2">
        <v>414</v>
      </c>
      <c r="J805" s="2">
        <v>8</v>
      </c>
    </row>
    <row r="806" spans="1:10">
      <c r="A806" s="2" t="s">
        <v>667</v>
      </c>
      <c r="B806" s="2" t="s">
        <v>19</v>
      </c>
      <c r="C806" s="2" t="s">
        <v>12</v>
      </c>
      <c r="D806" s="2" t="s">
        <v>668</v>
      </c>
      <c r="E806" s="2">
        <v>124</v>
      </c>
      <c r="F806" s="3">
        <v>46029</v>
      </c>
      <c r="G806" s="3">
        <v>46035</v>
      </c>
      <c r="H806" s="3">
        <v>46034</v>
      </c>
      <c r="I806" s="2">
        <v>125</v>
      </c>
      <c r="J806" s="2">
        <v>1</v>
      </c>
    </row>
    <row r="807" spans="1:10">
      <c r="A807" s="2" t="s">
        <v>1297</v>
      </c>
      <c r="B807" s="2" t="s">
        <v>81</v>
      </c>
      <c r="C807" s="2" t="s">
        <v>16</v>
      </c>
      <c r="D807" s="2" t="s">
        <v>405</v>
      </c>
      <c r="E807" s="2">
        <v>571</v>
      </c>
      <c r="F807" s="3">
        <v>46051</v>
      </c>
      <c r="G807" s="3">
        <v>46059</v>
      </c>
      <c r="H807" s="3">
        <v>46060</v>
      </c>
      <c r="I807" s="2">
        <v>500</v>
      </c>
      <c r="J807" s="2">
        <v>7</v>
      </c>
    </row>
    <row r="808" spans="1:10">
      <c r="A808" s="2" t="s">
        <v>1298</v>
      </c>
      <c r="B808" s="2" t="s">
        <v>19</v>
      </c>
      <c r="C808" s="2" t="s">
        <v>16</v>
      </c>
      <c r="D808" s="2" t="s">
        <v>1299</v>
      </c>
      <c r="E808" s="2">
        <v>795</v>
      </c>
      <c r="F808" s="3">
        <v>46075</v>
      </c>
      <c r="G808" s="3">
        <v>46089</v>
      </c>
      <c r="H808" s="3">
        <v>46087</v>
      </c>
      <c r="I808" s="2">
        <v>808</v>
      </c>
      <c r="J808" s="2">
        <v>7</v>
      </c>
    </row>
    <row r="809" spans="1:10">
      <c r="A809" s="2" t="s">
        <v>1300</v>
      </c>
      <c r="B809" s="2" t="s">
        <v>40</v>
      </c>
      <c r="C809" s="2" t="s">
        <v>16</v>
      </c>
      <c r="D809" s="2" t="s">
        <v>874</v>
      </c>
      <c r="E809" s="2">
        <v>384</v>
      </c>
      <c r="F809" s="3">
        <v>46172</v>
      </c>
      <c r="G809" s="3">
        <v>46185</v>
      </c>
      <c r="H809" s="3">
        <v>46184</v>
      </c>
      <c r="I809" s="2">
        <v>387</v>
      </c>
      <c r="J809" s="2">
        <v>14</v>
      </c>
    </row>
    <row r="810" spans="1:10">
      <c r="A810" s="2" t="s">
        <v>1301</v>
      </c>
      <c r="B810" s="2" t="s">
        <v>100</v>
      </c>
      <c r="C810" s="2" t="s">
        <v>16</v>
      </c>
      <c r="D810" s="2" t="s">
        <v>1302</v>
      </c>
      <c r="E810" s="2">
        <v>223</v>
      </c>
      <c r="F810" s="3">
        <v>46061</v>
      </c>
      <c r="G810" s="3">
        <v>46073</v>
      </c>
      <c r="H810" s="3">
        <v>46075</v>
      </c>
      <c r="I810" s="2">
        <v>227</v>
      </c>
      <c r="J810" s="2">
        <v>7</v>
      </c>
    </row>
    <row r="811" spans="1:10">
      <c r="A811" s="2" t="s">
        <v>1303</v>
      </c>
      <c r="B811" s="2" t="s">
        <v>29</v>
      </c>
      <c r="C811" s="2" t="s">
        <v>23</v>
      </c>
      <c r="D811" s="2" t="s">
        <v>894</v>
      </c>
      <c r="E811" s="2">
        <v>520</v>
      </c>
      <c r="F811" s="3">
        <v>46163</v>
      </c>
      <c r="G811" s="3">
        <v>46170</v>
      </c>
      <c r="H811" s="3">
        <v>46168</v>
      </c>
      <c r="I811" s="2">
        <v>516</v>
      </c>
      <c r="J811" s="2">
        <v>1</v>
      </c>
    </row>
    <row r="812" spans="1:10">
      <c r="A812" s="2" t="s">
        <v>1304</v>
      </c>
      <c r="B812" s="2" t="s">
        <v>40</v>
      </c>
      <c r="C812" s="2" t="s">
        <v>12</v>
      </c>
      <c r="D812" s="2" t="s">
        <v>349</v>
      </c>
      <c r="E812" s="2">
        <v>772</v>
      </c>
      <c r="F812" s="3">
        <v>46070</v>
      </c>
      <c r="G812" s="3">
        <v>46080</v>
      </c>
      <c r="H812" s="3">
        <v>46082</v>
      </c>
      <c r="I812" s="2">
        <v>762</v>
      </c>
      <c r="J812" s="2">
        <v>46</v>
      </c>
    </row>
    <row r="813" spans="1:10">
      <c r="A813" s="2" t="s">
        <v>1305</v>
      </c>
      <c r="B813" s="2" t="s">
        <v>542</v>
      </c>
      <c r="C813" s="2" t="s">
        <v>16</v>
      </c>
      <c r="D813" s="2" t="s">
        <v>1306</v>
      </c>
      <c r="E813" s="2">
        <v>183</v>
      </c>
      <c r="F813" s="3">
        <v>46042</v>
      </c>
      <c r="G813" s="3">
        <v>46047</v>
      </c>
      <c r="H813" s="3">
        <v>46053</v>
      </c>
      <c r="I813" s="2">
        <v>170</v>
      </c>
      <c r="J813" s="2">
        <v>8</v>
      </c>
    </row>
    <row r="814" spans="1:10">
      <c r="A814" s="2" t="s">
        <v>1307</v>
      </c>
      <c r="B814" s="2" t="s">
        <v>554</v>
      </c>
      <c r="C814" s="2" t="s">
        <v>16</v>
      </c>
      <c r="D814" s="2" t="s">
        <v>398</v>
      </c>
      <c r="E814" s="2">
        <v>92</v>
      </c>
      <c r="F814" s="3">
        <v>46129</v>
      </c>
      <c r="G814" s="3">
        <v>46140</v>
      </c>
      <c r="H814" s="2"/>
      <c r="I814" s="2"/>
      <c r="J814" s="2"/>
    </row>
    <row r="815" spans="1:10">
      <c r="A815" s="2" t="s">
        <v>1308</v>
      </c>
      <c r="B815" s="2" t="s">
        <v>19</v>
      </c>
      <c r="C815" s="2" t="s">
        <v>23</v>
      </c>
      <c r="D815" s="2" t="s">
        <v>47</v>
      </c>
      <c r="E815" s="2">
        <v>422</v>
      </c>
      <c r="F815" s="3">
        <v>46141</v>
      </c>
      <c r="G815" s="3">
        <v>46148</v>
      </c>
      <c r="H815" s="3">
        <v>46146</v>
      </c>
      <c r="I815" s="2">
        <v>428</v>
      </c>
      <c r="J815" s="2">
        <v>23</v>
      </c>
    </row>
    <row r="816" spans="1:10">
      <c r="A816" s="2" t="s">
        <v>1309</v>
      </c>
      <c r="B816" s="2" t="s">
        <v>54</v>
      </c>
      <c r="C816" s="2" t="s">
        <v>16</v>
      </c>
      <c r="D816" s="2" t="s">
        <v>432</v>
      </c>
      <c r="E816" s="2">
        <v>191</v>
      </c>
      <c r="F816" s="3">
        <v>46088</v>
      </c>
      <c r="G816" s="3">
        <v>46099</v>
      </c>
      <c r="H816" s="3">
        <v>46097</v>
      </c>
      <c r="I816" s="2">
        <v>189</v>
      </c>
      <c r="J816" s="2">
        <v>3</v>
      </c>
    </row>
    <row r="817" spans="1:10">
      <c r="A817" s="2" t="s">
        <v>1310</v>
      </c>
      <c r="B817" s="2" t="s">
        <v>40</v>
      </c>
      <c r="C817" s="2" t="s">
        <v>16</v>
      </c>
      <c r="D817" s="2" t="s">
        <v>757</v>
      </c>
      <c r="E817" s="2">
        <v>842</v>
      </c>
      <c r="F817" s="3">
        <v>46143</v>
      </c>
      <c r="G817" s="3">
        <v>46153</v>
      </c>
      <c r="H817" s="3">
        <v>46160</v>
      </c>
      <c r="I817" s="2">
        <v>831</v>
      </c>
      <c r="J817" s="2">
        <v>79</v>
      </c>
    </row>
    <row r="818" spans="1:10">
      <c r="A818" s="2" t="s">
        <v>1311</v>
      </c>
      <c r="B818" s="2" t="s">
        <v>81</v>
      </c>
      <c r="C818" s="2" t="s">
        <v>12</v>
      </c>
      <c r="D818" s="2" t="s">
        <v>312</v>
      </c>
      <c r="E818" s="2">
        <v>183</v>
      </c>
      <c r="F818" s="3">
        <v>46114</v>
      </c>
      <c r="G818" s="3">
        <v>46120</v>
      </c>
      <c r="H818" s="3">
        <v>46127</v>
      </c>
      <c r="I818" s="2">
        <v>186</v>
      </c>
      <c r="J818" s="2">
        <v>2</v>
      </c>
    </row>
    <row r="819" spans="1:10">
      <c r="A819" s="2" t="s">
        <v>1312</v>
      </c>
      <c r="B819" s="2" t="s">
        <v>43</v>
      </c>
      <c r="C819" s="2" t="s">
        <v>12</v>
      </c>
      <c r="D819" s="2" t="s">
        <v>140</v>
      </c>
      <c r="E819" s="2">
        <v>822</v>
      </c>
      <c r="F819" s="3">
        <v>46170</v>
      </c>
      <c r="G819" s="3">
        <v>46177</v>
      </c>
      <c r="H819" s="3">
        <v>46176</v>
      </c>
      <c r="I819" s="2">
        <v>820</v>
      </c>
      <c r="J819" s="2">
        <v>1</v>
      </c>
    </row>
    <row r="820" spans="1:10">
      <c r="A820" s="2" t="s">
        <v>1313</v>
      </c>
      <c r="B820" s="2" t="s">
        <v>64</v>
      </c>
      <c r="C820" s="2" t="s">
        <v>16</v>
      </c>
      <c r="D820" s="2" t="s">
        <v>1314</v>
      </c>
      <c r="E820" s="2">
        <v>368</v>
      </c>
      <c r="F820" s="3">
        <v>46117</v>
      </c>
      <c r="G820" s="3">
        <v>46124</v>
      </c>
      <c r="H820" s="3">
        <v>46126</v>
      </c>
      <c r="I820" s="2">
        <v>337</v>
      </c>
      <c r="J820" s="2">
        <v>2</v>
      </c>
    </row>
    <row r="821" spans="1:10">
      <c r="A821" s="2" t="s">
        <v>1315</v>
      </c>
      <c r="B821" s="2" t="s">
        <v>120</v>
      </c>
      <c r="C821" s="2" t="s">
        <v>12</v>
      </c>
      <c r="D821" s="2" t="s">
        <v>1316</v>
      </c>
      <c r="E821" s="2">
        <v>327</v>
      </c>
      <c r="F821" s="3">
        <v>46113</v>
      </c>
      <c r="G821" s="3">
        <v>46118</v>
      </c>
      <c r="H821" s="3">
        <v>46117</v>
      </c>
      <c r="I821" s="2">
        <v>333</v>
      </c>
      <c r="J821" s="2">
        <v>18</v>
      </c>
    </row>
    <row r="822" spans="1:10">
      <c r="A822" s="2" t="s">
        <v>1317</v>
      </c>
      <c r="B822" s="2" t="s">
        <v>139</v>
      </c>
      <c r="C822" s="2" t="s">
        <v>16</v>
      </c>
      <c r="D822" s="2" t="s">
        <v>401</v>
      </c>
      <c r="E822" s="2">
        <v>673</v>
      </c>
      <c r="F822" s="3">
        <v>46045</v>
      </c>
      <c r="G822" s="3">
        <v>46052</v>
      </c>
      <c r="H822" s="3">
        <v>46052</v>
      </c>
      <c r="I822" s="2">
        <v>561</v>
      </c>
      <c r="J822" s="2">
        <v>12</v>
      </c>
    </row>
    <row r="823" spans="1:10">
      <c r="A823" s="2" t="s">
        <v>1318</v>
      </c>
      <c r="B823" s="2" t="s">
        <v>43</v>
      </c>
      <c r="C823" s="2" t="s">
        <v>12</v>
      </c>
      <c r="D823" s="2" t="s">
        <v>486</v>
      </c>
      <c r="E823" s="2">
        <v>819</v>
      </c>
      <c r="F823" s="3">
        <v>46093</v>
      </c>
      <c r="G823" s="3">
        <v>46104</v>
      </c>
      <c r="H823" s="3">
        <v>46104</v>
      </c>
      <c r="I823" s="2">
        <v>819</v>
      </c>
      <c r="J823" s="2">
        <v>16</v>
      </c>
    </row>
    <row r="824" spans="1:10">
      <c r="A824" s="2" t="s">
        <v>1319</v>
      </c>
      <c r="B824" s="2" t="s">
        <v>64</v>
      </c>
      <c r="C824" s="2" t="s">
        <v>12</v>
      </c>
      <c r="D824" s="2" t="s">
        <v>819</v>
      </c>
      <c r="E824" s="2">
        <v>256</v>
      </c>
      <c r="F824" s="3">
        <v>46171</v>
      </c>
      <c r="G824" s="3">
        <v>46183</v>
      </c>
      <c r="H824" s="3">
        <v>46182</v>
      </c>
      <c r="I824" s="2">
        <v>240</v>
      </c>
      <c r="J824" s="2">
        <v>10</v>
      </c>
    </row>
    <row r="825" spans="1:10">
      <c r="A825" s="2" t="s">
        <v>1320</v>
      </c>
      <c r="B825" s="2" t="s">
        <v>100</v>
      </c>
      <c r="C825" s="2" t="s">
        <v>16</v>
      </c>
      <c r="D825" s="2" t="s">
        <v>1302</v>
      </c>
      <c r="E825" s="2">
        <v>557</v>
      </c>
      <c r="F825" s="3">
        <v>46059</v>
      </c>
      <c r="G825" s="3">
        <v>46067</v>
      </c>
      <c r="H825" s="3">
        <v>46067</v>
      </c>
      <c r="I825" s="2">
        <v>563</v>
      </c>
      <c r="J825" s="2">
        <v>16</v>
      </c>
    </row>
    <row r="826" spans="1:10">
      <c r="A826" s="2" t="s">
        <v>1321</v>
      </c>
      <c r="B826" s="2" t="s">
        <v>43</v>
      </c>
      <c r="C826" s="2" t="s">
        <v>12</v>
      </c>
      <c r="D826" s="2" t="s">
        <v>191</v>
      </c>
      <c r="E826" s="2">
        <v>826</v>
      </c>
      <c r="F826" s="3">
        <v>46049</v>
      </c>
      <c r="G826" s="3">
        <v>46054</v>
      </c>
      <c r="H826" s="3">
        <v>46051</v>
      </c>
      <c r="I826" s="2">
        <v>821</v>
      </c>
      <c r="J826" s="2">
        <v>59</v>
      </c>
    </row>
    <row r="827" spans="1:10">
      <c r="A827" s="2" t="s">
        <v>1322</v>
      </c>
      <c r="B827" s="2" t="s">
        <v>54</v>
      </c>
      <c r="C827" s="2" t="s">
        <v>12</v>
      </c>
      <c r="D827" s="2" t="s">
        <v>931</v>
      </c>
      <c r="E827" s="2">
        <v>911</v>
      </c>
      <c r="F827" s="3">
        <v>46112</v>
      </c>
      <c r="G827" s="3">
        <v>46119</v>
      </c>
      <c r="H827" s="3">
        <v>46117</v>
      </c>
      <c r="I827" s="2">
        <v>921</v>
      </c>
      <c r="J827" s="2">
        <v>16</v>
      </c>
    </row>
    <row r="828" spans="1:10">
      <c r="A828" s="2" t="s">
        <v>1323</v>
      </c>
      <c r="B828" s="2" t="s">
        <v>139</v>
      </c>
      <c r="C828" s="2" t="s">
        <v>16</v>
      </c>
      <c r="D828" s="2" t="s">
        <v>815</v>
      </c>
      <c r="E828" s="2">
        <v>380</v>
      </c>
      <c r="F828" s="3">
        <v>46038</v>
      </c>
      <c r="G828" s="3">
        <v>46043</v>
      </c>
      <c r="H828" s="3">
        <v>46043</v>
      </c>
      <c r="I828" s="2">
        <v>372</v>
      </c>
      <c r="J828" s="2">
        <v>10</v>
      </c>
    </row>
    <row r="829" spans="1:10">
      <c r="A829" s="2" t="s">
        <v>1324</v>
      </c>
      <c r="B829" s="2" t="s">
        <v>303</v>
      </c>
      <c r="C829" s="2" t="s">
        <v>12</v>
      </c>
      <c r="D829" s="2" t="s">
        <v>38</v>
      </c>
      <c r="E829" s="2">
        <v>89</v>
      </c>
      <c r="F829" s="3">
        <v>46040</v>
      </c>
      <c r="G829" s="3">
        <v>46045</v>
      </c>
      <c r="H829" s="3">
        <v>46049</v>
      </c>
      <c r="I829" s="2">
        <v>90</v>
      </c>
      <c r="J829" s="2">
        <v>2</v>
      </c>
    </row>
    <row r="830" spans="1:10">
      <c r="A830" s="2" t="s">
        <v>1325</v>
      </c>
      <c r="B830" s="2" t="s">
        <v>81</v>
      </c>
      <c r="C830" s="2" t="s">
        <v>16</v>
      </c>
      <c r="D830" s="2" t="s">
        <v>490</v>
      </c>
      <c r="E830" s="2">
        <v>356</v>
      </c>
      <c r="F830" s="3">
        <v>46150</v>
      </c>
      <c r="G830" s="3">
        <v>46156</v>
      </c>
      <c r="H830" s="3">
        <v>46156</v>
      </c>
      <c r="I830" s="2">
        <v>351</v>
      </c>
      <c r="J830" s="2">
        <v>3</v>
      </c>
    </row>
    <row r="831" spans="1:10">
      <c r="A831" s="2" t="s">
        <v>1326</v>
      </c>
      <c r="B831" s="2" t="s">
        <v>81</v>
      </c>
      <c r="C831" s="2" t="s">
        <v>16</v>
      </c>
      <c r="D831" s="2" t="s">
        <v>1292</v>
      </c>
      <c r="E831" s="2">
        <v>155</v>
      </c>
      <c r="F831" s="3">
        <v>46045</v>
      </c>
      <c r="G831" s="3">
        <v>46051</v>
      </c>
      <c r="H831" s="3">
        <v>46051</v>
      </c>
      <c r="I831" s="2">
        <v>154</v>
      </c>
      <c r="J831" s="2">
        <v>1</v>
      </c>
    </row>
    <row r="832" spans="1:10">
      <c r="A832" s="2" t="s">
        <v>1327</v>
      </c>
      <c r="B832" s="2" t="s">
        <v>54</v>
      </c>
      <c r="C832" s="2" t="s">
        <v>12</v>
      </c>
      <c r="D832" s="2" t="s">
        <v>670</v>
      </c>
      <c r="E832" s="2">
        <v>269</v>
      </c>
      <c r="F832" s="3">
        <v>46118</v>
      </c>
      <c r="G832" s="3">
        <v>46129</v>
      </c>
      <c r="H832" s="3">
        <v>46128</v>
      </c>
      <c r="I832" s="2">
        <v>265</v>
      </c>
      <c r="J832" s="2">
        <v>6</v>
      </c>
    </row>
    <row r="833" spans="1:10">
      <c r="A833" s="2" t="s">
        <v>1328</v>
      </c>
      <c r="B833" s="2" t="s">
        <v>371</v>
      </c>
      <c r="C833" s="2" t="s">
        <v>23</v>
      </c>
      <c r="D833" s="2" t="s">
        <v>33</v>
      </c>
      <c r="E833" s="2">
        <v>259</v>
      </c>
      <c r="F833" s="3">
        <v>46051</v>
      </c>
      <c r="G833" s="3">
        <v>46062</v>
      </c>
      <c r="H833" s="3">
        <v>46070</v>
      </c>
      <c r="I833" s="2">
        <v>242</v>
      </c>
      <c r="J833" s="2">
        <v>6</v>
      </c>
    </row>
    <row r="834" spans="1:10">
      <c r="A834" s="2" t="s">
        <v>1329</v>
      </c>
      <c r="B834" s="2" t="s">
        <v>1330</v>
      </c>
      <c r="C834" s="2" t="s">
        <v>16</v>
      </c>
      <c r="D834" s="2" t="s">
        <v>1331</v>
      </c>
      <c r="E834" s="2">
        <v>636</v>
      </c>
      <c r="F834" s="3">
        <v>46111</v>
      </c>
      <c r="G834" s="3">
        <v>46118</v>
      </c>
      <c r="H834" s="3">
        <v>46118</v>
      </c>
      <c r="I834" s="2">
        <v>646</v>
      </c>
      <c r="J834" s="2">
        <v>14</v>
      </c>
    </row>
    <row r="835" spans="1:10">
      <c r="A835" s="2" t="s">
        <v>1332</v>
      </c>
      <c r="B835" s="2" t="s">
        <v>11</v>
      </c>
      <c r="C835" s="2" t="s">
        <v>23</v>
      </c>
      <c r="D835" s="2" t="s">
        <v>771</v>
      </c>
      <c r="E835" s="2">
        <v>339</v>
      </c>
      <c r="F835" s="3">
        <v>46133</v>
      </c>
      <c r="G835" s="3">
        <v>46142</v>
      </c>
      <c r="H835" s="3">
        <v>46140</v>
      </c>
      <c r="I835" s="2">
        <v>322</v>
      </c>
      <c r="J835" s="2">
        <v>11</v>
      </c>
    </row>
    <row r="836" spans="1:10">
      <c r="A836" s="2" t="s">
        <v>1333</v>
      </c>
      <c r="B836" s="2" t="s">
        <v>1235</v>
      </c>
      <c r="C836" s="2" t="s">
        <v>16</v>
      </c>
      <c r="D836" s="2" t="s">
        <v>1331</v>
      </c>
      <c r="E836" s="2">
        <v>388</v>
      </c>
      <c r="F836" s="3">
        <v>46099</v>
      </c>
      <c r="G836" s="3">
        <v>46114</v>
      </c>
      <c r="H836" s="3">
        <v>46112</v>
      </c>
      <c r="I836" s="2">
        <v>385</v>
      </c>
      <c r="J836" s="2">
        <v>32</v>
      </c>
    </row>
    <row r="837" spans="1:10">
      <c r="A837" s="2" t="s">
        <v>1334</v>
      </c>
      <c r="B837" s="2" t="s">
        <v>46</v>
      </c>
      <c r="C837" s="2" t="s">
        <v>900</v>
      </c>
      <c r="D837" s="2" t="s">
        <v>529</v>
      </c>
      <c r="E837" s="2">
        <v>499</v>
      </c>
      <c r="F837" s="3">
        <v>46155</v>
      </c>
      <c r="G837" s="3">
        <v>46169</v>
      </c>
      <c r="H837" s="3">
        <v>46167</v>
      </c>
      <c r="I837" s="2">
        <v>502</v>
      </c>
      <c r="J837" s="2">
        <v>48</v>
      </c>
    </row>
    <row r="838" spans="1:10">
      <c r="A838" s="2" t="s">
        <v>1335</v>
      </c>
      <c r="B838" s="2" t="s">
        <v>43</v>
      </c>
      <c r="C838" s="2" t="s">
        <v>23</v>
      </c>
      <c r="D838" s="2" t="s">
        <v>82</v>
      </c>
      <c r="E838" s="2">
        <v>298</v>
      </c>
      <c r="F838" s="3">
        <v>46160</v>
      </c>
      <c r="G838" s="3">
        <v>46175</v>
      </c>
      <c r="H838" s="3">
        <v>46174</v>
      </c>
      <c r="I838" s="2">
        <v>297</v>
      </c>
      <c r="J838" s="2">
        <v>5</v>
      </c>
    </row>
    <row r="839" spans="1:10">
      <c r="A839" s="2" t="s">
        <v>1336</v>
      </c>
      <c r="B839" s="2" t="s">
        <v>52</v>
      </c>
      <c r="C839" s="2" t="s">
        <v>23</v>
      </c>
      <c r="D839" s="2" t="s">
        <v>1337</v>
      </c>
      <c r="E839" s="2">
        <v>427</v>
      </c>
      <c r="F839" s="3">
        <v>46092</v>
      </c>
      <c r="G839" s="3">
        <v>46100</v>
      </c>
      <c r="H839" s="3">
        <v>46098</v>
      </c>
      <c r="I839" s="2">
        <v>421</v>
      </c>
      <c r="J839" s="2">
        <v>10</v>
      </c>
    </row>
    <row r="840" spans="1:10">
      <c r="A840" s="2" t="s">
        <v>1338</v>
      </c>
      <c r="B840" s="2" t="s">
        <v>26</v>
      </c>
      <c r="C840" s="2" t="s">
        <v>12</v>
      </c>
      <c r="D840" s="2" t="s">
        <v>148</v>
      </c>
      <c r="E840" s="2">
        <v>388</v>
      </c>
      <c r="F840" s="3">
        <v>46173</v>
      </c>
      <c r="G840" s="3">
        <v>46180</v>
      </c>
      <c r="H840" s="3">
        <v>46178</v>
      </c>
      <c r="I840" s="2">
        <v>384</v>
      </c>
      <c r="J840" s="2">
        <v>5</v>
      </c>
    </row>
    <row r="841" spans="1:10">
      <c r="A841" s="2" t="s">
        <v>1339</v>
      </c>
      <c r="B841" s="2" t="s">
        <v>43</v>
      </c>
      <c r="C841" s="2" t="s">
        <v>23</v>
      </c>
      <c r="D841" s="2" t="s">
        <v>894</v>
      </c>
      <c r="E841" s="2">
        <v>755</v>
      </c>
      <c r="F841" s="3">
        <v>46046</v>
      </c>
      <c r="G841" s="3">
        <v>46052</v>
      </c>
      <c r="H841" s="3">
        <v>46057</v>
      </c>
      <c r="I841" s="2">
        <v>765</v>
      </c>
      <c r="J841" s="2">
        <v>45</v>
      </c>
    </row>
    <row r="842" spans="1:10">
      <c r="A842" s="2" t="s">
        <v>1340</v>
      </c>
      <c r="B842" s="2" t="s">
        <v>54</v>
      </c>
      <c r="C842" s="2" t="s">
        <v>16</v>
      </c>
      <c r="D842" s="2" t="s">
        <v>848</v>
      </c>
      <c r="E842" s="2">
        <v>607</v>
      </c>
      <c r="F842" s="3">
        <v>46040</v>
      </c>
      <c r="G842" s="3">
        <v>46054</v>
      </c>
      <c r="H842" s="3">
        <v>46052</v>
      </c>
      <c r="I842" s="2">
        <v>605</v>
      </c>
      <c r="J842" s="2">
        <v>4</v>
      </c>
    </row>
    <row r="843" spans="1:10">
      <c r="A843" s="2" t="s">
        <v>1341</v>
      </c>
      <c r="B843" s="2" t="s">
        <v>870</v>
      </c>
      <c r="C843" s="2" t="s">
        <v>12</v>
      </c>
      <c r="D843" s="2" t="s">
        <v>156</v>
      </c>
      <c r="E843" s="2">
        <v>202</v>
      </c>
      <c r="F843" s="3">
        <v>46137</v>
      </c>
      <c r="G843" s="3">
        <v>46143</v>
      </c>
      <c r="H843" s="3">
        <v>46142</v>
      </c>
      <c r="I843" s="2">
        <v>200</v>
      </c>
      <c r="J843" s="2">
        <v>8</v>
      </c>
    </row>
    <row r="844" spans="1:10">
      <c r="A844" s="2" t="s">
        <v>1342</v>
      </c>
      <c r="B844" s="2" t="s">
        <v>67</v>
      </c>
      <c r="C844" s="2" t="s">
        <v>12</v>
      </c>
      <c r="D844" s="2" t="s">
        <v>84</v>
      </c>
      <c r="E844" s="2">
        <v>718</v>
      </c>
      <c r="F844" s="3">
        <v>46084</v>
      </c>
      <c r="G844" s="3">
        <v>46095</v>
      </c>
      <c r="H844" s="3">
        <v>46098</v>
      </c>
      <c r="I844" s="2">
        <v>708</v>
      </c>
      <c r="J844" s="2">
        <v>9</v>
      </c>
    </row>
    <row r="845" spans="1:10">
      <c r="A845" s="2" t="s">
        <v>1343</v>
      </c>
      <c r="B845" s="2" t="s">
        <v>43</v>
      </c>
      <c r="C845" s="2" t="s">
        <v>16</v>
      </c>
      <c r="D845" s="2" t="s">
        <v>815</v>
      </c>
      <c r="E845" s="2">
        <v>319</v>
      </c>
      <c r="F845" s="3">
        <v>46057</v>
      </c>
      <c r="G845" s="3">
        <v>46066</v>
      </c>
      <c r="H845" s="3">
        <v>46072</v>
      </c>
      <c r="I845" s="2">
        <v>319</v>
      </c>
      <c r="J845" s="2">
        <v>1</v>
      </c>
    </row>
    <row r="846" spans="1:10">
      <c r="A846" s="2" t="s">
        <v>1344</v>
      </c>
      <c r="B846" s="2" t="s">
        <v>81</v>
      </c>
      <c r="C846" s="2" t="s">
        <v>12</v>
      </c>
      <c r="D846" s="2" t="s">
        <v>167</v>
      </c>
      <c r="E846" s="2">
        <v>342</v>
      </c>
      <c r="F846" s="3">
        <v>46099</v>
      </c>
      <c r="G846" s="3">
        <v>46106</v>
      </c>
      <c r="H846" s="3">
        <v>46106</v>
      </c>
      <c r="I846" s="2">
        <v>344</v>
      </c>
      <c r="J846" s="2">
        <v>1</v>
      </c>
    </row>
    <row r="847" spans="1:10">
      <c r="A847" s="2" t="s">
        <v>1345</v>
      </c>
      <c r="B847" s="2" t="s">
        <v>67</v>
      </c>
      <c r="C847" s="2" t="s">
        <v>16</v>
      </c>
      <c r="D847" s="2" t="s">
        <v>426</v>
      </c>
      <c r="E847" s="2">
        <v>691</v>
      </c>
      <c r="F847" s="3">
        <v>46092</v>
      </c>
      <c r="G847" s="3">
        <v>46101</v>
      </c>
      <c r="H847" s="3">
        <v>46100</v>
      </c>
      <c r="I847" s="2">
        <v>565</v>
      </c>
      <c r="J847" s="2">
        <v>6</v>
      </c>
    </row>
    <row r="848" spans="1:10">
      <c r="A848" s="2" t="s">
        <v>1346</v>
      </c>
      <c r="B848" s="2" t="s">
        <v>46</v>
      </c>
      <c r="C848" s="2" t="s">
        <v>16</v>
      </c>
      <c r="D848" s="2" t="s">
        <v>1347</v>
      </c>
      <c r="E848" s="2">
        <v>498</v>
      </c>
      <c r="F848" s="3">
        <v>46080</v>
      </c>
      <c r="G848" s="3">
        <v>46086</v>
      </c>
      <c r="H848" s="3">
        <v>46083</v>
      </c>
      <c r="I848" s="2">
        <v>497</v>
      </c>
      <c r="J848" s="2">
        <v>13</v>
      </c>
    </row>
    <row r="849" spans="1:10">
      <c r="A849" s="2" t="s">
        <v>1348</v>
      </c>
      <c r="B849" s="2" t="s">
        <v>64</v>
      </c>
      <c r="C849" s="2" t="s">
        <v>12</v>
      </c>
      <c r="D849" s="2" t="s">
        <v>310</v>
      </c>
      <c r="E849" s="2">
        <v>817</v>
      </c>
      <c r="F849" s="3">
        <v>46122</v>
      </c>
      <c r="G849" s="3">
        <v>46135</v>
      </c>
      <c r="H849" s="3">
        <v>46134</v>
      </c>
      <c r="I849" s="2">
        <v>815</v>
      </c>
      <c r="J849" s="2">
        <v>37</v>
      </c>
    </row>
    <row r="850" spans="1:10">
      <c r="A850" s="2" t="s">
        <v>1349</v>
      </c>
      <c r="B850" s="2" t="s">
        <v>32</v>
      </c>
      <c r="C850" s="2" t="s">
        <v>16</v>
      </c>
      <c r="D850" s="2" t="s">
        <v>484</v>
      </c>
      <c r="E850" s="2">
        <v>361</v>
      </c>
      <c r="F850" s="3">
        <v>46037</v>
      </c>
      <c r="G850" s="3">
        <v>46046</v>
      </c>
      <c r="H850" s="2"/>
      <c r="I850" s="2"/>
      <c r="J850" s="2"/>
    </row>
    <row r="851" spans="1:10">
      <c r="A851" s="2" t="s">
        <v>1350</v>
      </c>
      <c r="B851" s="2" t="s">
        <v>22</v>
      </c>
      <c r="C851" s="2" t="s">
        <v>12</v>
      </c>
      <c r="D851" s="2" t="s">
        <v>407</v>
      </c>
      <c r="E851" s="2">
        <v>971</v>
      </c>
      <c r="F851" s="3">
        <v>46081</v>
      </c>
      <c r="G851" s="3">
        <v>46092</v>
      </c>
      <c r="H851" s="3">
        <v>46089</v>
      </c>
      <c r="I851" s="2">
        <v>897</v>
      </c>
      <c r="J851" s="2">
        <v>3</v>
      </c>
    </row>
    <row r="852" spans="1:10">
      <c r="A852" s="2" t="s">
        <v>1351</v>
      </c>
      <c r="B852" s="2" t="s">
        <v>26</v>
      </c>
      <c r="C852" s="2" t="s">
        <v>16</v>
      </c>
      <c r="D852" s="2" t="s">
        <v>1352</v>
      </c>
      <c r="E852" s="2">
        <v>778</v>
      </c>
      <c r="F852" s="3">
        <v>46039</v>
      </c>
      <c r="G852" s="3">
        <v>46050</v>
      </c>
      <c r="H852" s="3">
        <v>46050</v>
      </c>
      <c r="I852" s="2">
        <v>788</v>
      </c>
      <c r="J852" s="2">
        <v>17</v>
      </c>
    </row>
    <row r="853" spans="1:10">
      <c r="A853" s="2" t="s">
        <v>1353</v>
      </c>
      <c r="B853" s="2" t="s">
        <v>1354</v>
      </c>
      <c r="C853" s="2" t="s">
        <v>12</v>
      </c>
      <c r="D853" s="2" t="s">
        <v>714</v>
      </c>
      <c r="E853" s="2">
        <v>617</v>
      </c>
      <c r="F853" s="3">
        <v>46116</v>
      </c>
      <c r="G853" s="3">
        <v>46124</v>
      </c>
      <c r="H853" s="3">
        <v>46122</v>
      </c>
      <c r="I853" s="2">
        <v>559</v>
      </c>
      <c r="J853" s="2">
        <v>15</v>
      </c>
    </row>
    <row r="854" spans="1:10">
      <c r="A854" s="2" t="s">
        <v>1355</v>
      </c>
      <c r="B854" s="2" t="s">
        <v>11</v>
      </c>
      <c r="C854" s="2" t="s">
        <v>12</v>
      </c>
      <c r="D854" s="2" t="s">
        <v>407</v>
      </c>
      <c r="E854" s="2">
        <v>675</v>
      </c>
      <c r="F854" s="3">
        <v>46056</v>
      </c>
      <c r="G854" s="3">
        <v>46071</v>
      </c>
      <c r="H854" s="3">
        <v>46079</v>
      </c>
      <c r="I854" s="2">
        <v>686</v>
      </c>
      <c r="J854" s="2">
        <v>8</v>
      </c>
    </row>
    <row r="855" spans="1:10">
      <c r="A855" s="2" t="s">
        <v>1356</v>
      </c>
      <c r="B855" s="2" t="s">
        <v>19</v>
      </c>
      <c r="C855" s="2" t="s">
        <v>16</v>
      </c>
      <c r="D855" s="2" t="s">
        <v>1357</v>
      </c>
      <c r="E855" s="2">
        <v>89</v>
      </c>
      <c r="F855" s="3">
        <v>46065</v>
      </c>
      <c r="G855" s="3">
        <v>46079</v>
      </c>
      <c r="H855" s="3">
        <v>46079</v>
      </c>
      <c r="I855" s="2">
        <v>87</v>
      </c>
      <c r="J855" s="2">
        <v>2</v>
      </c>
    </row>
    <row r="856" spans="1:10">
      <c r="A856" s="2" t="s">
        <v>1358</v>
      </c>
      <c r="B856" s="2" t="s">
        <v>67</v>
      </c>
      <c r="C856" s="2" t="s">
        <v>16</v>
      </c>
      <c r="D856" s="2" t="s">
        <v>1359</v>
      </c>
      <c r="E856" s="2">
        <v>702</v>
      </c>
      <c r="F856" s="3">
        <v>46168</v>
      </c>
      <c r="G856" s="3">
        <v>46182</v>
      </c>
      <c r="H856" s="3">
        <v>46180</v>
      </c>
      <c r="I856" s="2">
        <v>691</v>
      </c>
      <c r="J856" s="2">
        <v>39</v>
      </c>
    </row>
    <row r="857" spans="1:10">
      <c r="A857" s="2" t="s">
        <v>1360</v>
      </c>
      <c r="B857" s="2" t="s">
        <v>67</v>
      </c>
      <c r="C857" s="2" t="s">
        <v>12</v>
      </c>
      <c r="D857" s="2" t="s">
        <v>38</v>
      </c>
      <c r="E857" s="2">
        <v>407</v>
      </c>
      <c r="F857" s="3">
        <v>46129</v>
      </c>
      <c r="G857" s="3">
        <v>46144</v>
      </c>
      <c r="H857" s="3">
        <v>46144</v>
      </c>
      <c r="I857" s="2">
        <v>413</v>
      </c>
      <c r="J857" s="2">
        <v>3</v>
      </c>
    </row>
    <row r="858" spans="1:10">
      <c r="A858" s="2" t="s">
        <v>1361</v>
      </c>
      <c r="B858" s="2" t="s">
        <v>67</v>
      </c>
      <c r="C858" s="2" t="s">
        <v>12</v>
      </c>
      <c r="D858" s="2" t="s">
        <v>1043</v>
      </c>
      <c r="E858" s="2">
        <v>427</v>
      </c>
      <c r="F858" s="3">
        <v>46158</v>
      </c>
      <c r="G858" s="3">
        <v>46164</v>
      </c>
      <c r="H858" s="3">
        <v>46164</v>
      </c>
      <c r="I858" s="2">
        <v>426</v>
      </c>
      <c r="J858" s="2">
        <v>2</v>
      </c>
    </row>
    <row r="859" spans="1:10">
      <c r="A859" s="2" t="s">
        <v>1362</v>
      </c>
      <c r="B859" s="2" t="s">
        <v>100</v>
      </c>
      <c r="C859" s="2" t="s">
        <v>23</v>
      </c>
      <c r="D859" s="2" t="s">
        <v>86</v>
      </c>
      <c r="E859" s="2">
        <v>605</v>
      </c>
      <c r="F859" s="3">
        <v>46129</v>
      </c>
      <c r="G859" s="3">
        <v>46134</v>
      </c>
      <c r="H859" s="3">
        <v>46133</v>
      </c>
      <c r="I859" s="2">
        <v>605</v>
      </c>
      <c r="J859" s="2">
        <v>21</v>
      </c>
    </row>
    <row r="860" spans="1:10">
      <c r="A860" s="2" t="s">
        <v>1363</v>
      </c>
      <c r="B860" s="2" t="s">
        <v>26</v>
      </c>
      <c r="C860" s="2" t="s">
        <v>16</v>
      </c>
      <c r="D860" s="2" t="s">
        <v>666</v>
      </c>
      <c r="E860" s="2">
        <v>451</v>
      </c>
      <c r="F860" s="3">
        <v>46135</v>
      </c>
      <c r="G860" s="3">
        <v>46150</v>
      </c>
      <c r="H860" s="3">
        <v>46150</v>
      </c>
      <c r="I860" s="2">
        <v>444</v>
      </c>
      <c r="J860" s="2">
        <v>0</v>
      </c>
    </row>
    <row r="861" spans="1:10">
      <c r="A861" s="2" t="s">
        <v>1364</v>
      </c>
      <c r="B861" s="2" t="s">
        <v>1287</v>
      </c>
      <c r="C861" s="2" t="s">
        <v>16</v>
      </c>
      <c r="D861" s="2" t="s">
        <v>1365</v>
      </c>
      <c r="E861" s="2">
        <v>684</v>
      </c>
      <c r="F861" s="3">
        <v>46137</v>
      </c>
      <c r="G861" s="3">
        <v>46143</v>
      </c>
      <c r="H861" s="3">
        <v>46141</v>
      </c>
      <c r="I861" s="2">
        <v>676</v>
      </c>
      <c r="J861" s="2">
        <v>2</v>
      </c>
    </row>
    <row r="862" spans="1:10">
      <c r="A862" s="2" t="s">
        <v>1366</v>
      </c>
      <c r="B862" s="2" t="s">
        <v>252</v>
      </c>
      <c r="C862" s="2" t="s">
        <v>12</v>
      </c>
      <c r="D862" s="2" t="s">
        <v>625</v>
      </c>
      <c r="E862" s="2">
        <v>760</v>
      </c>
      <c r="F862" s="3">
        <v>46052</v>
      </c>
      <c r="G862" s="3">
        <v>46062</v>
      </c>
      <c r="H862" s="3">
        <v>46063</v>
      </c>
      <c r="I862" s="2">
        <v>771</v>
      </c>
      <c r="J862" s="2">
        <v>15</v>
      </c>
    </row>
    <row r="863" spans="1:10">
      <c r="A863" s="2" t="s">
        <v>1367</v>
      </c>
      <c r="B863" s="2" t="s">
        <v>19</v>
      </c>
      <c r="C863" s="2" t="s">
        <v>16</v>
      </c>
      <c r="D863" s="2" t="s">
        <v>978</v>
      </c>
      <c r="E863" s="2">
        <v>482</v>
      </c>
      <c r="F863" s="3">
        <v>46174</v>
      </c>
      <c r="G863" s="3">
        <v>46189</v>
      </c>
      <c r="H863" s="3">
        <v>46188</v>
      </c>
      <c r="I863" s="2">
        <v>485</v>
      </c>
      <c r="J863" s="2">
        <v>5</v>
      </c>
    </row>
    <row r="864" spans="1:10">
      <c r="A864" s="2" t="s">
        <v>1368</v>
      </c>
      <c r="B864" s="2" t="s">
        <v>22</v>
      </c>
      <c r="C864" s="2" t="s">
        <v>12</v>
      </c>
      <c r="D864" s="2" t="s">
        <v>700</v>
      </c>
      <c r="E864" s="2">
        <v>750</v>
      </c>
      <c r="F864" s="3">
        <v>46136</v>
      </c>
      <c r="G864" s="3">
        <v>46143</v>
      </c>
      <c r="H864" s="3">
        <v>46147</v>
      </c>
      <c r="I864" s="2">
        <v>747</v>
      </c>
      <c r="J864" s="2">
        <v>58</v>
      </c>
    </row>
    <row r="865" spans="1:10">
      <c r="A865" s="2" t="s">
        <v>459</v>
      </c>
      <c r="B865" s="2" t="s">
        <v>43</v>
      </c>
      <c r="C865" s="2" t="s">
        <v>23</v>
      </c>
      <c r="D865" s="2" t="s">
        <v>86</v>
      </c>
      <c r="E865" s="2">
        <v>255</v>
      </c>
      <c r="F865" s="3">
        <v>46114</v>
      </c>
      <c r="G865" s="3">
        <v>46120</v>
      </c>
      <c r="H865" s="3">
        <v>46123</v>
      </c>
      <c r="I865" s="2">
        <v>256</v>
      </c>
      <c r="J865" s="2">
        <v>16</v>
      </c>
    </row>
    <row r="866" spans="1:10">
      <c r="A866" s="2" t="s">
        <v>1369</v>
      </c>
      <c r="B866" s="2" t="s">
        <v>929</v>
      </c>
      <c r="C866" s="2" t="s">
        <v>12</v>
      </c>
      <c r="D866" s="2" t="s">
        <v>1370</v>
      </c>
      <c r="E866" s="2">
        <v>487</v>
      </c>
      <c r="F866" s="3">
        <v>46155</v>
      </c>
      <c r="G866" s="3">
        <v>46162</v>
      </c>
      <c r="H866" s="3">
        <v>46163</v>
      </c>
      <c r="I866" s="2">
        <v>492</v>
      </c>
      <c r="J866" s="2">
        <v>7</v>
      </c>
    </row>
    <row r="867" spans="1:10">
      <c r="A867" s="2" t="s">
        <v>1251</v>
      </c>
      <c r="B867" s="2" t="s">
        <v>32</v>
      </c>
      <c r="C867" s="2" t="s">
        <v>12</v>
      </c>
      <c r="D867" s="2" t="s">
        <v>1072</v>
      </c>
      <c r="E867" s="2">
        <v>86</v>
      </c>
      <c r="F867" s="3">
        <v>46137</v>
      </c>
      <c r="G867" s="3">
        <v>46145</v>
      </c>
      <c r="H867" s="3">
        <v>46144</v>
      </c>
      <c r="I867" s="2">
        <v>78</v>
      </c>
      <c r="J867" s="2">
        <v>2</v>
      </c>
    </row>
    <row r="868" spans="1:10">
      <c r="A868" s="2" t="s">
        <v>1371</v>
      </c>
      <c r="B868" s="2" t="s">
        <v>49</v>
      </c>
      <c r="C868" s="2" t="s">
        <v>12</v>
      </c>
      <c r="D868" s="2" t="s">
        <v>807</v>
      </c>
      <c r="E868" s="2">
        <v>226</v>
      </c>
      <c r="F868" s="3">
        <v>46100</v>
      </c>
      <c r="G868" s="3">
        <v>46113</v>
      </c>
      <c r="H868" s="3">
        <v>46112</v>
      </c>
      <c r="I868" s="2">
        <v>228</v>
      </c>
      <c r="J868" s="2">
        <v>1</v>
      </c>
    </row>
    <row r="869" spans="1:10">
      <c r="A869" s="2" t="s">
        <v>1372</v>
      </c>
      <c r="B869" s="2" t="s">
        <v>100</v>
      </c>
      <c r="C869" s="2" t="s">
        <v>16</v>
      </c>
      <c r="D869" s="2" t="s">
        <v>1373</v>
      </c>
      <c r="E869" s="2">
        <v>992</v>
      </c>
      <c r="F869" s="3">
        <v>46063</v>
      </c>
      <c r="G869" s="3">
        <v>46077</v>
      </c>
      <c r="H869" s="3">
        <v>46077</v>
      </c>
      <c r="I869" s="2">
        <v>1007</v>
      </c>
      <c r="J869" s="2">
        <v>19</v>
      </c>
    </row>
    <row r="870" spans="1:10">
      <c r="A870" s="2" t="s">
        <v>1374</v>
      </c>
      <c r="B870" s="2" t="s">
        <v>70</v>
      </c>
      <c r="C870" s="2" t="s">
        <v>16</v>
      </c>
      <c r="D870" s="2" t="s">
        <v>650</v>
      </c>
      <c r="E870" s="2">
        <v>735</v>
      </c>
      <c r="F870" s="3">
        <v>46102</v>
      </c>
      <c r="G870" s="3">
        <v>46116</v>
      </c>
      <c r="H870" s="3">
        <v>46122</v>
      </c>
      <c r="I870" s="2">
        <v>603</v>
      </c>
      <c r="J870" s="2">
        <v>1</v>
      </c>
    </row>
    <row r="871" spans="1:10">
      <c r="A871" s="2" t="s">
        <v>1375</v>
      </c>
      <c r="B871" s="2" t="s">
        <v>70</v>
      </c>
      <c r="C871" s="2" t="s">
        <v>23</v>
      </c>
      <c r="D871" s="2" t="s">
        <v>1376</v>
      </c>
      <c r="E871" s="2">
        <v>432</v>
      </c>
      <c r="F871" s="3">
        <v>46099</v>
      </c>
      <c r="G871" s="3">
        <v>46111</v>
      </c>
      <c r="H871" s="3">
        <v>46120</v>
      </c>
      <c r="I871" s="2">
        <v>431</v>
      </c>
      <c r="J871" s="2">
        <v>9</v>
      </c>
    </row>
    <row r="872" spans="1:10">
      <c r="A872" s="2" t="s">
        <v>1377</v>
      </c>
      <c r="B872" s="2" t="s">
        <v>1122</v>
      </c>
      <c r="C872" s="2" t="s">
        <v>16</v>
      </c>
      <c r="D872" s="2" t="s">
        <v>1160</v>
      </c>
      <c r="E872" s="2">
        <v>737</v>
      </c>
      <c r="F872" s="3">
        <v>46154</v>
      </c>
      <c r="G872" s="3">
        <v>46162</v>
      </c>
      <c r="H872" s="3">
        <v>46161</v>
      </c>
      <c r="I872" s="2">
        <v>729</v>
      </c>
      <c r="J872" s="2">
        <v>32</v>
      </c>
    </row>
    <row r="873" spans="1:10">
      <c r="A873" s="2" t="s">
        <v>1378</v>
      </c>
      <c r="B873" s="2" t="s">
        <v>54</v>
      </c>
      <c r="C873" s="2" t="s">
        <v>12</v>
      </c>
      <c r="D873" s="2" t="s">
        <v>520</v>
      </c>
      <c r="E873" s="2">
        <v>391</v>
      </c>
      <c r="F873" s="3">
        <v>46176</v>
      </c>
      <c r="G873" s="3">
        <v>46185</v>
      </c>
      <c r="H873" s="3">
        <v>46189</v>
      </c>
      <c r="I873" s="2">
        <v>386</v>
      </c>
      <c r="J873" s="2">
        <v>8</v>
      </c>
    </row>
    <row r="874" spans="1:10">
      <c r="A874" s="2" t="s">
        <v>1379</v>
      </c>
      <c r="B874" s="2" t="s">
        <v>663</v>
      </c>
      <c r="C874" s="2" t="s">
        <v>16</v>
      </c>
      <c r="D874" s="2" t="s">
        <v>1380</v>
      </c>
      <c r="E874" s="2">
        <v>314</v>
      </c>
      <c r="F874" s="3">
        <v>46112</v>
      </c>
      <c r="G874" s="3">
        <v>46122</v>
      </c>
      <c r="H874" s="3">
        <v>46122</v>
      </c>
      <c r="I874" s="2">
        <v>260</v>
      </c>
      <c r="J874" s="2">
        <v>1</v>
      </c>
    </row>
    <row r="875" spans="1:10">
      <c r="A875" s="2" t="s">
        <v>1381</v>
      </c>
      <c r="B875" s="2" t="s">
        <v>43</v>
      </c>
      <c r="C875" s="2" t="s">
        <v>23</v>
      </c>
      <c r="D875" s="2" t="s">
        <v>1382</v>
      </c>
      <c r="E875" s="2">
        <v>627</v>
      </c>
      <c r="F875" s="3">
        <v>46036</v>
      </c>
      <c r="G875" s="3">
        <v>46042</v>
      </c>
      <c r="H875" s="3">
        <v>46050</v>
      </c>
      <c r="I875" s="2">
        <v>636</v>
      </c>
      <c r="J875" s="2">
        <v>15</v>
      </c>
    </row>
    <row r="876" spans="1:10">
      <c r="A876" s="2" t="s">
        <v>1383</v>
      </c>
      <c r="B876" s="2" t="s">
        <v>29</v>
      </c>
      <c r="C876" s="2" t="s">
        <v>16</v>
      </c>
      <c r="D876" s="2" t="s">
        <v>1227</v>
      </c>
      <c r="E876" s="2">
        <v>495</v>
      </c>
      <c r="F876" s="3">
        <v>46068</v>
      </c>
      <c r="G876" s="3">
        <v>46082</v>
      </c>
      <c r="H876" s="3">
        <v>46079</v>
      </c>
      <c r="I876" s="2">
        <v>501</v>
      </c>
      <c r="J876" s="2">
        <v>2</v>
      </c>
    </row>
    <row r="877" spans="1:10">
      <c r="A877" s="2" t="s">
        <v>1384</v>
      </c>
      <c r="B877" s="2" t="s">
        <v>67</v>
      </c>
      <c r="C877" s="2" t="s">
        <v>12</v>
      </c>
      <c r="D877" s="2" t="s">
        <v>204</v>
      </c>
      <c r="E877" s="2">
        <v>869</v>
      </c>
      <c r="F877" s="3">
        <v>46061</v>
      </c>
      <c r="G877" s="3">
        <v>46070</v>
      </c>
      <c r="H877" s="2"/>
      <c r="I877" s="2"/>
      <c r="J877" s="2"/>
    </row>
    <row r="878" spans="1:10">
      <c r="A878" s="2" t="s">
        <v>1385</v>
      </c>
      <c r="B878" s="2" t="s">
        <v>1386</v>
      </c>
      <c r="C878" s="2" t="s">
        <v>23</v>
      </c>
      <c r="D878" s="2" t="s">
        <v>1387</v>
      </c>
      <c r="E878" s="2">
        <v>332</v>
      </c>
      <c r="F878" s="3">
        <v>46081</v>
      </c>
      <c r="G878" s="3">
        <v>46087</v>
      </c>
      <c r="H878" s="3">
        <v>46088</v>
      </c>
      <c r="I878" s="2">
        <v>338</v>
      </c>
      <c r="J878" s="2">
        <v>25</v>
      </c>
    </row>
    <row r="879" spans="1:10">
      <c r="A879" s="2" t="s">
        <v>1388</v>
      </c>
      <c r="B879" s="2" t="s">
        <v>120</v>
      </c>
      <c r="C879" s="2" t="s">
        <v>12</v>
      </c>
      <c r="D879" s="2" t="s">
        <v>1098</v>
      </c>
      <c r="E879" s="2">
        <v>427</v>
      </c>
      <c r="F879" s="3">
        <v>46102</v>
      </c>
      <c r="G879" s="3">
        <v>46109</v>
      </c>
      <c r="H879" s="3">
        <v>46107</v>
      </c>
      <c r="I879" s="2">
        <v>359</v>
      </c>
      <c r="J879" s="2">
        <v>6</v>
      </c>
    </row>
    <row r="880" spans="1:10">
      <c r="A880" s="2" t="s">
        <v>1389</v>
      </c>
      <c r="B880" s="2" t="s">
        <v>32</v>
      </c>
      <c r="C880" s="2" t="s">
        <v>12</v>
      </c>
      <c r="D880" s="2" t="s">
        <v>175</v>
      </c>
      <c r="E880" s="2">
        <v>914</v>
      </c>
      <c r="F880" s="3">
        <v>46147</v>
      </c>
      <c r="G880" s="3">
        <v>46159</v>
      </c>
      <c r="H880" s="3">
        <v>46158</v>
      </c>
      <c r="I880" s="2">
        <v>910</v>
      </c>
      <c r="J880" s="2">
        <v>63</v>
      </c>
    </row>
    <row r="881" spans="1:10">
      <c r="A881" s="2" t="s">
        <v>1390</v>
      </c>
      <c r="B881" s="2" t="s">
        <v>43</v>
      </c>
      <c r="C881" s="2" t="s">
        <v>16</v>
      </c>
      <c r="D881" s="2" t="s">
        <v>484</v>
      </c>
      <c r="E881" s="2">
        <v>517</v>
      </c>
      <c r="F881" s="3">
        <v>46092</v>
      </c>
      <c r="G881" s="3">
        <v>46100</v>
      </c>
      <c r="H881" s="3">
        <v>46100</v>
      </c>
      <c r="I881" s="2">
        <v>519</v>
      </c>
      <c r="J881" s="2">
        <v>26</v>
      </c>
    </row>
    <row r="882" spans="1:10">
      <c r="A882" s="2" t="s">
        <v>1391</v>
      </c>
      <c r="B882" s="2" t="s">
        <v>22</v>
      </c>
      <c r="C882" s="2" t="s">
        <v>23</v>
      </c>
      <c r="D882" s="2" t="s">
        <v>726</v>
      </c>
      <c r="E882" s="2">
        <v>833</v>
      </c>
      <c r="F882" s="3">
        <v>46080</v>
      </c>
      <c r="G882" s="3">
        <v>46088</v>
      </c>
      <c r="H882" s="3">
        <v>46088</v>
      </c>
      <c r="I882" s="2">
        <v>840</v>
      </c>
      <c r="J882" s="2">
        <v>28</v>
      </c>
    </row>
    <row r="883" spans="1:10">
      <c r="A883" s="2" t="s">
        <v>1392</v>
      </c>
      <c r="B883" s="2" t="s">
        <v>70</v>
      </c>
      <c r="C883" s="2" t="s">
        <v>12</v>
      </c>
      <c r="D883" s="2" t="s">
        <v>129</v>
      </c>
      <c r="E883" s="2">
        <v>771</v>
      </c>
      <c r="F883" s="3">
        <v>46157</v>
      </c>
      <c r="G883" s="3">
        <v>46164</v>
      </c>
      <c r="H883" s="3">
        <v>46164</v>
      </c>
      <c r="I883" s="2">
        <v>756</v>
      </c>
      <c r="J883" s="2">
        <v>12</v>
      </c>
    </row>
    <row r="884" spans="1:10">
      <c r="A884" s="2" t="s">
        <v>1393</v>
      </c>
      <c r="B884" s="2" t="s">
        <v>528</v>
      </c>
      <c r="C884" s="2" t="s">
        <v>16</v>
      </c>
      <c r="D884" s="2" t="s">
        <v>643</v>
      </c>
      <c r="E884" s="2">
        <v>963</v>
      </c>
      <c r="F884" s="3">
        <v>46042</v>
      </c>
      <c r="G884" s="3">
        <v>46048</v>
      </c>
      <c r="H884" s="3">
        <v>46055</v>
      </c>
      <c r="I884" s="2">
        <v>979</v>
      </c>
      <c r="J884" s="2">
        <v>20</v>
      </c>
    </row>
    <row r="885" spans="1:10">
      <c r="A885" s="2" t="s">
        <v>1394</v>
      </c>
      <c r="B885" s="2" t="s">
        <v>1135</v>
      </c>
      <c r="C885" s="2" t="s">
        <v>16</v>
      </c>
      <c r="D885" s="2" t="s">
        <v>277</v>
      </c>
      <c r="E885" s="2">
        <v>284</v>
      </c>
      <c r="F885" s="3">
        <v>46152</v>
      </c>
      <c r="G885" s="3">
        <v>46166</v>
      </c>
      <c r="H885" s="3">
        <v>46173</v>
      </c>
      <c r="I885" s="2">
        <v>282</v>
      </c>
      <c r="J885" s="2">
        <v>2</v>
      </c>
    </row>
    <row r="886" spans="1:10">
      <c r="A886" s="2" t="s">
        <v>1395</v>
      </c>
      <c r="B886" s="2" t="s">
        <v>64</v>
      </c>
      <c r="C886" s="2" t="s">
        <v>16</v>
      </c>
      <c r="D886" s="2" t="s">
        <v>1396</v>
      </c>
      <c r="E886" s="2">
        <v>814</v>
      </c>
      <c r="F886" s="3">
        <v>46110</v>
      </c>
      <c r="G886" s="3">
        <v>46116</v>
      </c>
      <c r="H886" s="3">
        <v>46122</v>
      </c>
      <c r="I886" s="2">
        <v>819</v>
      </c>
      <c r="J886" s="2">
        <v>14</v>
      </c>
    </row>
    <row r="887" spans="1:10">
      <c r="A887" s="2" t="s">
        <v>1397</v>
      </c>
      <c r="B887" s="2" t="s">
        <v>177</v>
      </c>
      <c r="C887" s="2" t="s">
        <v>12</v>
      </c>
      <c r="D887" s="2" t="s">
        <v>212</v>
      </c>
      <c r="E887" s="2">
        <v>638</v>
      </c>
      <c r="F887" s="3">
        <v>46042</v>
      </c>
      <c r="G887" s="3">
        <v>46049</v>
      </c>
      <c r="H887" s="3">
        <v>46048</v>
      </c>
      <c r="I887" s="2">
        <v>627</v>
      </c>
      <c r="J887" s="2">
        <v>32</v>
      </c>
    </row>
    <row r="888" spans="1:10">
      <c r="A888" s="2" t="s">
        <v>1398</v>
      </c>
      <c r="B888" s="2" t="s">
        <v>46</v>
      </c>
      <c r="C888" s="2" t="s">
        <v>23</v>
      </c>
      <c r="D888" s="2" t="s">
        <v>878</v>
      </c>
      <c r="E888" s="2">
        <v>879</v>
      </c>
      <c r="F888" s="3">
        <v>46091</v>
      </c>
      <c r="G888" s="3">
        <v>46098</v>
      </c>
      <c r="H888" s="3">
        <v>46096</v>
      </c>
      <c r="I888" s="2">
        <v>885</v>
      </c>
      <c r="J888" s="2">
        <v>6</v>
      </c>
    </row>
    <row r="889" spans="1:10">
      <c r="A889" s="2" t="s">
        <v>1399</v>
      </c>
      <c r="B889" s="2" t="s">
        <v>54</v>
      </c>
      <c r="C889" s="2" t="s">
        <v>16</v>
      </c>
      <c r="D889" s="2" t="s">
        <v>1400</v>
      </c>
      <c r="E889" s="2">
        <v>151</v>
      </c>
      <c r="F889" s="3">
        <v>46090</v>
      </c>
      <c r="G889" s="3">
        <v>46095</v>
      </c>
      <c r="H889" s="3">
        <v>46093</v>
      </c>
      <c r="I889" s="2">
        <v>151</v>
      </c>
      <c r="J889" s="2">
        <v>2</v>
      </c>
    </row>
    <row r="890" spans="1:10">
      <c r="A890" s="2" t="s">
        <v>1401</v>
      </c>
      <c r="B890" s="2" t="s">
        <v>40</v>
      </c>
      <c r="C890" s="2" t="s">
        <v>23</v>
      </c>
      <c r="D890" s="2" t="s">
        <v>1402</v>
      </c>
      <c r="E890" s="2">
        <v>188</v>
      </c>
      <c r="F890" s="3">
        <v>46083</v>
      </c>
      <c r="G890" s="3">
        <v>46094</v>
      </c>
      <c r="H890" s="3">
        <v>46092</v>
      </c>
      <c r="I890" s="2">
        <v>168</v>
      </c>
      <c r="J890" s="2">
        <v>7</v>
      </c>
    </row>
    <row r="891" spans="1:10">
      <c r="A891" s="2" t="s">
        <v>1403</v>
      </c>
      <c r="B891" s="2" t="s">
        <v>32</v>
      </c>
      <c r="C891" s="2" t="s">
        <v>16</v>
      </c>
      <c r="D891" s="2" t="s">
        <v>158</v>
      </c>
      <c r="E891" s="2">
        <v>465</v>
      </c>
      <c r="F891" s="3">
        <v>46132</v>
      </c>
      <c r="G891" s="3">
        <v>46143</v>
      </c>
      <c r="H891" s="3">
        <v>46143</v>
      </c>
      <c r="I891" s="2">
        <v>382</v>
      </c>
      <c r="J891" s="2">
        <v>28</v>
      </c>
    </row>
    <row r="892" spans="1:10">
      <c r="A892" s="2" t="s">
        <v>1404</v>
      </c>
      <c r="B892" s="2" t="s">
        <v>64</v>
      </c>
      <c r="C892" s="2" t="s">
        <v>16</v>
      </c>
      <c r="D892" s="2" t="s">
        <v>1227</v>
      </c>
      <c r="E892" s="2">
        <v>393</v>
      </c>
      <c r="F892" s="3">
        <v>46083</v>
      </c>
      <c r="G892" s="3">
        <v>46092</v>
      </c>
      <c r="H892" s="3">
        <v>46089</v>
      </c>
      <c r="I892" s="2">
        <v>388</v>
      </c>
      <c r="J892" s="2">
        <v>18</v>
      </c>
    </row>
    <row r="893" spans="1:10">
      <c r="A893" s="2" t="s">
        <v>1405</v>
      </c>
      <c r="B893" s="2" t="s">
        <v>49</v>
      </c>
      <c r="C893" s="2" t="s">
        <v>16</v>
      </c>
      <c r="D893" s="2" t="s">
        <v>805</v>
      </c>
      <c r="E893" s="2">
        <v>298</v>
      </c>
      <c r="F893" s="3">
        <v>46111</v>
      </c>
      <c r="G893" s="3">
        <v>46116</v>
      </c>
      <c r="H893" s="3">
        <v>46113</v>
      </c>
      <c r="I893" s="2">
        <v>294</v>
      </c>
      <c r="J893" s="2">
        <v>4</v>
      </c>
    </row>
    <row r="894" spans="1:10">
      <c r="A894" s="2" t="s">
        <v>1406</v>
      </c>
      <c r="B894" s="2" t="s">
        <v>67</v>
      </c>
      <c r="C894" s="2" t="s">
        <v>16</v>
      </c>
      <c r="D894" s="2" t="s">
        <v>1407</v>
      </c>
      <c r="E894" s="2">
        <v>493</v>
      </c>
      <c r="F894" s="3">
        <v>46063</v>
      </c>
      <c r="G894" s="3">
        <v>46070</v>
      </c>
      <c r="H894" s="3">
        <v>46068</v>
      </c>
      <c r="I894" s="2">
        <v>419</v>
      </c>
      <c r="J894" s="2">
        <v>19</v>
      </c>
    </row>
    <row r="895" spans="1:10">
      <c r="A895" s="2" t="s">
        <v>1408</v>
      </c>
      <c r="B895" s="2" t="s">
        <v>32</v>
      </c>
      <c r="C895" s="2" t="s">
        <v>16</v>
      </c>
      <c r="D895" s="2" t="s">
        <v>813</v>
      </c>
      <c r="E895" s="2">
        <v>424</v>
      </c>
      <c r="F895" s="3">
        <v>46116</v>
      </c>
      <c r="G895" s="3">
        <v>46130</v>
      </c>
      <c r="H895" s="3">
        <v>46128</v>
      </c>
      <c r="I895" s="2">
        <v>371</v>
      </c>
      <c r="J895" s="2">
        <v>18</v>
      </c>
    </row>
    <row r="896" spans="1:10">
      <c r="A896" s="2" t="s">
        <v>1409</v>
      </c>
      <c r="B896" s="2" t="s">
        <v>43</v>
      </c>
      <c r="C896" s="2" t="s">
        <v>12</v>
      </c>
      <c r="D896" s="2" t="s">
        <v>1244</v>
      </c>
      <c r="E896" s="2">
        <v>446</v>
      </c>
      <c r="F896" s="3">
        <v>46144</v>
      </c>
      <c r="G896" s="3">
        <v>46150</v>
      </c>
      <c r="H896" s="3">
        <v>46148</v>
      </c>
      <c r="I896" s="2">
        <v>446</v>
      </c>
      <c r="J896" s="2">
        <v>29</v>
      </c>
    </row>
    <row r="897" spans="1:10">
      <c r="A897" s="2" t="s">
        <v>1410</v>
      </c>
      <c r="B897" s="2" t="s">
        <v>177</v>
      </c>
      <c r="C897" s="2" t="s">
        <v>12</v>
      </c>
      <c r="D897" s="2" t="s">
        <v>221</v>
      </c>
      <c r="E897" s="2">
        <v>296</v>
      </c>
      <c r="F897" s="3">
        <v>46105</v>
      </c>
      <c r="G897" s="3">
        <v>46117</v>
      </c>
      <c r="H897" s="3">
        <v>46115</v>
      </c>
      <c r="I897" s="2">
        <v>297</v>
      </c>
      <c r="J897" s="2">
        <v>7</v>
      </c>
    </row>
    <row r="898" spans="1:10">
      <c r="A898" s="2" t="s">
        <v>1411</v>
      </c>
      <c r="B898" s="2" t="s">
        <v>40</v>
      </c>
      <c r="C898" s="2" t="s">
        <v>23</v>
      </c>
      <c r="D898" s="2" t="s">
        <v>824</v>
      </c>
      <c r="E898" s="2">
        <v>885</v>
      </c>
      <c r="F898" s="3">
        <v>46147</v>
      </c>
      <c r="G898" s="3">
        <v>46156</v>
      </c>
      <c r="H898" s="3">
        <v>46154</v>
      </c>
      <c r="I898" s="2">
        <v>876</v>
      </c>
      <c r="J898" s="2">
        <v>75</v>
      </c>
    </row>
    <row r="899" spans="1:10">
      <c r="A899" s="2" t="s">
        <v>1412</v>
      </c>
      <c r="B899" s="2" t="s">
        <v>70</v>
      </c>
      <c r="C899" s="2" t="s">
        <v>16</v>
      </c>
      <c r="D899" s="2" t="s">
        <v>904</v>
      </c>
      <c r="E899" s="2">
        <v>900</v>
      </c>
      <c r="F899" s="3">
        <v>46135</v>
      </c>
      <c r="G899" s="3">
        <v>46145</v>
      </c>
      <c r="H899" s="3">
        <v>46144</v>
      </c>
      <c r="I899" s="2">
        <v>912</v>
      </c>
      <c r="J899" s="2">
        <v>17</v>
      </c>
    </row>
    <row r="900" spans="1:10">
      <c r="A900" s="2" t="s">
        <v>1413</v>
      </c>
      <c r="B900" s="2" t="s">
        <v>29</v>
      </c>
      <c r="C900" s="2" t="s">
        <v>23</v>
      </c>
      <c r="D900" s="2" t="s">
        <v>1414</v>
      </c>
      <c r="E900" s="2">
        <v>565</v>
      </c>
      <c r="F900" s="3">
        <v>46150</v>
      </c>
      <c r="G900" s="3">
        <v>46163</v>
      </c>
      <c r="H900" s="3">
        <v>46163</v>
      </c>
      <c r="I900" s="2">
        <v>575</v>
      </c>
      <c r="J900" s="2">
        <v>3</v>
      </c>
    </row>
    <row r="901" spans="1:10">
      <c r="A901" s="2" t="s">
        <v>1415</v>
      </c>
      <c r="B901" s="2" t="s">
        <v>40</v>
      </c>
      <c r="C901" s="2" t="s">
        <v>16</v>
      </c>
      <c r="D901" s="2" t="s">
        <v>1290</v>
      </c>
      <c r="E901" s="2">
        <v>499</v>
      </c>
      <c r="F901" s="3">
        <v>46101</v>
      </c>
      <c r="G901" s="3">
        <v>46113</v>
      </c>
      <c r="H901" s="3">
        <v>46110</v>
      </c>
      <c r="I901" s="2">
        <v>493</v>
      </c>
      <c r="J901" s="2">
        <v>36</v>
      </c>
    </row>
    <row r="902" spans="1:10">
      <c r="A902" s="2" t="s">
        <v>1416</v>
      </c>
      <c r="B902" s="2" t="s">
        <v>29</v>
      </c>
      <c r="C902" s="2" t="s">
        <v>16</v>
      </c>
      <c r="D902" s="2" t="s">
        <v>1417</v>
      </c>
      <c r="E902" s="2">
        <v>774</v>
      </c>
      <c r="F902" s="3">
        <v>46067</v>
      </c>
      <c r="G902" s="3">
        <v>46073</v>
      </c>
      <c r="H902" s="3">
        <v>46079</v>
      </c>
      <c r="I902" s="2">
        <v>774</v>
      </c>
      <c r="J902" s="2">
        <v>2</v>
      </c>
    </row>
    <row r="903" spans="1:10">
      <c r="A903" s="2" t="s">
        <v>1418</v>
      </c>
      <c r="B903" s="2" t="s">
        <v>54</v>
      </c>
      <c r="C903" s="2" t="s">
        <v>16</v>
      </c>
      <c r="D903" s="2" t="s">
        <v>301</v>
      </c>
      <c r="E903" s="2">
        <v>369</v>
      </c>
      <c r="F903" s="3">
        <v>46030</v>
      </c>
      <c r="G903" s="3">
        <v>46037</v>
      </c>
      <c r="H903" s="3">
        <v>46036</v>
      </c>
      <c r="I903" s="2">
        <v>313</v>
      </c>
      <c r="J903" s="2">
        <v>7</v>
      </c>
    </row>
    <row r="904" spans="1:10">
      <c r="A904" s="2" t="s">
        <v>1419</v>
      </c>
      <c r="B904" s="2" t="s">
        <v>40</v>
      </c>
      <c r="C904" s="2" t="s">
        <v>16</v>
      </c>
      <c r="D904" s="2" t="s">
        <v>472</v>
      </c>
      <c r="E904" s="2">
        <v>93</v>
      </c>
      <c r="F904" s="3">
        <v>46174</v>
      </c>
      <c r="G904" s="3">
        <v>46180</v>
      </c>
      <c r="H904" s="3">
        <v>46178</v>
      </c>
      <c r="I904" s="2">
        <v>94</v>
      </c>
      <c r="J904" s="2">
        <v>5</v>
      </c>
    </row>
    <row r="905" spans="1:10">
      <c r="A905" s="2" t="s">
        <v>1420</v>
      </c>
      <c r="B905" s="2" t="s">
        <v>1421</v>
      </c>
      <c r="C905" s="2" t="s">
        <v>12</v>
      </c>
      <c r="D905" s="2" t="s">
        <v>231</v>
      </c>
      <c r="E905" s="2">
        <v>312</v>
      </c>
      <c r="F905" s="3">
        <v>46115</v>
      </c>
      <c r="G905" s="3">
        <v>46124</v>
      </c>
      <c r="H905" s="3">
        <v>46131</v>
      </c>
      <c r="I905" s="2">
        <v>308</v>
      </c>
      <c r="J905" s="2">
        <v>7</v>
      </c>
    </row>
    <row r="906" spans="1:10">
      <c r="A906" s="2" t="s">
        <v>1422</v>
      </c>
      <c r="B906" s="2" t="s">
        <v>29</v>
      </c>
      <c r="C906" s="2" t="s">
        <v>16</v>
      </c>
      <c r="D906" s="2" t="s">
        <v>150</v>
      </c>
      <c r="E906" s="2">
        <v>524</v>
      </c>
      <c r="F906" s="3">
        <v>46117</v>
      </c>
      <c r="G906" s="3">
        <v>46131</v>
      </c>
      <c r="H906" s="3">
        <v>46130</v>
      </c>
      <c r="I906" s="2">
        <v>481</v>
      </c>
      <c r="J906" s="2">
        <v>6</v>
      </c>
    </row>
    <row r="907" spans="1:10">
      <c r="A907" s="2" t="s">
        <v>1423</v>
      </c>
      <c r="B907" s="2" t="s">
        <v>67</v>
      </c>
      <c r="C907" s="2" t="s">
        <v>23</v>
      </c>
      <c r="D907" s="2" t="s">
        <v>1376</v>
      </c>
      <c r="E907" s="2">
        <v>399</v>
      </c>
      <c r="F907" s="3">
        <v>46140</v>
      </c>
      <c r="G907" s="3">
        <v>46154</v>
      </c>
      <c r="H907" s="3">
        <v>46156</v>
      </c>
      <c r="I907" s="2">
        <v>394</v>
      </c>
      <c r="J907" s="2">
        <v>0</v>
      </c>
    </row>
    <row r="908" spans="1:10">
      <c r="A908" s="2" t="s">
        <v>1424</v>
      </c>
      <c r="B908" s="2" t="s">
        <v>70</v>
      </c>
      <c r="C908" s="2" t="s">
        <v>12</v>
      </c>
      <c r="D908" s="2" t="s">
        <v>105</v>
      </c>
      <c r="E908" s="2">
        <v>385</v>
      </c>
      <c r="F908" s="3">
        <v>46135</v>
      </c>
      <c r="G908" s="3">
        <v>46142</v>
      </c>
      <c r="H908" s="3">
        <v>46143</v>
      </c>
      <c r="I908" s="2">
        <v>357</v>
      </c>
      <c r="J908" s="2">
        <v>8</v>
      </c>
    </row>
    <row r="909" spans="1:10">
      <c r="A909" s="2" t="s">
        <v>1425</v>
      </c>
      <c r="B909" s="2" t="s">
        <v>52</v>
      </c>
      <c r="C909" s="2" t="s">
        <v>16</v>
      </c>
      <c r="D909" s="2" t="s">
        <v>1115</v>
      </c>
      <c r="E909" s="2">
        <v>948</v>
      </c>
      <c r="F909" s="3">
        <v>46102</v>
      </c>
      <c r="G909" s="3">
        <v>46111</v>
      </c>
      <c r="H909" s="3">
        <v>46111</v>
      </c>
      <c r="I909" s="2">
        <v>939</v>
      </c>
      <c r="J909" s="2">
        <v>1</v>
      </c>
    </row>
    <row r="910" spans="1:10">
      <c r="A910" s="2" t="s">
        <v>1426</v>
      </c>
      <c r="B910" s="2" t="s">
        <v>26</v>
      </c>
      <c r="C910" s="2" t="s">
        <v>16</v>
      </c>
      <c r="D910" s="2" t="s">
        <v>767</v>
      </c>
      <c r="E910" s="2">
        <v>746</v>
      </c>
      <c r="F910" s="3">
        <v>46162</v>
      </c>
      <c r="G910" s="3">
        <v>46174</v>
      </c>
      <c r="H910" s="3">
        <v>46171</v>
      </c>
      <c r="I910" s="2">
        <v>737</v>
      </c>
      <c r="J910" s="2">
        <v>1</v>
      </c>
    </row>
    <row r="911" spans="1:10">
      <c r="A911" s="2" t="s">
        <v>1427</v>
      </c>
      <c r="B911" s="2" t="s">
        <v>663</v>
      </c>
      <c r="C911" s="2" t="s">
        <v>16</v>
      </c>
      <c r="D911" s="2" t="s">
        <v>1061</v>
      </c>
      <c r="E911" s="2">
        <v>195</v>
      </c>
      <c r="F911" s="3">
        <v>46132</v>
      </c>
      <c r="G911" s="3">
        <v>46140</v>
      </c>
      <c r="H911" s="3">
        <v>46137</v>
      </c>
      <c r="I911" s="2">
        <v>195</v>
      </c>
      <c r="J911" s="2">
        <v>0</v>
      </c>
    </row>
    <row r="912" spans="1:10">
      <c r="A912" s="2" t="s">
        <v>1428</v>
      </c>
      <c r="B912" s="2" t="s">
        <v>49</v>
      </c>
      <c r="C912" s="2" t="s">
        <v>12</v>
      </c>
      <c r="D912" s="2" t="s">
        <v>605</v>
      </c>
      <c r="E912" s="2">
        <v>606</v>
      </c>
      <c r="F912" s="3">
        <v>46134</v>
      </c>
      <c r="G912" s="3">
        <v>46145</v>
      </c>
      <c r="H912" s="3">
        <v>46145</v>
      </c>
      <c r="I912" s="2">
        <v>602</v>
      </c>
      <c r="J912" s="2">
        <v>6</v>
      </c>
    </row>
    <row r="913" spans="1:10">
      <c r="A913" s="2" t="s">
        <v>1429</v>
      </c>
      <c r="B913" s="2" t="s">
        <v>54</v>
      </c>
      <c r="C913" s="2" t="s">
        <v>16</v>
      </c>
      <c r="D913" s="2" t="s">
        <v>1430</v>
      </c>
      <c r="E913" s="2">
        <v>975</v>
      </c>
      <c r="F913" s="3">
        <v>46051</v>
      </c>
      <c r="G913" s="3">
        <v>46057</v>
      </c>
      <c r="H913" s="3">
        <v>46062</v>
      </c>
      <c r="I913" s="2">
        <v>981</v>
      </c>
      <c r="J913" s="2">
        <v>10</v>
      </c>
    </row>
    <row r="914" spans="1:10">
      <c r="A914" s="2" t="s">
        <v>1431</v>
      </c>
      <c r="B914" s="2" t="s">
        <v>26</v>
      </c>
      <c r="C914" s="2" t="s">
        <v>16</v>
      </c>
      <c r="D914" s="2" t="s">
        <v>1256</v>
      </c>
      <c r="E914" s="2">
        <v>577</v>
      </c>
      <c r="F914" s="3">
        <v>46090</v>
      </c>
      <c r="G914" s="3">
        <v>46105</v>
      </c>
      <c r="H914" s="3">
        <v>46104</v>
      </c>
      <c r="I914" s="2">
        <v>548</v>
      </c>
      <c r="J914" s="2">
        <v>6</v>
      </c>
    </row>
    <row r="915" spans="1:10">
      <c r="A915" s="2" t="s">
        <v>1432</v>
      </c>
      <c r="B915" s="2" t="s">
        <v>29</v>
      </c>
      <c r="C915" s="2" t="s">
        <v>12</v>
      </c>
      <c r="D915" s="2" t="s">
        <v>44</v>
      </c>
      <c r="E915" s="2">
        <v>319</v>
      </c>
      <c r="F915" s="3">
        <v>46082</v>
      </c>
      <c r="G915" s="3">
        <v>46096</v>
      </c>
      <c r="H915" s="3">
        <v>46093</v>
      </c>
      <c r="I915" s="2">
        <v>266</v>
      </c>
      <c r="J915" s="2">
        <v>3</v>
      </c>
    </row>
    <row r="916" spans="1:10">
      <c r="A916" s="2" t="s">
        <v>1433</v>
      </c>
      <c r="B916" s="2" t="s">
        <v>70</v>
      </c>
      <c r="C916" s="2" t="s">
        <v>23</v>
      </c>
      <c r="D916" s="2" t="s">
        <v>296</v>
      </c>
      <c r="E916" s="2">
        <v>803</v>
      </c>
      <c r="F916" s="3">
        <v>46171</v>
      </c>
      <c r="G916" s="3">
        <v>46184</v>
      </c>
      <c r="H916" s="3">
        <v>46184</v>
      </c>
      <c r="I916" s="2">
        <v>816</v>
      </c>
      <c r="J916" s="2">
        <v>18</v>
      </c>
    </row>
    <row r="917" spans="1:10">
      <c r="A917" s="2" t="s">
        <v>1434</v>
      </c>
      <c r="B917" s="2" t="s">
        <v>40</v>
      </c>
      <c r="C917" s="2" t="s">
        <v>166</v>
      </c>
      <c r="D917" s="2" t="s">
        <v>645</v>
      </c>
      <c r="E917" s="2">
        <v>615</v>
      </c>
      <c r="F917" s="3">
        <v>46046</v>
      </c>
      <c r="G917" s="3">
        <v>46060</v>
      </c>
      <c r="H917" s="3">
        <v>46065</v>
      </c>
      <c r="I917" s="2">
        <v>603</v>
      </c>
      <c r="J917" s="2">
        <v>10</v>
      </c>
    </row>
    <row r="918" spans="1:10">
      <c r="A918" s="2" t="s">
        <v>1435</v>
      </c>
      <c r="B918" s="2" t="s">
        <v>43</v>
      </c>
      <c r="C918" s="2" t="s">
        <v>16</v>
      </c>
      <c r="D918" s="2" t="s">
        <v>1436</v>
      </c>
      <c r="E918" s="2">
        <v>322</v>
      </c>
      <c r="F918" s="3">
        <v>46045</v>
      </c>
      <c r="G918" s="3">
        <v>46060</v>
      </c>
      <c r="H918" s="3">
        <v>46058</v>
      </c>
      <c r="I918" s="2">
        <v>267</v>
      </c>
      <c r="J918" s="2">
        <v>12</v>
      </c>
    </row>
    <row r="919" spans="1:10">
      <c r="A919" s="2" t="s">
        <v>1437</v>
      </c>
      <c r="B919" s="2" t="s">
        <v>11</v>
      </c>
      <c r="C919" s="2" t="s">
        <v>16</v>
      </c>
      <c r="D919" s="2" t="s">
        <v>1347</v>
      </c>
      <c r="E919" s="2">
        <v>761</v>
      </c>
      <c r="F919" s="3">
        <v>46109</v>
      </c>
      <c r="G919" s="3">
        <v>46115</v>
      </c>
      <c r="H919" s="3">
        <v>46115</v>
      </c>
      <c r="I919" s="2">
        <v>759</v>
      </c>
      <c r="J919" s="2">
        <v>24</v>
      </c>
    </row>
    <row r="920" spans="1:10">
      <c r="A920" s="2" t="s">
        <v>1438</v>
      </c>
      <c r="B920" s="2" t="s">
        <v>120</v>
      </c>
      <c r="C920" s="2" t="s">
        <v>23</v>
      </c>
      <c r="D920" s="2" t="s">
        <v>201</v>
      </c>
      <c r="E920" s="2">
        <v>872</v>
      </c>
      <c r="F920" s="3">
        <v>46093</v>
      </c>
      <c r="G920" s="3">
        <v>46099</v>
      </c>
      <c r="H920" s="3">
        <v>46097</v>
      </c>
      <c r="I920" s="2">
        <v>874</v>
      </c>
      <c r="J920" s="2">
        <v>5</v>
      </c>
    </row>
    <row r="921" spans="1:10">
      <c r="A921" s="2" t="s">
        <v>1439</v>
      </c>
      <c r="B921" s="2" t="s">
        <v>67</v>
      </c>
      <c r="C921" s="2" t="s">
        <v>16</v>
      </c>
      <c r="D921" s="2" t="s">
        <v>1440</v>
      </c>
      <c r="E921" s="2">
        <v>749</v>
      </c>
      <c r="F921" s="3">
        <v>46115</v>
      </c>
      <c r="G921" s="3">
        <v>46121</v>
      </c>
      <c r="H921" s="3">
        <v>46118</v>
      </c>
      <c r="I921" s="2">
        <v>759</v>
      </c>
      <c r="J921" s="2">
        <v>5</v>
      </c>
    </row>
    <row r="922" spans="1:10">
      <c r="A922" s="2" t="s">
        <v>1441</v>
      </c>
      <c r="B922" s="2" t="s">
        <v>474</v>
      </c>
      <c r="C922" s="2" t="s">
        <v>23</v>
      </c>
      <c r="D922" s="2" t="s">
        <v>739</v>
      </c>
      <c r="E922" s="2">
        <v>990</v>
      </c>
      <c r="F922" s="3">
        <v>46141</v>
      </c>
      <c r="G922" s="3">
        <v>46153</v>
      </c>
      <c r="H922" s="3">
        <v>46150</v>
      </c>
      <c r="I922" s="2">
        <v>978</v>
      </c>
      <c r="J922" s="2">
        <v>58</v>
      </c>
    </row>
    <row r="923" spans="1:10">
      <c r="A923" s="2" t="s">
        <v>1442</v>
      </c>
      <c r="B923" s="2" t="s">
        <v>100</v>
      </c>
      <c r="C923" s="2" t="s">
        <v>16</v>
      </c>
      <c r="D923" s="2" t="s">
        <v>207</v>
      </c>
      <c r="E923" s="2">
        <v>819</v>
      </c>
      <c r="F923" s="3">
        <v>46043</v>
      </c>
      <c r="G923" s="3">
        <v>46051</v>
      </c>
      <c r="H923" s="3">
        <v>46051</v>
      </c>
      <c r="I923" s="2">
        <v>805</v>
      </c>
      <c r="J923" s="2">
        <v>18</v>
      </c>
    </row>
    <row r="924" spans="1:10">
      <c r="A924" s="2" t="s">
        <v>1443</v>
      </c>
      <c r="B924" s="2" t="s">
        <v>26</v>
      </c>
      <c r="C924" s="2" t="s">
        <v>16</v>
      </c>
      <c r="D924" s="2" t="s">
        <v>578</v>
      </c>
      <c r="E924" s="2">
        <v>583</v>
      </c>
      <c r="F924" s="3">
        <v>46034</v>
      </c>
      <c r="G924" s="3">
        <v>46045</v>
      </c>
      <c r="H924" s="3">
        <v>46044</v>
      </c>
      <c r="I924" s="2">
        <v>586</v>
      </c>
      <c r="J924" s="2">
        <v>8</v>
      </c>
    </row>
    <row r="925" spans="1:10">
      <c r="A925" s="2" t="s">
        <v>1444</v>
      </c>
      <c r="B925" s="2" t="s">
        <v>46</v>
      </c>
      <c r="C925" s="2" t="s">
        <v>12</v>
      </c>
      <c r="D925" s="2" t="s">
        <v>444</v>
      </c>
      <c r="E925" s="2">
        <v>866</v>
      </c>
      <c r="F925" s="3">
        <v>46093</v>
      </c>
      <c r="G925" s="3">
        <v>46103</v>
      </c>
      <c r="H925" s="3">
        <v>46101</v>
      </c>
      <c r="I925" s="2">
        <v>881</v>
      </c>
      <c r="J925" s="2">
        <v>6</v>
      </c>
    </row>
    <row r="926" spans="1:10">
      <c r="A926" s="2" t="s">
        <v>1445</v>
      </c>
      <c r="B926" s="2" t="s">
        <v>67</v>
      </c>
      <c r="C926" s="2" t="s">
        <v>23</v>
      </c>
      <c r="D926" s="2" t="s">
        <v>1446</v>
      </c>
      <c r="E926" s="2">
        <v>754</v>
      </c>
      <c r="F926" s="3">
        <v>46127</v>
      </c>
      <c r="G926" s="3">
        <v>46138</v>
      </c>
      <c r="H926" s="3">
        <v>46136</v>
      </c>
      <c r="I926" s="2">
        <v>740</v>
      </c>
      <c r="J926" s="2">
        <v>37</v>
      </c>
    </row>
    <row r="927" spans="1:10">
      <c r="A927" s="2" t="s">
        <v>1447</v>
      </c>
      <c r="B927" s="2" t="s">
        <v>54</v>
      </c>
      <c r="C927" s="2" t="s">
        <v>16</v>
      </c>
      <c r="D927" s="2" t="s">
        <v>1019</v>
      </c>
      <c r="E927" s="2">
        <v>760</v>
      </c>
      <c r="F927" s="3">
        <v>46103</v>
      </c>
      <c r="G927" s="3">
        <v>46110</v>
      </c>
      <c r="H927" s="3">
        <v>46115</v>
      </c>
      <c r="I927" s="2">
        <v>755</v>
      </c>
      <c r="J927" s="2">
        <v>5</v>
      </c>
    </row>
    <row r="928" spans="1:10">
      <c r="A928" s="2" t="s">
        <v>1448</v>
      </c>
      <c r="B928" s="2" t="s">
        <v>781</v>
      </c>
      <c r="C928" s="2" t="s">
        <v>16</v>
      </c>
      <c r="D928" s="2" t="s">
        <v>843</v>
      </c>
      <c r="E928" s="2">
        <v>949</v>
      </c>
      <c r="F928" s="3">
        <v>46164</v>
      </c>
      <c r="G928" s="3">
        <v>46179</v>
      </c>
      <c r="H928" s="3">
        <v>46176</v>
      </c>
      <c r="I928" s="2">
        <v>965</v>
      </c>
      <c r="J928" s="2">
        <v>49</v>
      </c>
    </row>
    <row r="929" spans="1:10">
      <c r="A929" s="2" t="s">
        <v>1084</v>
      </c>
      <c r="B929" s="2" t="s">
        <v>46</v>
      </c>
      <c r="C929" s="2" t="s">
        <v>12</v>
      </c>
      <c r="D929" s="2" t="s">
        <v>936</v>
      </c>
      <c r="E929" s="2">
        <v>665</v>
      </c>
      <c r="F929" s="3">
        <v>46079</v>
      </c>
      <c r="G929" s="3">
        <v>46088</v>
      </c>
      <c r="H929" s="3">
        <v>46093</v>
      </c>
      <c r="I929" s="2">
        <v>674</v>
      </c>
      <c r="J929" s="2">
        <v>47</v>
      </c>
    </row>
    <row r="930" spans="1:10">
      <c r="A930" s="2" t="s">
        <v>1449</v>
      </c>
      <c r="B930" s="2" t="s">
        <v>64</v>
      </c>
      <c r="C930" s="2" t="s">
        <v>12</v>
      </c>
      <c r="D930" s="2" t="s">
        <v>936</v>
      </c>
      <c r="E930" s="2">
        <v>101</v>
      </c>
      <c r="F930" s="3">
        <v>46144</v>
      </c>
      <c r="G930" s="3">
        <v>46149</v>
      </c>
      <c r="H930" s="3">
        <v>46148</v>
      </c>
      <c r="I930" s="2">
        <v>103</v>
      </c>
      <c r="J930" s="2">
        <v>6</v>
      </c>
    </row>
    <row r="931" spans="1:10">
      <c r="A931" s="2" t="s">
        <v>1450</v>
      </c>
      <c r="B931" s="2" t="s">
        <v>32</v>
      </c>
      <c r="C931" s="2" t="s">
        <v>23</v>
      </c>
      <c r="D931" s="2" t="s">
        <v>672</v>
      </c>
      <c r="E931" s="2">
        <v>656</v>
      </c>
      <c r="F931" s="3">
        <v>46127</v>
      </c>
      <c r="G931" s="3">
        <v>46134</v>
      </c>
      <c r="H931" s="3">
        <v>46132</v>
      </c>
      <c r="I931" s="2">
        <v>555</v>
      </c>
      <c r="J931" s="2">
        <v>9</v>
      </c>
    </row>
    <row r="932" spans="1:10">
      <c r="A932" s="2" t="s">
        <v>1451</v>
      </c>
      <c r="B932" s="2" t="s">
        <v>29</v>
      </c>
      <c r="C932" s="2" t="s">
        <v>16</v>
      </c>
      <c r="D932" s="2" t="s">
        <v>1090</v>
      </c>
      <c r="E932" s="2">
        <v>481</v>
      </c>
      <c r="F932" s="3">
        <v>46074</v>
      </c>
      <c r="G932" s="3">
        <v>46089</v>
      </c>
      <c r="H932" s="3">
        <v>46087</v>
      </c>
      <c r="I932" s="2">
        <v>463</v>
      </c>
      <c r="J932" s="2">
        <v>3</v>
      </c>
    </row>
    <row r="933" spans="1:10">
      <c r="A933" s="2" t="s">
        <v>1452</v>
      </c>
      <c r="B933" s="2" t="s">
        <v>19</v>
      </c>
      <c r="C933" s="2" t="s">
        <v>12</v>
      </c>
      <c r="D933" s="2" t="s">
        <v>821</v>
      </c>
      <c r="E933" s="2">
        <v>868</v>
      </c>
      <c r="F933" s="3">
        <v>46155</v>
      </c>
      <c r="G933" s="3">
        <v>46170</v>
      </c>
      <c r="H933" s="3">
        <v>46170</v>
      </c>
      <c r="I933" s="2">
        <v>867</v>
      </c>
      <c r="J933" s="2">
        <v>11</v>
      </c>
    </row>
    <row r="934" spans="1:10">
      <c r="A934" s="2" t="s">
        <v>1453</v>
      </c>
      <c r="B934" s="2" t="s">
        <v>40</v>
      </c>
      <c r="C934" s="2" t="s">
        <v>12</v>
      </c>
      <c r="D934" s="2" t="s">
        <v>167</v>
      </c>
      <c r="E934" s="2">
        <v>734</v>
      </c>
      <c r="F934" s="3">
        <v>46051</v>
      </c>
      <c r="G934" s="3">
        <v>46062</v>
      </c>
      <c r="H934" s="3">
        <v>46063</v>
      </c>
      <c r="I934" s="2">
        <v>736</v>
      </c>
      <c r="J934" s="2">
        <v>11</v>
      </c>
    </row>
    <row r="935" spans="1:10">
      <c r="A935" s="2" t="s">
        <v>1454</v>
      </c>
      <c r="B935" s="2" t="s">
        <v>54</v>
      </c>
      <c r="C935" s="2" t="s">
        <v>12</v>
      </c>
      <c r="D935" s="2" t="s">
        <v>1455</v>
      </c>
      <c r="E935" s="2">
        <v>532</v>
      </c>
      <c r="F935" s="3">
        <v>46054</v>
      </c>
      <c r="G935" s="3">
        <v>46059</v>
      </c>
      <c r="H935" s="3">
        <v>46062</v>
      </c>
      <c r="I935" s="2">
        <v>538</v>
      </c>
      <c r="J935" s="2">
        <v>1</v>
      </c>
    </row>
    <row r="936" spans="1:10">
      <c r="A936" s="2" t="s">
        <v>1456</v>
      </c>
      <c r="B936" s="2" t="s">
        <v>22</v>
      </c>
      <c r="C936" s="2" t="s">
        <v>23</v>
      </c>
      <c r="D936" s="2" t="s">
        <v>619</v>
      </c>
      <c r="E936" s="2">
        <v>254</v>
      </c>
      <c r="F936" s="3">
        <v>46052</v>
      </c>
      <c r="G936" s="3">
        <v>46066</v>
      </c>
      <c r="H936" s="3">
        <v>46064</v>
      </c>
      <c r="I936" s="2">
        <v>211</v>
      </c>
      <c r="J936" s="2">
        <v>10</v>
      </c>
    </row>
    <row r="937" spans="1:10">
      <c r="A937" s="2" t="s">
        <v>1457</v>
      </c>
      <c r="B937" s="2" t="s">
        <v>81</v>
      </c>
      <c r="C937" s="2" t="s">
        <v>16</v>
      </c>
      <c r="D937" s="2" t="s">
        <v>934</v>
      </c>
      <c r="E937" s="2">
        <v>373</v>
      </c>
      <c r="F937" s="3">
        <v>46102</v>
      </c>
      <c r="G937" s="3">
        <v>46114</v>
      </c>
      <c r="H937" s="3">
        <v>46112</v>
      </c>
      <c r="I937" s="2">
        <v>377</v>
      </c>
      <c r="J937" s="2">
        <v>3</v>
      </c>
    </row>
    <row r="938" spans="1:10">
      <c r="A938" s="2" t="s">
        <v>1458</v>
      </c>
      <c r="B938" s="2" t="s">
        <v>70</v>
      </c>
      <c r="C938" s="2" t="s">
        <v>12</v>
      </c>
      <c r="D938" s="2" t="s">
        <v>690</v>
      </c>
      <c r="E938" s="2">
        <v>672</v>
      </c>
      <c r="F938" s="3">
        <v>46044</v>
      </c>
      <c r="G938" s="3">
        <v>46051</v>
      </c>
      <c r="H938" s="3">
        <v>46059</v>
      </c>
      <c r="I938" s="2">
        <v>585</v>
      </c>
      <c r="J938" s="2">
        <v>5</v>
      </c>
    </row>
    <row r="939" spans="1:10">
      <c r="A939" s="2" t="s">
        <v>1246</v>
      </c>
      <c r="B939" s="2" t="s">
        <v>177</v>
      </c>
      <c r="C939" s="2" t="s">
        <v>23</v>
      </c>
      <c r="D939" s="2" t="s">
        <v>745</v>
      </c>
      <c r="E939" s="2">
        <v>378</v>
      </c>
      <c r="F939" s="3">
        <v>46086</v>
      </c>
      <c r="G939" s="3">
        <v>46100</v>
      </c>
      <c r="H939" s="3">
        <v>46097</v>
      </c>
      <c r="I939" s="2">
        <v>376</v>
      </c>
      <c r="J939" s="2">
        <v>7</v>
      </c>
    </row>
    <row r="940" spans="1:10">
      <c r="A940" s="2" t="s">
        <v>1459</v>
      </c>
      <c r="B940" s="2" t="s">
        <v>52</v>
      </c>
      <c r="C940" s="2" t="s">
        <v>16</v>
      </c>
      <c r="D940" s="2" t="s">
        <v>383</v>
      </c>
      <c r="E940" s="2">
        <v>169</v>
      </c>
      <c r="F940" s="3">
        <v>46057</v>
      </c>
      <c r="G940" s="3">
        <v>46066</v>
      </c>
      <c r="H940" s="3">
        <v>46063</v>
      </c>
      <c r="I940" s="2">
        <v>167</v>
      </c>
      <c r="J940" s="2">
        <v>1</v>
      </c>
    </row>
    <row r="941" spans="1:10">
      <c r="A941" s="2" t="s">
        <v>1460</v>
      </c>
      <c r="B941" s="2" t="s">
        <v>26</v>
      </c>
      <c r="C941" s="2" t="s">
        <v>12</v>
      </c>
      <c r="D941" s="2" t="s">
        <v>38</v>
      </c>
      <c r="E941" s="2">
        <v>696</v>
      </c>
      <c r="F941" s="3">
        <v>46100</v>
      </c>
      <c r="G941" s="3">
        <v>46108</v>
      </c>
      <c r="H941" s="3">
        <v>46105</v>
      </c>
      <c r="I941" s="2">
        <v>698</v>
      </c>
      <c r="J941" s="2">
        <v>21</v>
      </c>
    </row>
    <row r="942" spans="1:10">
      <c r="A942" s="2" t="s">
        <v>1461</v>
      </c>
      <c r="B942" s="2" t="s">
        <v>54</v>
      </c>
      <c r="C942" s="2" t="s">
        <v>16</v>
      </c>
      <c r="D942" s="2" t="s">
        <v>1357</v>
      </c>
      <c r="E942" s="2">
        <v>329</v>
      </c>
      <c r="F942" s="3">
        <v>46162</v>
      </c>
      <c r="G942" s="3">
        <v>46175</v>
      </c>
      <c r="H942" s="3">
        <v>46175</v>
      </c>
      <c r="I942" s="2">
        <v>333</v>
      </c>
      <c r="J942" s="2">
        <v>4</v>
      </c>
    </row>
    <row r="943" spans="1:10">
      <c r="A943" s="2" t="s">
        <v>1462</v>
      </c>
      <c r="B943" s="2" t="s">
        <v>64</v>
      </c>
      <c r="C943" s="2" t="s">
        <v>12</v>
      </c>
      <c r="D943" s="2" t="s">
        <v>1463</v>
      </c>
      <c r="E943" s="2">
        <v>897</v>
      </c>
      <c r="F943" s="3">
        <v>46158</v>
      </c>
      <c r="G943" s="3">
        <v>46168</v>
      </c>
      <c r="H943" s="3">
        <v>46171</v>
      </c>
      <c r="I943" s="2">
        <v>892</v>
      </c>
      <c r="J943" s="2">
        <v>8</v>
      </c>
    </row>
    <row r="944" spans="1:10">
      <c r="A944" s="2" t="s">
        <v>1464</v>
      </c>
      <c r="B944" s="2" t="s">
        <v>100</v>
      </c>
      <c r="C944" s="2" t="s">
        <v>16</v>
      </c>
      <c r="D944" s="2" t="s">
        <v>1465</v>
      </c>
      <c r="E944" s="2">
        <v>956</v>
      </c>
      <c r="F944" s="3">
        <v>46033</v>
      </c>
      <c r="G944" s="3">
        <v>46040</v>
      </c>
      <c r="H944" s="3">
        <v>46038</v>
      </c>
      <c r="I944" s="2">
        <v>956</v>
      </c>
      <c r="J944" s="2">
        <v>22</v>
      </c>
    </row>
    <row r="945" spans="1:10">
      <c r="A945" s="2" t="s">
        <v>1466</v>
      </c>
      <c r="B945" s="2" t="s">
        <v>127</v>
      </c>
      <c r="C945" s="2" t="s">
        <v>16</v>
      </c>
      <c r="D945" s="2" t="s">
        <v>815</v>
      </c>
      <c r="E945" s="2">
        <v>731</v>
      </c>
      <c r="F945" s="3">
        <v>46134</v>
      </c>
      <c r="G945" s="3">
        <v>46149</v>
      </c>
      <c r="H945" s="3">
        <v>46147</v>
      </c>
      <c r="I945" s="2">
        <v>732</v>
      </c>
      <c r="J945" s="2">
        <v>47</v>
      </c>
    </row>
    <row r="946" spans="1:10">
      <c r="A946" s="2" t="s">
        <v>1467</v>
      </c>
      <c r="B946" s="2" t="s">
        <v>1468</v>
      </c>
      <c r="C946" s="2" t="s">
        <v>23</v>
      </c>
      <c r="D946" s="2" t="s">
        <v>33</v>
      </c>
      <c r="E946" s="2">
        <v>86</v>
      </c>
      <c r="F946" s="3">
        <v>46168</v>
      </c>
      <c r="G946" s="3">
        <v>46179</v>
      </c>
      <c r="H946" s="3">
        <v>46176</v>
      </c>
      <c r="I946" s="2">
        <v>84</v>
      </c>
      <c r="J946" s="2">
        <v>1</v>
      </c>
    </row>
    <row r="947" spans="1:10">
      <c r="A947" s="2" t="s">
        <v>1469</v>
      </c>
      <c r="B947" s="2" t="s">
        <v>43</v>
      </c>
      <c r="C947" s="2" t="s">
        <v>12</v>
      </c>
      <c r="D947" s="2" t="s">
        <v>231</v>
      </c>
      <c r="E947" s="2">
        <v>87</v>
      </c>
      <c r="F947" s="3">
        <v>46150</v>
      </c>
      <c r="G947" s="3">
        <v>46161</v>
      </c>
      <c r="H947" s="3">
        <v>46158</v>
      </c>
      <c r="I947" s="2">
        <v>86</v>
      </c>
      <c r="J947" s="2">
        <v>1</v>
      </c>
    </row>
    <row r="948" spans="1:10">
      <c r="A948" s="2" t="s">
        <v>1470</v>
      </c>
      <c r="B948" s="2" t="s">
        <v>64</v>
      </c>
      <c r="C948" s="2" t="s">
        <v>16</v>
      </c>
      <c r="D948" s="2" t="s">
        <v>1471</v>
      </c>
      <c r="E948" s="2">
        <v>665</v>
      </c>
      <c r="F948" s="3">
        <v>46093</v>
      </c>
      <c r="G948" s="3">
        <v>46098</v>
      </c>
      <c r="H948" s="3">
        <v>46097</v>
      </c>
      <c r="I948" s="2">
        <v>631</v>
      </c>
      <c r="J948" s="2">
        <v>27</v>
      </c>
    </row>
    <row r="949" spans="1:10">
      <c r="A949" s="2" t="s">
        <v>1472</v>
      </c>
      <c r="B949" s="2" t="s">
        <v>120</v>
      </c>
      <c r="C949" s="2" t="s">
        <v>12</v>
      </c>
      <c r="D949" s="2" t="s">
        <v>658</v>
      </c>
      <c r="E949" s="2">
        <v>271</v>
      </c>
      <c r="F949" s="3">
        <v>46102</v>
      </c>
      <c r="G949" s="3">
        <v>46113</v>
      </c>
      <c r="H949" s="3">
        <v>46112</v>
      </c>
      <c r="I949" s="2">
        <v>271</v>
      </c>
      <c r="J949" s="2">
        <v>7</v>
      </c>
    </row>
    <row r="950" spans="1:10">
      <c r="A950" s="2" t="s">
        <v>1473</v>
      </c>
      <c r="B950" s="2" t="s">
        <v>371</v>
      </c>
      <c r="C950" s="2" t="s">
        <v>16</v>
      </c>
      <c r="D950" s="2" t="s">
        <v>815</v>
      </c>
      <c r="E950" s="2">
        <v>758</v>
      </c>
      <c r="F950" s="3">
        <v>46046</v>
      </c>
      <c r="G950" s="3">
        <v>46059</v>
      </c>
      <c r="H950" s="3">
        <v>46057</v>
      </c>
      <c r="I950" s="2">
        <v>746</v>
      </c>
      <c r="J950" s="2">
        <v>48</v>
      </c>
    </row>
    <row r="951" spans="1:10">
      <c r="A951" s="2" t="s">
        <v>1474</v>
      </c>
      <c r="B951" s="2" t="s">
        <v>120</v>
      </c>
      <c r="C951" s="2" t="s">
        <v>166</v>
      </c>
      <c r="D951" s="2" t="s">
        <v>38</v>
      </c>
      <c r="E951" s="2">
        <v>208</v>
      </c>
      <c r="F951" s="3">
        <v>46049</v>
      </c>
      <c r="G951" s="3">
        <v>46055</v>
      </c>
      <c r="H951" s="3">
        <v>46052</v>
      </c>
      <c r="I951" s="2">
        <v>211</v>
      </c>
      <c r="J951" s="2">
        <v>11</v>
      </c>
    </row>
    <row r="952" spans="1:10">
      <c r="A952" s="2" t="s">
        <v>1475</v>
      </c>
      <c r="B952" s="2" t="s">
        <v>11</v>
      </c>
      <c r="C952" s="2" t="s">
        <v>16</v>
      </c>
      <c r="D952" s="2" t="s">
        <v>650</v>
      </c>
      <c r="E952" s="2">
        <v>307</v>
      </c>
      <c r="F952" s="3">
        <v>46112</v>
      </c>
      <c r="G952" s="3">
        <v>46117</v>
      </c>
      <c r="H952" s="3">
        <v>46116</v>
      </c>
      <c r="I952" s="2">
        <v>312</v>
      </c>
      <c r="J952" s="2">
        <v>1</v>
      </c>
    </row>
    <row r="953" spans="1:10">
      <c r="A953" s="2" t="s">
        <v>1476</v>
      </c>
      <c r="B953" s="2" t="s">
        <v>35</v>
      </c>
      <c r="C953" s="2" t="s">
        <v>23</v>
      </c>
      <c r="D953" s="2" t="s">
        <v>1477</v>
      </c>
      <c r="E953" s="2">
        <v>122</v>
      </c>
      <c r="F953" s="3">
        <v>46057</v>
      </c>
      <c r="G953" s="3">
        <v>46063</v>
      </c>
      <c r="H953" s="3">
        <v>46064</v>
      </c>
      <c r="I953" s="2">
        <v>123</v>
      </c>
      <c r="J953" s="2">
        <v>7</v>
      </c>
    </row>
    <row r="954" spans="1:10">
      <c r="A954" s="2" t="s">
        <v>1478</v>
      </c>
      <c r="B954" s="2" t="s">
        <v>49</v>
      </c>
      <c r="C954" s="2" t="s">
        <v>23</v>
      </c>
      <c r="D954" s="2" t="s">
        <v>1479</v>
      </c>
      <c r="E954" s="2">
        <v>753</v>
      </c>
      <c r="F954" s="3">
        <v>46173</v>
      </c>
      <c r="G954" s="3">
        <v>46186</v>
      </c>
      <c r="H954" s="3">
        <v>46190</v>
      </c>
      <c r="I954" s="2">
        <v>766</v>
      </c>
      <c r="J954" s="2">
        <v>5</v>
      </c>
    </row>
    <row r="955" spans="1:10">
      <c r="A955" s="2" t="s">
        <v>1480</v>
      </c>
      <c r="B955" s="2" t="s">
        <v>29</v>
      </c>
      <c r="C955" s="2" t="s">
        <v>12</v>
      </c>
      <c r="D955" s="2" t="s">
        <v>1481</v>
      </c>
      <c r="E955" s="2">
        <v>529</v>
      </c>
      <c r="F955" s="3">
        <v>46129</v>
      </c>
      <c r="G955" s="3">
        <v>46135</v>
      </c>
      <c r="H955" s="3">
        <v>46133</v>
      </c>
      <c r="I955" s="2">
        <v>535</v>
      </c>
      <c r="J955" s="2">
        <v>3</v>
      </c>
    </row>
    <row r="956" spans="1:10">
      <c r="A956" s="2" t="s">
        <v>1482</v>
      </c>
      <c r="B956" s="2" t="s">
        <v>177</v>
      </c>
      <c r="C956" s="2" t="s">
        <v>12</v>
      </c>
      <c r="D956" s="2" t="s">
        <v>1483</v>
      </c>
      <c r="E956" s="2">
        <v>403</v>
      </c>
      <c r="F956" s="3">
        <v>46119</v>
      </c>
      <c r="G956" s="3">
        <v>46124</v>
      </c>
      <c r="H956" s="3">
        <v>46124</v>
      </c>
      <c r="I956" s="2">
        <v>404</v>
      </c>
      <c r="J956" s="2">
        <v>0</v>
      </c>
    </row>
    <row r="957" spans="1:10">
      <c r="A957" s="2" t="s">
        <v>1484</v>
      </c>
      <c r="B957" s="2" t="s">
        <v>49</v>
      </c>
      <c r="C957" s="2" t="s">
        <v>12</v>
      </c>
      <c r="D957" s="2" t="s">
        <v>1455</v>
      </c>
      <c r="E957" s="2">
        <v>911</v>
      </c>
      <c r="F957" s="3">
        <v>46143</v>
      </c>
      <c r="G957" s="3">
        <v>46154</v>
      </c>
      <c r="H957" s="3">
        <v>46162</v>
      </c>
      <c r="I957" s="2">
        <v>923</v>
      </c>
      <c r="J957" s="2">
        <v>11</v>
      </c>
    </row>
    <row r="958" spans="1:10">
      <c r="A958" s="2" t="s">
        <v>1485</v>
      </c>
      <c r="B958" s="2" t="s">
        <v>70</v>
      </c>
      <c r="C958" s="2" t="s">
        <v>12</v>
      </c>
      <c r="D958" s="2" t="s">
        <v>603</v>
      </c>
      <c r="E958" s="2">
        <v>819</v>
      </c>
      <c r="F958" s="3">
        <v>46115</v>
      </c>
      <c r="G958" s="3">
        <v>46123</v>
      </c>
      <c r="H958" s="3">
        <v>46121</v>
      </c>
      <c r="I958" s="2">
        <v>830</v>
      </c>
      <c r="J958" s="2">
        <v>2</v>
      </c>
    </row>
    <row r="959" spans="1:10">
      <c r="A959" s="2" t="s">
        <v>1486</v>
      </c>
      <c r="B959" s="2" t="s">
        <v>35</v>
      </c>
      <c r="C959" s="2" t="s">
        <v>12</v>
      </c>
      <c r="D959" s="2" t="s">
        <v>98</v>
      </c>
      <c r="E959" s="2">
        <v>348</v>
      </c>
      <c r="F959" s="3">
        <v>46043</v>
      </c>
      <c r="G959" s="3">
        <v>46054</v>
      </c>
      <c r="H959" s="3">
        <v>46051</v>
      </c>
      <c r="I959" s="2">
        <v>352</v>
      </c>
      <c r="J959" s="2">
        <v>22</v>
      </c>
    </row>
    <row r="960" spans="1:10">
      <c r="A960" s="2" t="s">
        <v>1487</v>
      </c>
      <c r="B960" s="2" t="s">
        <v>67</v>
      </c>
      <c r="C960" s="2" t="s">
        <v>12</v>
      </c>
      <c r="D960" s="2" t="s">
        <v>645</v>
      </c>
      <c r="E960" s="2">
        <v>321</v>
      </c>
      <c r="F960" s="3">
        <v>46028</v>
      </c>
      <c r="G960" s="3">
        <v>46035</v>
      </c>
      <c r="H960" s="3">
        <v>46040</v>
      </c>
      <c r="I960" s="2">
        <v>276</v>
      </c>
      <c r="J960" s="2">
        <v>1</v>
      </c>
    </row>
    <row r="961" spans="1:10">
      <c r="A961" s="2" t="s">
        <v>1488</v>
      </c>
      <c r="B961" s="2" t="s">
        <v>11</v>
      </c>
      <c r="C961" s="2" t="s">
        <v>12</v>
      </c>
      <c r="D961" s="2" t="s">
        <v>891</v>
      </c>
      <c r="E961" s="2">
        <v>518</v>
      </c>
      <c r="F961" s="3">
        <v>46110</v>
      </c>
      <c r="G961" s="3">
        <v>46118</v>
      </c>
      <c r="H961" s="2"/>
      <c r="I961" s="2"/>
      <c r="J961" s="2"/>
    </row>
    <row r="962" spans="1:10">
      <c r="A962" s="2" t="s">
        <v>1489</v>
      </c>
      <c r="B962" s="2" t="s">
        <v>1490</v>
      </c>
      <c r="C962" s="2" t="s">
        <v>23</v>
      </c>
      <c r="D962" s="2" t="s">
        <v>1491</v>
      </c>
      <c r="E962" s="2">
        <v>290</v>
      </c>
      <c r="F962" s="3">
        <v>46130</v>
      </c>
      <c r="G962" s="3">
        <v>46144</v>
      </c>
      <c r="H962" s="3">
        <v>46141</v>
      </c>
      <c r="I962" s="2">
        <v>278</v>
      </c>
      <c r="J962" s="2">
        <v>3</v>
      </c>
    </row>
    <row r="963" spans="1:10">
      <c r="A963" s="2" t="s">
        <v>1492</v>
      </c>
      <c r="B963" s="2" t="s">
        <v>49</v>
      </c>
      <c r="C963" s="2" t="s">
        <v>23</v>
      </c>
      <c r="D963" s="2" t="s">
        <v>1493</v>
      </c>
      <c r="E963" s="2">
        <v>694</v>
      </c>
      <c r="F963" s="3">
        <v>46052</v>
      </c>
      <c r="G963" s="3">
        <v>46063</v>
      </c>
      <c r="H963" s="3">
        <v>46062</v>
      </c>
      <c r="I963" s="2">
        <v>693</v>
      </c>
      <c r="J963" s="2">
        <v>7</v>
      </c>
    </row>
    <row r="964" spans="1:10">
      <c r="A964" s="2" t="s">
        <v>1494</v>
      </c>
      <c r="B964" s="2" t="s">
        <v>46</v>
      </c>
      <c r="C964" s="2" t="s">
        <v>166</v>
      </c>
      <c r="D964" s="2" t="s">
        <v>731</v>
      </c>
      <c r="E964" s="2">
        <v>522</v>
      </c>
      <c r="F964" s="3">
        <v>46146</v>
      </c>
      <c r="G964" s="3">
        <v>46158</v>
      </c>
      <c r="H964" s="3">
        <v>46155</v>
      </c>
      <c r="I964" s="2">
        <v>512</v>
      </c>
      <c r="J964" s="2">
        <v>2</v>
      </c>
    </row>
    <row r="965" spans="1:10">
      <c r="A965" s="2" t="s">
        <v>1495</v>
      </c>
      <c r="B965" s="2" t="s">
        <v>64</v>
      </c>
      <c r="C965" s="2" t="s">
        <v>23</v>
      </c>
      <c r="D965" s="2" t="s">
        <v>1496</v>
      </c>
      <c r="E965" s="2">
        <v>835</v>
      </c>
      <c r="F965" s="3">
        <v>46147</v>
      </c>
      <c r="G965" s="3">
        <v>46152</v>
      </c>
      <c r="H965" s="3">
        <v>46160</v>
      </c>
      <c r="I965" s="2">
        <v>835</v>
      </c>
      <c r="J965" s="2">
        <v>68</v>
      </c>
    </row>
    <row r="966" spans="1:10">
      <c r="A966" s="2" t="s">
        <v>1497</v>
      </c>
      <c r="B966" s="2" t="s">
        <v>64</v>
      </c>
      <c r="C966" s="2" t="s">
        <v>12</v>
      </c>
      <c r="D966" s="2" t="s">
        <v>1119</v>
      </c>
      <c r="E966" s="2">
        <v>961</v>
      </c>
      <c r="F966" s="3">
        <v>46134</v>
      </c>
      <c r="G966" s="3">
        <v>46148</v>
      </c>
      <c r="H966" s="3">
        <v>46157</v>
      </c>
      <c r="I966" s="2">
        <v>906</v>
      </c>
      <c r="J966" s="2">
        <v>2</v>
      </c>
    </row>
    <row r="967" spans="1:10">
      <c r="A967" s="2" t="s">
        <v>1498</v>
      </c>
      <c r="B967" s="2" t="s">
        <v>54</v>
      </c>
      <c r="C967" s="2" t="s">
        <v>12</v>
      </c>
      <c r="D967" s="2" t="s">
        <v>178</v>
      </c>
      <c r="E967" s="2">
        <v>399</v>
      </c>
      <c r="F967" s="3">
        <v>46027</v>
      </c>
      <c r="G967" s="3">
        <v>46039</v>
      </c>
      <c r="H967" s="3">
        <v>46039</v>
      </c>
      <c r="I967" s="2">
        <v>404</v>
      </c>
      <c r="J967" s="2">
        <v>7</v>
      </c>
    </row>
    <row r="968" spans="1:10">
      <c r="A968" s="2" t="s">
        <v>1499</v>
      </c>
      <c r="B968" s="2" t="s">
        <v>46</v>
      </c>
      <c r="C968" s="2" t="s">
        <v>23</v>
      </c>
      <c r="D968" s="2" t="s">
        <v>1005</v>
      </c>
      <c r="E968" s="2">
        <v>705</v>
      </c>
      <c r="F968" s="3">
        <v>46085</v>
      </c>
      <c r="G968" s="3">
        <v>46099</v>
      </c>
      <c r="H968" s="3">
        <v>46097</v>
      </c>
      <c r="I968" s="2">
        <v>710</v>
      </c>
      <c r="J968" s="2">
        <v>34</v>
      </c>
    </row>
    <row r="969" spans="1:10">
      <c r="A969" s="2" t="s">
        <v>1500</v>
      </c>
      <c r="B969" s="2" t="s">
        <v>177</v>
      </c>
      <c r="C969" s="2" t="s">
        <v>12</v>
      </c>
      <c r="D969" s="2" t="s">
        <v>1501</v>
      </c>
      <c r="E969" s="2">
        <v>304</v>
      </c>
      <c r="F969" s="3">
        <v>46143</v>
      </c>
      <c r="G969" s="3">
        <v>46150</v>
      </c>
      <c r="H969" s="3">
        <v>46152</v>
      </c>
      <c r="I969" s="2">
        <v>302</v>
      </c>
      <c r="J969" s="2">
        <v>2</v>
      </c>
    </row>
    <row r="970" spans="1:10">
      <c r="A970" s="2" t="s">
        <v>1502</v>
      </c>
      <c r="B970" s="2" t="s">
        <v>193</v>
      </c>
      <c r="C970" s="2" t="s">
        <v>16</v>
      </c>
      <c r="D970" s="2" t="s">
        <v>1503</v>
      </c>
      <c r="E970" s="2">
        <v>927</v>
      </c>
      <c r="F970" s="3">
        <v>46119</v>
      </c>
      <c r="G970" s="3">
        <v>46131</v>
      </c>
      <c r="H970" s="3">
        <v>46130</v>
      </c>
      <c r="I970" s="2">
        <v>869</v>
      </c>
      <c r="J970" s="2">
        <v>42</v>
      </c>
    </row>
    <row r="971" spans="1:10">
      <c r="A971" s="2" t="s">
        <v>373</v>
      </c>
      <c r="B971" s="2" t="s">
        <v>67</v>
      </c>
      <c r="C971" s="2" t="s">
        <v>16</v>
      </c>
      <c r="D971" s="2" t="s">
        <v>164</v>
      </c>
      <c r="E971" s="2">
        <v>974</v>
      </c>
      <c r="F971" s="3">
        <v>46048</v>
      </c>
      <c r="G971" s="3">
        <v>46062</v>
      </c>
      <c r="H971" s="3">
        <v>46059</v>
      </c>
      <c r="I971" s="2">
        <v>852</v>
      </c>
      <c r="J971" s="2">
        <v>35</v>
      </c>
    </row>
    <row r="972" spans="1:10">
      <c r="A972" s="2" t="s">
        <v>1504</v>
      </c>
      <c r="B972" s="2" t="s">
        <v>40</v>
      </c>
      <c r="C972" s="2" t="s">
        <v>12</v>
      </c>
      <c r="D972" s="2" t="s">
        <v>658</v>
      </c>
      <c r="E972" s="2">
        <v>311</v>
      </c>
      <c r="F972" s="3">
        <v>46170</v>
      </c>
      <c r="G972" s="3">
        <v>46180</v>
      </c>
      <c r="H972" s="3">
        <v>46178</v>
      </c>
      <c r="I972" s="2">
        <v>315</v>
      </c>
      <c r="J972" s="2">
        <v>27</v>
      </c>
    </row>
    <row r="973" spans="1:10">
      <c r="A973" s="2" t="s">
        <v>1505</v>
      </c>
      <c r="B973" s="2" t="s">
        <v>54</v>
      </c>
      <c r="C973" s="2" t="s">
        <v>23</v>
      </c>
      <c r="D973" s="2" t="s">
        <v>1446</v>
      </c>
      <c r="E973" s="2">
        <v>175</v>
      </c>
      <c r="F973" s="3">
        <v>46041</v>
      </c>
      <c r="G973" s="3">
        <v>46053</v>
      </c>
      <c r="H973" s="3">
        <v>46058</v>
      </c>
      <c r="I973" s="2">
        <v>177</v>
      </c>
      <c r="J973" s="2">
        <v>0</v>
      </c>
    </row>
    <row r="974" spans="1:10">
      <c r="A974" s="2" t="s">
        <v>1506</v>
      </c>
      <c r="B974" s="2" t="s">
        <v>476</v>
      </c>
      <c r="C974" s="2" t="s">
        <v>16</v>
      </c>
      <c r="D974" s="2" t="s">
        <v>1507</v>
      </c>
      <c r="E974" s="2">
        <v>358</v>
      </c>
      <c r="F974" s="3">
        <v>46045</v>
      </c>
      <c r="G974" s="3">
        <v>46059</v>
      </c>
      <c r="H974" s="3">
        <v>46060</v>
      </c>
      <c r="I974" s="2">
        <v>312</v>
      </c>
      <c r="J974" s="2">
        <v>1</v>
      </c>
    </row>
    <row r="975" spans="1:10">
      <c r="A975" s="2" t="s">
        <v>1508</v>
      </c>
      <c r="B975" s="2" t="s">
        <v>35</v>
      </c>
      <c r="C975" s="2" t="s">
        <v>16</v>
      </c>
      <c r="D975" s="2" t="s">
        <v>594</v>
      </c>
      <c r="E975" s="2">
        <v>169</v>
      </c>
      <c r="F975" s="3">
        <v>46116</v>
      </c>
      <c r="G975" s="3">
        <v>46127</v>
      </c>
      <c r="H975" s="3">
        <v>46133</v>
      </c>
      <c r="I975" s="2">
        <v>171</v>
      </c>
      <c r="J975" s="2">
        <v>5</v>
      </c>
    </row>
    <row r="976" spans="1:10">
      <c r="A976" s="2" t="s">
        <v>1509</v>
      </c>
      <c r="B976" s="2" t="s">
        <v>35</v>
      </c>
      <c r="C976" s="2" t="s">
        <v>900</v>
      </c>
      <c r="D976" s="2" t="s">
        <v>1510</v>
      </c>
      <c r="E976" s="2">
        <v>579</v>
      </c>
      <c r="F976" s="3">
        <v>46138</v>
      </c>
      <c r="G976" s="3">
        <v>46151</v>
      </c>
      <c r="H976" s="3">
        <v>46149</v>
      </c>
      <c r="I976" s="2">
        <v>568</v>
      </c>
      <c r="J976" s="2">
        <v>28</v>
      </c>
    </row>
    <row r="977" spans="1:10">
      <c r="A977" s="2" t="s">
        <v>1511</v>
      </c>
      <c r="B977" s="2" t="s">
        <v>1235</v>
      </c>
      <c r="C977" s="2" t="s">
        <v>23</v>
      </c>
      <c r="D977" s="2" t="s">
        <v>1512</v>
      </c>
      <c r="E977" s="2">
        <v>285</v>
      </c>
      <c r="F977" s="3">
        <v>46051</v>
      </c>
      <c r="G977" s="3">
        <v>46066</v>
      </c>
      <c r="H977" s="3">
        <v>46072</v>
      </c>
      <c r="I977" s="2">
        <v>239</v>
      </c>
      <c r="J977" s="2">
        <v>16</v>
      </c>
    </row>
    <row r="978" spans="1:10">
      <c r="A978" s="2" t="s">
        <v>1513</v>
      </c>
      <c r="B978" s="2" t="s">
        <v>378</v>
      </c>
      <c r="C978" s="2" t="s">
        <v>16</v>
      </c>
      <c r="D978" s="2" t="s">
        <v>1067</v>
      </c>
      <c r="E978" s="2">
        <v>138</v>
      </c>
      <c r="F978" s="3">
        <v>46071</v>
      </c>
      <c r="G978" s="3">
        <v>46081</v>
      </c>
      <c r="H978" s="3">
        <v>46080</v>
      </c>
      <c r="I978" s="2">
        <v>140</v>
      </c>
      <c r="J978" s="2">
        <v>2</v>
      </c>
    </row>
    <row r="979" spans="1:10">
      <c r="A979" s="2" t="s">
        <v>1514</v>
      </c>
      <c r="B979" s="2" t="s">
        <v>22</v>
      </c>
      <c r="C979" s="2" t="s">
        <v>23</v>
      </c>
      <c r="D979" s="2" t="s">
        <v>1337</v>
      </c>
      <c r="E979" s="2">
        <v>468</v>
      </c>
      <c r="F979" s="3">
        <v>46102</v>
      </c>
      <c r="G979" s="3">
        <v>46108</v>
      </c>
      <c r="H979" s="3">
        <v>46106</v>
      </c>
      <c r="I979" s="2">
        <v>382</v>
      </c>
      <c r="J979" s="2">
        <v>12</v>
      </c>
    </row>
    <row r="980" spans="1:10">
      <c r="A980" s="2" t="s">
        <v>1515</v>
      </c>
      <c r="B980" s="2" t="s">
        <v>11</v>
      </c>
      <c r="C980" s="2" t="s">
        <v>12</v>
      </c>
      <c r="D980" s="2" t="s">
        <v>664</v>
      </c>
      <c r="E980" s="2">
        <v>252</v>
      </c>
      <c r="F980" s="3">
        <v>46113</v>
      </c>
      <c r="G980" s="3">
        <v>46125</v>
      </c>
      <c r="H980" s="3">
        <v>46125</v>
      </c>
      <c r="I980" s="2">
        <v>251</v>
      </c>
      <c r="J980" s="2">
        <v>1</v>
      </c>
    </row>
    <row r="981" spans="1:10">
      <c r="A981" s="2" t="s">
        <v>1516</v>
      </c>
      <c r="B981" s="2" t="s">
        <v>26</v>
      </c>
      <c r="C981" s="2" t="s">
        <v>16</v>
      </c>
      <c r="D981" s="2" t="s">
        <v>529</v>
      </c>
      <c r="E981" s="2">
        <v>977</v>
      </c>
      <c r="F981" s="3">
        <v>46098</v>
      </c>
      <c r="G981" s="3">
        <v>46104</v>
      </c>
      <c r="H981" s="3">
        <v>46103</v>
      </c>
      <c r="I981" s="2">
        <v>958</v>
      </c>
      <c r="J981" s="2">
        <v>1</v>
      </c>
    </row>
    <row r="982" spans="1:10">
      <c r="A982" s="2" t="s">
        <v>1517</v>
      </c>
      <c r="B982" s="2" t="s">
        <v>177</v>
      </c>
      <c r="C982" s="2" t="s">
        <v>16</v>
      </c>
      <c r="D982" s="2" t="s">
        <v>1518</v>
      </c>
      <c r="E982" s="2">
        <v>232</v>
      </c>
      <c r="F982" s="3">
        <v>46103</v>
      </c>
      <c r="G982" s="3">
        <v>46109</v>
      </c>
      <c r="H982" s="3">
        <v>46109</v>
      </c>
      <c r="I982" s="2">
        <v>236</v>
      </c>
      <c r="J982" s="2">
        <v>8</v>
      </c>
    </row>
    <row r="983" spans="1:10">
      <c r="A983" s="2" t="s">
        <v>1519</v>
      </c>
      <c r="B983" s="2" t="s">
        <v>52</v>
      </c>
      <c r="C983" s="2" t="s">
        <v>12</v>
      </c>
      <c r="D983" s="2" t="s">
        <v>101</v>
      </c>
      <c r="E983" s="2">
        <v>603</v>
      </c>
      <c r="F983" s="3">
        <v>46080</v>
      </c>
      <c r="G983" s="3">
        <v>46090</v>
      </c>
      <c r="H983" s="3">
        <v>46088</v>
      </c>
      <c r="I983" s="2">
        <v>582</v>
      </c>
      <c r="J983" s="2">
        <v>4</v>
      </c>
    </row>
    <row r="984" spans="1:10">
      <c r="A984" s="2" t="s">
        <v>1520</v>
      </c>
      <c r="B984" s="2" t="s">
        <v>70</v>
      </c>
      <c r="C984" s="2" t="s">
        <v>16</v>
      </c>
      <c r="D984" s="2" t="s">
        <v>472</v>
      </c>
      <c r="E984" s="2">
        <v>203</v>
      </c>
      <c r="F984" s="3">
        <v>46078</v>
      </c>
      <c r="G984" s="3">
        <v>46086</v>
      </c>
      <c r="H984" s="3">
        <v>46084</v>
      </c>
      <c r="I984" s="2">
        <v>193</v>
      </c>
      <c r="J984" s="2">
        <v>2</v>
      </c>
    </row>
    <row r="985" spans="1:10">
      <c r="A985" s="2" t="s">
        <v>1521</v>
      </c>
      <c r="B985" s="2" t="s">
        <v>26</v>
      </c>
      <c r="C985" s="2" t="s">
        <v>12</v>
      </c>
      <c r="D985" s="2" t="s">
        <v>499</v>
      </c>
      <c r="E985" s="2">
        <v>297</v>
      </c>
      <c r="F985" s="3">
        <v>46081</v>
      </c>
      <c r="G985" s="3">
        <v>46092</v>
      </c>
      <c r="H985" s="3">
        <v>46090</v>
      </c>
      <c r="I985" s="2">
        <v>298</v>
      </c>
      <c r="J985" s="2">
        <v>9</v>
      </c>
    </row>
    <row r="986" spans="1:10">
      <c r="A986" s="2" t="s">
        <v>1522</v>
      </c>
      <c r="B986" s="2" t="s">
        <v>67</v>
      </c>
      <c r="C986" s="2" t="s">
        <v>166</v>
      </c>
      <c r="D986" s="2" t="s">
        <v>1009</v>
      </c>
      <c r="E986" s="2">
        <v>820</v>
      </c>
      <c r="F986" s="3">
        <v>46102</v>
      </c>
      <c r="G986" s="3">
        <v>46107</v>
      </c>
      <c r="H986" s="3">
        <v>46104</v>
      </c>
      <c r="I986" s="2">
        <v>826</v>
      </c>
      <c r="J986" s="2">
        <v>4</v>
      </c>
    </row>
    <row r="987" spans="1:10">
      <c r="A987" s="2" t="s">
        <v>1523</v>
      </c>
      <c r="B987" s="2" t="s">
        <v>22</v>
      </c>
      <c r="C987" s="2" t="s">
        <v>23</v>
      </c>
      <c r="D987" s="2" t="s">
        <v>956</v>
      </c>
      <c r="E987" s="2">
        <v>297</v>
      </c>
      <c r="F987" s="3">
        <v>46083</v>
      </c>
      <c r="G987" s="3">
        <v>46095</v>
      </c>
      <c r="H987" s="3">
        <v>46093</v>
      </c>
      <c r="I987" s="2">
        <v>287</v>
      </c>
      <c r="J987" s="2">
        <v>3</v>
      </c>
    </row>
    <row r="988" spans="1:10">
      <c r="A988" s="2" t="s">
        <v>1524</v>
      </c>
      <c r="B988" s="2" t="s">
        <v>1421</v>
      </c>
      <c r="C988" s="2" t="s">
        <v>16</v>
      </c>
      <c r="D988" s="2" t="s">
        <v>242</v>
      </c>
      <c r="E988" s="2">
        <v>715</v>
      </c>
      <c r="F988" s="3">
        <v>46107</v>
      </c>
      <c r="G988" s="3">
        <v>46116</v>
      </c>
      <c r="H988" s="3">
        <v>46114</v>
      </c>
      <c r="I988" s="2">
        <v>725</v>
      </c>
      <c r="J988" s="2">
        <v>10</v>
      </c>
    </row>
    <row r="989" spans="1:10">
      <c r="A989" s="2" t="s">
        <v>1525</v>
      </c>
      <c r="B989" s="2" t="s">
        <v>46</v>
      </c>
      <c r="C989" s="2" t="s">
        <v>12</v>
      </c>
      <c r="D989" s="2" t="s">
        <v>403</v>
      </c>
      <c r="E989" s="2">
        <v>137</v>
      </c>
      <c r="F989" s="3">
        <v>46143</v>
      </c>
      <c r="G989" s="3">
        <v>46153</v>
      </c>
      <c r="H989" s="3">
        <v>46158</v>
      </c>
      <c r="I989" s="2">
        <v>131</v>
      </c>
      <c r="J989" s="2">
        <v>12</v>
      </c>
    </row>
    <row r="990" spans="1:10">
      <c r="A990" s="2" t="s">
        <v>1526</v>
      </c>
      <c r="B990" s="2" t="s">
        <v>120</v>
      </c>
      <c r="C990" s="2" t="s">
        <v>12</v>
      </c>
      <c r="D990" s="2" t="s">
        <v>214</v>
      </c>
      <c r="E990" s="2">
        <v>269</v>
      </c>
      <c r="F990" s="3">
        <v>46136</v>
      </c>
      <c r="G990" s="3">
        <v>46146</v>
      </c>
      <c r="H990" s="3">
        <v>46146</v>
      </c>
      <c r="I990" s="2">
        <v>272</v>
      </c>
      <c r="J990" s="2">
        <v>16</v>
      </c>
    </row>
    <row r="991" spans="1:10">
      <c r="A991" s="2" t="s">
        <v>1527</v>
      </c>
      <c r="B991" s="2" t="s">
        <v>19</v>
      </c>
      <c r="C991" s="2" t="s">
        <v>12</v>
      </c>
      <c r="D991" s="2" t="s">
        <v>101</v>
      </c>
      <c r="E991" s="2">
        <v>237</v>
      </c>
      <c r="F991" s="3">
        <v>46127</v>
      </c>
      <c r="G991" s="3">
        <v>46140</v>
      </c>
      <c r="H991" s="3">
        <v>46140</v>
      </c>
      <c r="I991" s="2">
        <v>241</v>
      </c>
      <c r="J991" s="2">
        <v>12</v>
      </c>
    </row>
    <row r="992" spans="1:10">
      <c r="A992" s="2" t="s">
        <v>1528</v>
      </c>
      <c r="B992" s="2" t="s">
        <v>19</v>
      </c>
      <c r="C992" s="2" t="s">
        <v>16</v>
      </c>
      <c r="D992" s="2" t="s">
        <v>1529</v>
      </c>
      <c r="E992" s="2">
        <v>877</v>
      </c>
      <c r="F992" s="3">
        <v>46070</v>
      </c>
      <c r="G992" s="3">
        <v>46078</v>
      </c>
      <c r="H992" s="2"/>
      <c r="I992" s="2"/>
      <c r="J992" s="2"/>
    </row>
    <row r="993" spans="1:10">
      <c r="A993" s="2" t="s">
        <v>1530</v>
      </c>
      <c r="B993" s="2" t="s">
        <v>49</v>
      </c>
      <c r="C993" s="2" t="s">
        <v>16</v>
      </c>
      <c r="D993" s="2" t="s">
        <v>1227</v>
      </c>
      <c r="E993" s="2">
        <v>792</v>
      </c>
      <c r="F993" s="3">
        <v>46077</v>
      </c>
      <c r="G993" s="3">
        <v>46087</v>
      </c>
      <c r="H993" s="3">
        <v>46087</v>
      </c>
      <c r="I993" s="2">
        <v>796</v>
      </c>
      <c r="J993" s="2">
        <v>9</v>
      </c>
    </row>
    <row r="994" spans="1:10">
      <c r="A994" s="2" t="s">
        <v>1531</v>
      </c>
      <c r="B994" s="2" t="s">
        <v>35</v>
      </c>
      <c r="C994" s="2" t="s">
        <v>12</v>
      </c>
      <c r="D994" s="2" t="s">
        <v>1273</v>
      </c>
      <c r="E994" s="2">
        <v>726</v>
      </c>
      <c r="F994" s="3">
        <v>46064</v>
      </c>
      <c r="G994" s="3">
        <v>46077</v>
      </c>
      <c r="H994" s="3">
        <v>46074</v>
      </c>
      <c r="I994" s="2">
        <v>738</v>
      </c>
      <c r="J994" s="2">
        <v>19</v>
      </c>
    </row>
    <row r="995" spans="1:10">
      <c r="A995" s="2" t="s">
        <v>1532</v>
      </c>
      <c r="B995" s="2" t="s">
        <v>26</v>
      </c>
      <c r="C995" s="2" t="s">
        <v>12</v>
      </c>
      <c r="D995" s="2" t="s">
        <v>240</v>
      </c>
      <c r="E995" s="2">
        <v>118</v>
      </c>
      <c r="F995" s="3">
        <v>46130</v>
      </c>
      <c r="G995" s="3">
        <v>46142</v>
      </c>
      <c r="H995" s="3">
        <v>46140</v>
      </c>
      <c r="I995" s="2">
        <v>109</v>
      </c>
      <c r="J995" s="2">
        <v>3</v>
      </c>
    </row>
    <row r="996" spans="1:10">
      <c r="A996" s="2" t="s">
        <v>1533</v>
      </c>
      <c r="B996" s="2" t="s">
        <v>177</v>
      </c>
      <c r="C996" s="2" t="s">
        <v>322</v>
      </c>
      <c r="D996" s="2" t="s">
        <v>702</v>
      </c>
      <c r="E996" s="2">
        <v>514</v>
      </c>
      <c r="F996" s="3">
        <v>46102</v>
      </c>
      <c r="G996" s="3">
        <v>46116</v>
      </c>
      <c r="H996" s="3">
        <v>46122</v>
      </c>
      <c r="I996" s="2">
        <v>521</v>
      </c>
      <c r="J996" s="2">
        <v>0</v>
      </c>
    </row>
    <row r="997" spans="1:10">
      <c r="A997" s="2" t="s">
        <v>1534</v>
      </c>
      <c r="B997" s="2" t="s">
        <v>70</v>
      </c>
      <c r="C997" s="2" t="s">
        <v>16</v>
      </c>
      <c r="D997" s="2" t="s">
        <v>1090</v>
      </c>
      <c r="E997" s="2">
        <v>375</v>
      </c>
      <c r="F997" s="3">
        <v>46070</v>
      </c>
      <c r="G997" s="3">
        <v>46084</v>
      </c>
      <c r="H997" s="3">
        <v>46082</v>
      </c>
      <c r="I997" s="2">
        <v>333</v>
      </c>
      <c r="J997" s="2">
        <v>5</v>
      </c>
    </row>
    <row r="998" spans="1:10">
      <c r="A998" s="2" t="s">
        <v>1535</v>
      </c>
      <c r="B998" s="2" t="s">
        <v>177</v>
      </c>
      <c r="C998" s="2" t="s">
        <v>23</v>
      </c>
      <c r="D998" s="2" t="s">
        <v>674</v>
      </c>
      <c r="E998" s="2">
        <v>703</v>
      </c>
      <c r="F998" s="3">
        <v>46120</v>
      </c>
      <c r="G998" s="3">
        <v>46129</v>
      </c>
      <c r="H998" s="3">
        <v>46129</v>
      </c>
      <c r="I998" s="2">
        <v>708</v>
      </c>
      <c r="J998" s="2">
        <v>18</v>
      </c>
    </row>
    <row r="999" spans="1:10">
      <c r="A999" s="2" t="s">
        <v>1536</v>
      </c>
      <c r="B999" s="2" t="s">
        <v>35</v>
      </c>
      <c r="C999" s="2" t="s">
        <v>12</v>
      </c>
      <c r="D999" s="2" t="s">
        <v>221</v>
      </c>
      <c r="E999" s="2">
        <v>767</v>
      </c>
      <c r="F999" s="3">
        <v>46099</v>
      </c>
      <c r="G999" s="3">
        <v>46107</v>
      </c>
      <c r="H999" s="3">
        <v>46115</v>
      </c>
      <c r="I999" s="2">
        <v>764</v>
      </c>
      <c r="J999" s="2">
        <v>1</v>
      </c>
    </row>
    <row r="1000" spans="1:10">
      <c r="A1000" s="2" t="s">
        <v>1537</v>
      </c>
      <c r="B1000" s="2" t="s">
        <v>100</v>
      </c>
      <c r="C1000" s="2" t="s">
        <v>12</v>
      </c>
      <c r="D1000" s="2" t="s">
        <v>505</v>
      </c>
      <c r="E1000" s="2">
        <v>864</v>
      </c>
      <c r="F1000" s="3">
        <v>46086</v>
      </c>
      <c r="G1000" s="3">
        <v>46098</v>
      </c>
      <c r="H1000" s="3">
        <v>46098</v>
      </c>
      <c r="I1000" s="2">
        <v>879</v>
      </c>
      <c r="J1000" s="2">
        <v>24</v>
      </c>
    </row>
    <row r="1001" spans="1:10">
      <c r="A1001" s="2" t="s">
        <v>1538</v>
      </c>
      <c r="B1001" s="2" t="s">
        <v>49</v>
      </c>
      <c r="C1001" s="2" t="s">
        <v>16</v>
      </c>
      <c r="D1001" s="2" t="s">
        <v>1331</v>
      </c>
      <c r="E1001" s="2">
        <v>405</v>
      </c>
      <c r="F1001" s="3">
        <v>46070</v>
      </c>
      <c r="G1001" s="3">
        <v>46079</v>
      </c>
      <c r="H1001" s="3">
        <v>46079</v>
      </c>
      <c r="I1001" s="2">
        <v>405</v>
      </c>
      <c r="J1001" s="2">
        <v>2</v>
      </c>
    </row>
    <row r="1002" spans="1:10">
      <c r="A1002" s="2" t="s">
        <v>1539</v>
      </c>
      <c r="B1002" s="2" t="s">
        <v>375</v>
      </c>
      <c r="C1002" s="2" t="s">
        <v>16</v>
      </c>
      <c r="D1002" s="2" t="s">
        <v>1092</v>
      </c>
      <c r="E1002" s="2">
        <v>930</v>
      </c>
      <c r="F1002" s="3">
        <v>46050</v>
      </c>
      <c r="G1002" s="3">
        <v>46057</v>
      </c>
      <c r="H1002" s="3">
        <v>46055</v>
      </c>
      <c r="I1002" s="2">
        <v>759</v>
      </c>
      <c r="J1002" s="2">
        <v>29</v>
      </c>
    </row>
    <row r="1003" spans="1:10">
      <c r="A1003" s="2" t="s">
        <v>1540</v>
      </c>
      <c r="B1003" s="2" t="s">
        <v>177</v>
      </c>
      <c r="C1003" s="2" t="s">
        <v>16</v>
      </c>
      <c r="D1003" s="2" t="s">
        <v>767</v>
      </c>
      <c r="E1003" s="2">
        <v>342</v>
      </c>
      <c r="F1003" s="3">
        <v>46028</v>
      </c>
      <c r="G1003" s="3">
        <v>46035</v>
      </c>
      <c r="H1003" s="3">
        <v>46034</v>
      </c>
      <c r="I1003" s="2">
        <v>341</v>
      </c>
      <c r="J1003" s="2">
        <v>13</v>
      </c>
    </row>
    <row r="1004" spans="1:10">
      <c r="A1004" s="2" t="s">
        <v>1541</v>
      </c>
      <c r="B1004" s="2" t="s">
        <v>378</v>
      </c>
      <c r="C1004" s="2" t="s">
        <v>16</v>
      </c>
      <c r="D1004" s="2" t="s">
        <v>169</v>
      </c>
      <c r="E1004" s="2">
        <v>994</v>
      </c>
      <c r="F1004" s="3">
        <v>46038</v>
      </c>
      <c r="G1004" s="3">
        <v>46048</v>
      </c>
      <c r="H1004" s="3">
        <v>46045</v>
      </c>
      <c r="I1004" s="2">
        <v>995</v>
      </c>
      <c r="J1004" s="2">
        <v>28</v>
      </c>
    </row>
    <row r="1005" spans="1:10">
      <c r="A1005" s="2" t="s">
        <v>1542</v>
      </c>
      <c r="B1005" s="2" t="s">
        <v>40</v>
      </c>
      <c r="C1005" s="2" t="s">
        <v>16</v>
      </c>
      <c r="D1005" s="2" t="s">
        <v>810</v>
      </c>
      <c r="E1005" s="2">
        <v>505</v>
      </c>
      <c r="F1005" s="3">
        <v>46130</v>
      </c>
      <c r="G1005" s="3">
        <v>46140</v>
      </c>
      <c r="H1005" s="3">
        <v>46142</v>
      </c>
      <c r="I1005" s="2">
        <v>498</v>
      </c>
      <c r="J1005" s="2">
        <v>21</v>
      </c>
    </row>
    <row r="1006" spans="1:10">
      <c r="A1006" s="2" t="s">
        <v>1543</v>
      </c>
      <c r="B1006" s="2" t="s">
        <v>26</v>
      </c>
      <c r="C1006" s="2" t="s">
        <v>12</v>
      </c>
      <c r="D1006" s="2" t="s">
        <v>312</v>
      </c>
      <c r="E1006" s="2">
        <v>495</v>
      </c>
      <c r="F1006" s="3">
        <v>46033</v>
      </c>
      <c r="G1006" s="3">
        <v>46045</v>
      </c>
      <c r="H1006" s="3">
        <v>46044</v>
      </c>
      <c r="I1006" s="2">
        <v>460</v>
      </c>
      <c r="J1006" s="2">
        <v>7</v>
      </c>
    </row>
    <row r="1007" spans="1:10">
      <c r="A1007" s="2" t="s">
        <v>1544</v>
      </c>
      <c r="B1007" s="2" t="s">
        <v>67</v>
      </c>
      <c r="C1007" s="2" t="s">
        <v>12</v>
      </c>
      <c r="D1007" s="2" t="s">
        <v>690</v>
      </c>
      <c r="E1007" s="2">
        <v>435</v>
      </c>
      <c r="F1007" s="3">
        <v>46140</v>
      </c>
      <c r="G1007" s="3">
        <v>46145</v>
      </c>
      <c r="H1007" s="3">
        <v>46148</v>
      </c>
      <c r="I1007" s="2">
        <v>434</v>
      </c>
      <c r="J1007" s="2">
        <v>10</v>
      </c>
    </row>
    <row r="1008" spans="1:10">
      <c r="A1008" s="2" t="s">
        <v>1545</v>
      </c>
      <c r="B1008" s="2" t="s">
        <v>11</v>
      </c>
      <c r="C1008" s="2" t="s">
        <v>23</v>
      </c>
      <c r="D1008" s="2" t="s">
        <v>103</v>
      </c>
      <c r="E1008" s="2">
        <v>685</v>
      </c>
      <c r="F1008" s="3">
        <v>46134</v>
      </c>
      <c r="G1008" s="3">
        <v>46140</v>
      </c>
      <c r="H1008" s="2"/>
      <c r="I1008" s="2"/>
      <c r="J1008" s="2"/>
    </row>
    <row r="1009" spans="1:10">
      <c r="A1009" s="2" t="s">
        <v>1546</v>
      </c>
      <c r="B1009" s="2" t="s">
        <v>52</v>
      </c>
      <c r="C1009" s="2" t="s">
        <v>16</v>
      </c>
      <c r="D1009" s="2" t="s">
        <v>1306</v>
      </c>
      <c r="E1009" s="2">
        <v>258</v>
      </c>
      <c r="F1009" s="3">
        <v>46071</v>
      </c>
      <c r="G1009" s="3">
        <v>46085</v>
      </c>
      <c r="H1009" s="3">
        <v>46091</v>
      </c>
      <c r="I1009" s="2">
        <v>258</v>
      </c>
      <c r="J1009" s="2">
        <v>2</v>
      </c>
    </row>
    <row r="1010" spans="1:10">
      <c r="A1010" s="2" t="s">
        <v>1547</v>
      </c>
      <c r="B1010" s="2" t="s">
        <v>29</v>
      </c>
      <c r="C1010" s="2" t="s">
        <v>23</v>
      </c>
      <c r="D1010" s="2" t="s">
        <v>592</v>
      </c>
      <c r="E1010" s="2">
        <v>333</v>
      </c>
      <c r="F1010" s="3">
        <v>46049</v>
      </c>
      <c r="G1010" s="3">
        <v>46054</v>
      </c>
      <c r="H1010" s="3">
        <v>46056</v>
      </c>
      <c r="I1010" s="2">
        <v>308</v>
      </c>
      <c r="J1010" s="2">
        <v>3</v>
      </c>
    </row>
    <row r="1011" spans="1:10">
      <c r="A1011" s="2" t="s">
        <v>1548</v>
      </c>
      <c r="B1011" s="2" t="s">
        <v>32</v>
      </c>
      <c r="C1011" s="2" t="s">
        <v>12</v>
      </c>
      <c r="D1011" s="2" t="s">
        <v>1549</v>
      </c>
      <c r="E1011" s="2">
        <v>526</v>
      </c>
      <c r="F1011" s="3">
        <v>46066</v>
      </c>
      <c r="G1011" s="3">
        <v>46071</v>
      </c>
      <c r="H1011" s="3">
        <v>46071</v>
      </c>
      <c r="I1011" s="2">
        <v>504</v>
      </c>
      <c r="J1011" s="2">
        <v>2</v>
      </c>
    </row>
    <row r="1012" spans="1:10">
      <c r="A1012" s="2" t="s">
        <v>1550</v>
      </c>
      <c r="B1012" s="2" t="s">
        <v>19</v>
      </c>
      <c r="C1012" s="2" t="s">
        <v>12</v>
      </c>
      <c r="D1012" s="2" t="s">
        <v>936</v>
      </c>
      <c r="E1012" s="2">
        <v>502</v>
      </c>
      <c r="F1012" s="3">
        <v>46084</v>
      </c>
      <c r="G1012" s="3">
        <v>46096</v>
      </c>
      <c r="H1012" s="3">
        <v>46093</v>
      </c>
      <c r="I1012" s="2">
        <v>422</v>
      </c>
      <c r="J1012" s="2">
        <v>24</v>
      </c>
    </row>
    <row r="1013" spans="1:10">
      <c r="A1013" s="2" t="s">
        <v>1551</v>
      </c>
      <c r="B1013" s="2" t="s">
        <v>26</v>
      </c>
      <c r="C1013" s="2" t="s">
        <v>16</v>
      </c>
      <c r="D1013" s="2" t="s">
        <v>1302</v>
      </c>
      <c r="E1013" s="2">
        <v>220</v>
      </c>
      <c r="F1013" s="3">
        <v>46124</v>
      </c>
      <c r="G1013" s="3">
        <v>46131</v>
      </c>
      <c r="H1013" s="3">
        <v>46129</v>
      </c>
      <c r="I1013" s="2">
        <v>211</v>
      </c>
      <c r="J1013" s="2">
        <v>5</v>
      </c>
    </row>
    <row r="1014" spans="1:10">
      <c r="A1014" s="2" t="s">
        <v>1552</v>
      </c>
      <c r="B1014" s="2" t="s">
        <v>43</v>
      </c>
      <c r="C1014" s="2" t="s">
        <v>12</v>
      </c>
      <c r="D1014" s="2" t="s">
        <v>385</v>
      </c>
      <c r="E1014" s="2">
        <v>115</v>
      </c>
      <c r="F1014" s="3">
        <v>46061</v>
      </c>
      <c r="G1014" s="3">
        <v>46071</v>
      </c>
      <c r="H1014" s="3">
        <v>46080</v>
      </c>
      <c r="I1014" s="2">
        <v>115</v>
      </c>
      <c r="J1014" s="2">
        <v>1</v>
      </c>
    </row>
    <row r="1015" spans="1:10">
      <c r="A1015" s="2" t="s">
        <v>1553</v>
      </c>
      <c r="B1015" s="2" t="s">
        <v>100</v>
      </c>
      <c r="C1015" s="2" t="s">
        <v>16</v>
      </c>
      <c r="D1015" s="2" t="s">
        <v>1269</v>
      </c>
      <c r="E1015" s="2">
        <v>336</v>
      </c>
      <c r="F1015" s="3">
        <v>46152</v>
      </c>
      <c r="G1015" s="3">
        <v>46167</v>
      </c>
      <c r="H1015" s="3">
        <v>46167</v>
      </c>
      <c r="I1015" s="2">
        <v>331</v>
      </c>
      <c r="J1015" s="2">
        <v>0</v>
      </c>
    </row>
    <row r="1016" spans="1:10">
      <c r="A1016" s="2" t="s">
        <v>1554</v>
      </c>
      <c r="B1016" s="2" t="s">
        <v>22</v>
      </c>
      <c r="C1016" s="2" t="s">
        <v>23</v>
      </c>
      <c r="D1016" s="2"/>
      <c r="E1016" s="2">
        <v>917</v>
      </c>
      <c r="F1016" s="3">
        <v>46083</v>
      </c>
      <c r="G1016" s="3">
        <v>46091</v>
      </c>
      <c r="H1016" s="3">
        <v>46100</v>
      </c>
      <c r="I1016" s="2">
        <v>923</v>
      </c>
      <c r="J1016" s="2">
        <v>80</v>
      </c>
    </row>
    <row r="1017" spans="1:10">
      <c r="A1017" s="2" t="s">
        <v>1555</v>
      </c>
      <c r="B1017" s="2" t="s">
        <v>35</v>
      </c>
      <c r="C1017" s="2" t="s">
        <v>900</v>
      </c>
      <c r="D1017" s="2" t="s">
        <v>1365</v>
      </c>
      <c r="E1017" s="2">
        <v>811</v>
      </c>
      <c r="F1017" s="3">
        <v>46138</v>
      </c>
      <c r="G1017" s="3">
        <v>46153</v>
      </c>
      <c r="H1017" s="3">
        <v>46152</v>
      </c>
      <c r="I1017" s="2">
        <v>803</v>
      </c>
      <c r="J1017" s="2">
        <v>24</v>
      </c>
    </row>
    <row r="1018" spans="1:10">
      <c r="A1018" s="2" t="s">
        <v>1556</v>
      </c>
      <c r="B1018" s="2" t="s">
        <v>11</v>
      </c>
      <c r="C1018" s="2" t="s">
        <v>16</v>
      </c>
      <c r="D1018" s="2" t="s">
        <v>1557</v>
      </c>
      <c r="E1018" s="2">
        <v>945</v>
      </c>
      <c r="F1018" s="3">
        <v>46073</v>
      </c>
      <c r="G1018" s="3">
        <v>46086</v>
      </c>
      <c r="H1018" s="2"/>
      <c r="I1018" s="2"/>
      <c r="J1018" s="2"/>
    </row>
    <row r="1019" spans="1:10">
      <c r="A1019" s="2" t="s">
        <v>1558</v>
      </c>
      <c r="B1019" s="2" t="s">
        <v>64</v>
      </c>
      <c r="C1019" s="2" t="s">
        <v>23</v>
      </c>
      <c r="D1019" s="2" t="s">
        <v>1559</v>
      </c>
      <c r="E1019" s="2">
        <v>150</v>
      </c>
      <c r="F1019" s="3">
        <v>46077</v>
      </c>
      <c r="G1019" s="3">
        <v>46089</v>
      </c>
      <c r="H1019" s="3">
        <v>46088</v>
      </c>
      <c r="I1019" s="2">
        <v>142</v>
      </c>
      <c r="J1019" s="2">
        <v>1</v>
      </c>
    </row>
    <row r="1020" spans="1:10">
      <c r="A1020" s="2" t="s">
        <v>1560</v>
      </c>
      <c r="B1020" s="2" t="s">
        <v>46</v>
      </c>
      <c r="C1020" s="2" t="s">
        <v>16</v>
      </c>
      <c r="D1020" s="2" t="s">
        <v>318</v>
      </c>
      <c r="E1020" s="2">
        <v>118</v>
      </c>
      <c r="F1020" s="3">
        <v>46058</v>
      </c>
      <c r="G1020" s="3">
        <v>46069</v>
      </c>
      <c r="H1020" s="3">
        <v>46066</v>
      </c>
      <c r="I1020" s="2">
        <v>119</v>
      </c>
      <c r="J1020" s="2">
        <v>3</v>
      </c>
    </row>
    <row r="1021" spans="1:10">
      <c r="A1021" s="2" t="s">
        <v>1561</v>
      </c>
      <c r="B1021" s="2" t="s">
        <v>430</v>
      </c>
      <c r="C1021" s="2" t="s">
        <v>12</v>
      </c>
      <c r="D1021" s="2" t="s">
        <v>195</v>
      </c>
      <c r="E1021" s="2">
        <v>840</v>
      </c>
      <c r="F1021" s="3">
        <v>46111</v>
      </c>
      <c r="G1021" s="3">
        <v>46117</v>
      </c>
      <c r="H1021" s="3">
        <v>46116</v>
      </c>
      <c r="I1021" s="2">
        <v>833</v>
      </c>
      <c r="J1021" s="2">
        <v>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51F4D6-17F7-4C62-8549-7BFB45C75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chart</vt:lpstr>
      <vt:lpstr>Dashboard</vt:lpstr>
      <vt:lpstr>PO_master</vt:lpstr>
      <vt:lpstr>OTIF__calc</vt:lpstr>
      <vt:lpstr>Trend_data</vt:lpstr>
      <vt:lpstr>Category_View.</vt:lpstr>
      <vt:lpstr>Penalty_Summary</vt:lpstr>
      <vt:lpstr>Penalty_Tracker</vt:lpstr>
      <vt:lpstr>Vendor_Scorecard.</vt:lpstr>
      <vt:lpstr>Raw_PO_GRN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SRIJANI</dc:creator>
  <cp:lastModifiedBy>Srijani Sinha</cp:lastModifiedBy>
  <dcterms:created xsi:type="dcterms:W3CDTF">2026-07-08T09:51:00Z</dcterms:created>
  <dcterms:modified xsi:type="dcterms:W3CDTF">2026-07-09T11:50:18Z</dcterms:modified>
</cp:coreProperties>
</file>